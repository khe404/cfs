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d.docs.live.net/f5cea8185b67183d/"/>
    </mc:Choice>
  </mc:AlternateContent>
  <bookViews>
    <workbookView xWindow="0" yWindow="0" windowWidth="22230" windowHeight="11670"/>
  </bookViews>
  <sheets>
    <sheet name="2.Cash Flow" sheetId="1" r:id="rId1"/>
    <sheet name="6.Balance" sheetId="3" r:id="rId2"/>
    <sheet name="SOURCE DATA" sheetId="2" r:id="rId3"/>
    <sheet name="Rates ECB" sheetId="4" r:id="rId4"/>
    <sheet name="Options" sheetId="5" r:id="rId5"/>
  </sheets>
  <externalReferences>
    <externalReference r:id="rId6"/>
  </externalReferences>
  <definedNames>
    <definedName name="_xlnm._FilterDatabase" localSheetId="3" hidden="1">'Rates ECB'!$A$4:$Q$2745</definedName>
    <definedName name="Cash_minimum" localSheetId="0">'2.Cash Flow'!$C$6</definedName>
    <definedName name="ECBMax">Options!$D$4</definedName>
    <definedName name="FX_LIST">Options!$A$3:$C$10</definedName>
    <definedName name="FXCURRENCY">'Rates ECB'!$J$4:$Q$4</definedName>
    <definedName name="FXDATA">'Rates ECB'!$J$4:$Q$2389</definedName>
    <definedName name="LATESTFX">'Rates ECB'!$J$5:$Q$5</definedName>
    <definedName name="_xlnm.Print_Area" localSheetId="0">'2.Cash Flow'!$B$2:$P$56</definedName>
    <definedName name="_xlnm.Print_Area" localSheetId="1">'6.Balance'!$A$1:$Q$51</definedName>
    <definedName name="_xlnm.Print_Titles" localSheetId="0">'2.Cash Flow'!$11:$11</definedName>
    <definedName name="Start_date">'2.Cash Flow'!$C$5</definedName>
    <definedName name="work.pl" localSheetId="3">'Rates ECB'!$A$4:$H$2745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5" i="2" l="1"/>
  <c r="L35" i="2"/>
  <c r="M35" i="2"/>
  <c r="O35" i="2"/>
  <c r="N35" i="2" s="1"/>
  <c r="S35" i="2" s="1"/>
  <c r="T35" i="2"/>
  <c r="K34" i="2"/>
  <c r="L34" i="2"/>
  <c r="M34" i="2"/>
  <c r="O34" i="2"/>
  <c r="N34" i="2" s="1"/>
  <c r="S34" i="2" s="1"/>
  <c r="T34" i="2"/>
  <c r="C4" i="1" l="1"/>
  <c r="A1" i="3"/>
  <c r="K3" i="4"/>
  <c r="L3" i="4"/>
  <c r="M3" i="4"/>
  <c r="N3" i="4"/>
  <c r="O3" i="4"/>
  <c r="P3" i="4"/>
  <c r="L4" i="4"/>
  <c r="L1" i="4" s="1"/>
  <c r="N4" i="4"/>
  <c r="N1" i="4" s="1"/>
  <c r="O4" i="4"/>
  <c r="O1" i="4" s="1"/>
  <c r="Q4" i="4"/>
  <c r="Q1" i="4" s="1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N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L356" i="4"/>
  <c r="J357" i="4"/>
  <c r="J358" i="4"/>
  <c r="L358" i="4"/>
  <c r="J359" i="4"/>
  <c r="J360" i="4"/>
  <c r="L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L372" i="4"/>
  <c r="J373" i="4"/>
  <c r="J374" i="4"/>
  <c r="J375" i="4"/>
  <c r="J376" i="4"/>
  <c r="J377" i="4"/>
  <c r="J378" i="4"/>
  <c r="J379" i="4"/>
  <c r="J380" i="4"/>
  <c r="J381" i="4"/>
  <c r="Q381" i="4"/>
  <c r="J382" i="4"/>
  <c r="J383" i="4"/>
  <c r="J384" i="4"/>
  <c r="J385" i="4"/>
  <c r="J386" i="4"/>
  <c r="J387" i="4"/>
  <c r="J388" i="4"/>
  <c r="L388" i="4"/>
  <c r="J389" i="4"/>
  <c r="J390" i="4"/>
  <c r="J391" i="4"/>
  <c r="J392" i="4"/>
  <c r="J393" i="4"/>
  <c r="J394" i="4"/>
  <c r="J395" i="4"/>
  <c r="J396" i="4"/>
  <c r="J397" i="4"/>
  <c r="Q397" i="4"/>
  <c r="J398" i="4"/>
  <c r="J399" i="4"/>
  <c r="J400" i="4"/>
  <c r="M400" i="4"/>
  <c r="J401" i="4"/>
  <c r="J402" i="4"/>
  <c r="J403" i="4"/>
  <c r="J404" i="4"/>
  <c r="Q404" i="4"/>
  <c r="J405" i="4"/>
  <c r="J406" i="4"/>
  <c r="Q406" i="4"/>
  <c r="J407" i="4"/>
  <c r="J408" i="4"/>
  <c r="Q408" i="4"/>
  <c r="J409" i="4"/>
  <c r="J410" i="4"/>
  <c r="Q410" i="4"/>
  <c r="J411" i="4"/>
  <c r="J412" i="4"/>
  <c r="Q412" i="4"/>
  <c r="J413" i="4"/>
  <c r="J414" i="4"/>
  <c r="Q414" i="4"/>
  <c r="J415" i="4"/>
  <c r="J416" i="4"/>
  <c r="Q416" i="4"/>
  <c r="J417" i="4"/>
  <c r="J418" i="4"/>
  <c r="Q418" i="4"/>
  <c r="J419" i="4"/>
  <c r="Q419" i="4"/>
  <c r="J420" i="4"/>
  <c r="J421" i="4"/>
  <c r="K421" i="4"/>
  <c r="N421" i="4"/>
  <c r="J422" i="4"/>
  <c r="K422" i="4"/>
  <c r="J423" i="4"/>
  <c r="K423" i="4"/>
  <c r="N423" i="4"/>
  <c r="J424" i="4"/>
  <c r="K424" i="4"/>
  <c r="J425" i="4"/>
  <c r="K425" i="4"/>
  <c r="N425" i="4"/>
  <c r="J426" i="4"/>
  <c r="K426" i="4"/>
  <c r="Q426" i="4"/>
  <c r="J427" i="4"/>
  <c r="K427" i="4"/>
  <c r="N427" i="4"/>
  <c r="Q427" i="4"/>
  <c r="J428" i="4"/>
  <c r="M428" i="4"/>
  <c r="N428" i="4"/>
  <c r="Q428" i="4"/>
  <c r="J429" i="4"/>
  <c r="K429" i="4"/>
  <c r="M429" i="4"/>
  <c r="J430" i="4"/>
  <c r="K430" i="4"/>
  <c r="M430" i="4"/>
  <c r="Q430" i="4"/>
  <c r="J431" i="4"/>
  <c r="N431" i="4"/>
  <c r="Q431" i="4"/>
  <c r="J432" i="4"/>
  <c r="M432" i="4"/>
  <c r="N432" i="4"/>
  <c r="J433" i="4"/>
  <c r="K433" i="4"/>
  <c r="M433" i="4"/>
  <c r="N433" i="4"/>
  <c r="J434" i="4"/>
  <c r="K434" i="4"/>
  <c r="Q434" i="4"/>
  <c r="J435" i="4"/>
  <c r="K435" i="4"/>
  <c r="N435" i="4"/>
  <c r="Q435" i="4"/>
  <c r="J436" i="4"/>
  <c r="M436" i="4"/>
  <c r="N436" i="4"/>
  <c r="Q436" i="4"/>
  <c r="J437" i="4"/>
  <c r="K437" i="4"/>
  <c r="M437" i="4"/>
  <c r="J438" i="4"/>
  <c r="K438" i="4"/>
  <c r="M438" i="4"/>
  <c r="Q438" i="4"/>
  <c r="J439" i="4"/>
  <c r="N439" i="4"/>
  <c r="Q439" i="4"/>
  <c r="J440" i="4"/>
  <c r="M440" i="4"/>
  <c r="N440" i="4"/>
  <c r="J441" i="4"/>
  <c r="K441" i="4"/>
  <c r="M441" i="4"/>
  <c r="N441" i="4"/>
  <c r="J442" i="4"/>
  <c r="K442" i="4"/>
  <c r="Q442" i="4"/>
  <c r="J443" i="4"/>
  <c r="K443" i="4"/>
  <c r="N443" i="4"/>
  <c r="Q443" i="4"/>
  <c r="J444" i="4"/>
  <c r="M444" i="4"/>
  <c r="N444" i="4"/>
  <c r="Q444" i="4"/>
  <c r="J445" i="4"/>
  <c r="K445" i="4"/>
  <c r="M445" i="4"/>
  <c r="J446" i="4"/>
  <c r="K446" i="4"/>
  <c r="M446" i="4"/>
  <c r="Q446" i="4"/>
  <c r="J447" i="4"/>
  <c r="N447" i="4"/>
  <c r="Q447" i="4"/>
  <c r="J448" i="4"/>
  <c r="M448" i="4"/>
  <c r="N448" i="4"/>
  <c r="J449" i="4"/>
  <c r="K449" i="4"/>
  <c r="M449" i="4"/>
  <c r="N449" i="4"/>
  <c r="J450" i="4"/>
  <c r="K450" i="4"/>
  <c r="Q450" i="4"/>
  <c r="J451" i="4"/>
  <c r="K451" i="4"/>
  <c r="N451" i="4"/>
  <c r="Q451" i="4"/>
  <c r="J452" i="4"/>
  <c r="M452" i="4"/>
  <c r="N452" i="4"/>
  <c r="Q452" i="4"/>
  <c r="J453" i="4"/>
  <c r="K453" i="4"/>
  <c r="M453" i="4"/>
  <c r="N453" i="4"/>
  <c r="J454" i="4"/>
  <c r="K454" i="4"/>
  <c r="M454" i="4"/>
  <c r="O454" i="4"/>
  <c r="Q454" i="4"/>
  <c r="J455" i="4"/>
  <c r="M455" i="4"/>
  <c r="N455" i="4"/>
  <c r="O455" i="4"/>
  <c r="J456" i="4"/>
  <c r="K456" i="4"/>
  <c r="M456" i="4"/>
  <c r="O456" i="4"/>
  <c r="Q456" i="4"/>
  <c r="J457" i="4"/>
  <c r="M457" i="4"/>
  <c r="N457" i="4"/>
  <c r="O457" i="4"/>
  <c r="J458" i="4"/>
  <c r="K458" i="4"/>
  <c r="M458" i="4"/>
  <c r="O458" i="4"/>
  <c r="Q458" i="4"/>
  <c r="J459" i="4"/>
  <c r="M459" i="4"/>
  <c r="N459" i="4"/>
  <c r="O459" i="4"/>
  <c r="J460" i="4"/>
  <c r="K460" i="4"/>
  <c r="M460" i="4"/>
  <c r="O460" i="4"/>
  <c r="Q460" i="4"/>
  <c r="J461" i="4"/>
  <c r="M461" i="4"/>
  <c r="N461" i="4"/>
  <c r="O461" i="4"/>
  <c r="J462" i="4"/>
  <c r="K462" i="4"/>
  <c r="M462" i="4"/>
  <c r="O462" i="4"/>
  <c r="Q462" i="4"/>
  <c r="J463" i="4"/>
  <c r="M463" i="4"/>
  <c r="N463" i="4"/>
  <c r="O463" i="4"/>
  <c r="J464" i="4"/>
  <c r="K464" i="4"/>
  <c r="M464" i="4"/>
  <c r="O464" i="4"/>
  <c r="Q464" i="4"/>
  <c r="J465" i="4"/>
  <c r="M465" i="4"/>
  <c r="N465" i="4"/>
  <c r="O465" i="4"/>
  <c r="J466" i="4"/>
  <c r="K466" i="4"/>
  <c r="M466" i="4"/>
  <c r="O466" i="4"/>
  <c r="Q466" i="4"/>
  <c r="J467" i="4"/>
  <c r="M467" i="4"/>
  <c r="N467" i="4"/>
  <c r="O467" i="4"/>
  <c r="J468" i="4"/>
  <c r="K468" i="4"/>
  <c r="M468" i="4"/>
  <c r="O468" i="4"/>
  <c r="Q468" i="4"/>
  <c r="J469" i="4"/>
  <c r="M469" i="4"/>
  <c r="N469" i="4"/>
  <c r="O469" i="4"/>
  <c r="J470" i="4"/>
  <c r="K470" i="4"/>
  <c r="M470" i="4"/>
  <c r="O470" i="4"/>
  <c r="Q470" i="4"/>
  <c r="J471" i="4"/>
  <c r="K471" i="4"/>
  <c r="M471" i="4"/>
  <c r="N471" i="4"/>
  <c r="O471" i="4"/>
  <c r="Q471" i="4"/>
  <c r="J472" i="4"/>
  <c r="K472" i="4"/>
  <c r="M472" i="4"/>
  <c r="N472" i="4"/>
  <c r="O472" i="4"/>
  <c r="Q472" i="4"/>
  <c r="J473" i="4"/>
  <c r="K473" i="4"/>
  <c r="M473" i="4"/>
  <c r="N473" i="4"/>
  <c r="O473" i="4"/>
  <c r="Q473" i="4"/>
  <c r="J474" i="4"/>
  <c r="K474" i="4"/>
  <c r="M474" i="4"/>
  <c r="N474" i="4"/>
  <c r="O474" i="4"/>
  <c r="Q474" i="4"/>
  <c r="J475" i="4"/>
  <c r="K475" i="4"/>
  <c r="M475" i="4"/>
  <c r="N475" i="4"/>
  <c r="O475" i="4"/>
  <c r="Q475" i="4"/>
  <c r="J476" i="4"/>
  <c r="K476" i="4"/>
  <c r="M476" i="4"/>
  <c r="N476" i="4"/>
  <c r="O476" i="4"/>
  <c r="Q476" i="4"/>
  <c r="J477" i="4"/>
  <c r="K477" i="4"/>
  <c r="M477" i="4"/>
  <c r="N477" i="4"/>
  <c r="O477" i="4"/>
  <c r="Q477" i="4"/>
  <c r="J478" i="4"/>
  <c r="K478" i="4"/>
  <c r="M478" i="4"/>
  <c r="N478" i="4"/>
  <c r="O478" i="4"/>
  <c r="Q478" i="4"/>
  <c r="J479" i="4"/>
  <c r="K479" i="4"/>
  <c r="M479" i="4"/>
  <c r="N479" i="4"/>
  <c r="O479" i="4"/>
  <c r="Q479" i="4"/>
  <c r="J480" i="4"/>
  <c r="K480" i="4"/>
  <c r="M480" i="4"/>
  <c r="N480" i="4"/>
  <c r="O480" i="4"/>
  <c r="Q480" i="4"/>
  <c r="J481" i="4"/>
  <c r="K481" i="4"/>
  <c r="M481" i="4"/>
  <c r="N481" i="4"/>
  <c r="O481" i="4"/>
  <c r="Q481" i="4"/>
  <c r="J482" i="4"/>
  <c r="K482" i="4"/>
  <c r="M482" i="4"/>
  <c r="N482" i="4"/>
  <c r="O482" i="4"/>
  <c r="Q482" i="4"/>
  <c r="J483" i="4"/>
  <c r="K483" i="4"/>
  <c r="M483" i="4"/>
  <c r="N483" i="4"/>
  <c r="O483" i="4"/>
  <c r="Q483" i="4"/>
  <c r="J484" i="4"/>
  <c r="K484" i="4"/>
  <c r="M484" i="4"/>
  <c r="N484" i="4"/>
  <c r="O484" i="4"/>
  <c r="Q484" i="4"/>
  <c r="J485" i="4"/>
  <c r="K485" i="4"/>
  <c r="M485" i="4"/>
  <c r="N485" i="4"/>
  <c r="O485" i="4"/>
  <c r="Q485" i="4"/>
  <c r="J486" i="4"/>
  <c r="K486" i="4"/>
  <c r="M486" i="4"/>
  <c r="N486" i="4"/>
  <c r="O486" i="4"/>
  <c r="Q486" i="4"/>
  <c r="J487" i="4"/>
  <c r="K487" i="4"/>
  <c r="M487" i="4"/>
  <c r="N487" i="4"/>
  <c r="O487" i="4"/>
  <c r="Q487" i="4"/>
  <c r="J488" i="4"/>
  <c r="K488" i="4"/>
  <c r="M488" i="4"/>
  <c r="N488" i="4"/>
  <c r="O488" i="4"/>
  <c r="Q488" i="4"/>
  <c r="J489" i="4"/>
  <c r="K489" i="4"/>
  <c r="M489" i="4"/>
  <c r="N489" i="4"/>
  <c r="O489" i="4"/>
  <c r="Q489" i="4"/>
  <c r="J490" i="4"/>
  <c r="K490" i="4"/>
  <c r="M490" i="4"/>
  <c r="N490" i="4"/>
  <c r="O490" i="4"/>
  <c r="Q490" i="4"/>
  <c r="J491" i="4"/>
  <c r="K491" i="4"/>
  <c r="M491" i="4"/>
  <c r="N491" i="4"/>
  <c r="O491" i="4"/>
  <c r="Q491" i="4"/>
  <c r="J492" i="4"/>
  <c r="K492" i="4"/>
  <c r="M492" i="4"/>
  <c r="N492" i="4"/>
  <c r="O492" i="4"/>
  <c r="Q492" i="4"/>
  <c r="J493" i="4"/>
  <c r="K493" i="4"/>
  <c r="L493" i="4"/>
  <c r="M493" i="4"/>
  <c r="N493" i="4"/>
  <c r="O493" i="4"/>
  <c r="Q493" i="4"/>
  <c r="J494" i="4"/>
  <c r="K494" i="4"/>
  <c r="L494" i="4"/>
  <c r="M494" i="4"/>
  <c r="N494" i="4"/>
  <c r="O494" i="4"/>
  <c r="Q494" i="4"/>
  <c r="J495" i="4"/>
  <c r="K495" i="4"/>
  <c r="L495" i="4"/>
  <c r="M495" i="4"/>
  <c r="N495" i="4"/>
  <c r="O495" i="4"/>
  <c r="Q495" i="4"/>
  <c r="J496" i="4"/>
  <c r="K496" i="4"/>
  <c r="L496" i="4"/>
  <c r="M496" i="4"/>
  <c r="N496" i="4"/>
  <c r="O496" i="4"/>
  <c r="Q496" i="4"/>
  <c r="J497" i="4"/>
  <c r="K497" i="4"/>
  <c r="L497" i="4"/>
  <c r="M497" i="4"/>
  <c r="N497" i="4"/>
  <c r="O497" i="4"/>
  <c r="Q497" i="4"/>
  <c r="J498" i="4"/>
  <c r="K498" i="4"/>
  <c r="L498" i="4"/>
  <c r="M498" i="4"/>
  <c r="N498" i="4"/>
  <c r="O498" i="4"/>
  <c r="Q498" i="4"/>
  <c r="J499" i="4"/>
  <c r="K499" i="4"/>
  <c r="L499" i="4"/>
  <c r="M499" i="4"/>
  <c r="N499" i="4"/>
  <c r="O499" i="4"/>
  <c r="Q499" i="4"/>
  <c r="J500" i="4"/>
  <c r="K500" i="4"/>
  <c r="L500" i="4"/>
  <c r="M500" i="4"/>
  <c r="N500" i="4"/>
  <c r="O500" i="4"/>
  <c r="Q500" i="4"/>
  <c r="J501" i="4"/>
  <c r="K501" i="4"/>
  <c r="L501" i="4"/>
  <c r="M501" i="4"/>
  <c r="N501" i="4"/>
  <c r="O501" i="4"/>
  <c r="Q501" i="4"/>
  <c r="J502" i="4"/>
  <c r="K502" i="4"/>
  <c r="L502" i="4"/>
  <c r="M502" i="4"/>
  <c r="N502" i="4"/>
  <c r="O502" i="4"/>
  <c r="Q502" i="4"/>
  <c r="J503" i="4"/>
  <c r="K503" i="4"/>
  <c r="L503" i="4"/>
  <c r="M503" i="4"/>
  <c r="N503" i="4"/>
  <c r="O503" i="4"/>
  <c r="Q503" i="4"/>
  <c r="J504" i="4"/>
  <c r="K504" i="4"/>
  <c r="L504" i="4"/>
  <c r="M504" i="4"/>
  <c r="N504" i="4"/>
  <c r="O504" i="4"/>
  <c r="Q504" i="4"/>
  <c r="J505" i="4"/>
  <c r="K505" i="4"/>
  <c r="L505" i="4"/>
  <c r="M505" i="4"/>
  <c r="N505" i="4"/>
  <c r="O505" i="4"/>
  <c r="Q505" i="4"/>
  <c r="J506" i="4"/>
  <c r="K506" i="4"/>
  <c r="L506" i="4"/>
  <c r="M506" i="4"/>
  <c r="N506" i="4"/>
  <c r="O506" i="4"/>
  <c r="Q506" i="4"/>
  <c r="J507" i="4"/>
  <c r="K507" i="4"/>
  <c r="L507" i="4"/>
  <c r="M507" i="4"/>
  <c r="N507" i="4"/>
  <c r="O507" i="4"/>
  <c r="Q507" i="4"/>
  <c r="J508" i="4"/>
  <c r="K508" i="4"/>
  <c r="L508" i="4"/>
  <c r="M508" i="4"/>
  <c r="N508" i="4"/>
  <c r="O508" i="4"/>
  <c r="Q508" i="4"/>
  <c r="J509" i="4"/>
  <c r="K509" i="4"/>
  <c r="L509" i="4"/>
  <c r="M509" i="4"/>
  <c r="N509" i="4"/>
  <c r="O509" i="4"/>
  <c r="Q509" i="4"/>
  <c r="J510" i="4"/>
  <c r="K510" i="4"/>
  <c r="L510" i="4"/>
  <c r="M510" i="4"/>
  <c r="N510" i="4"/>
  <c r="O510" i="4"/>
  <c r="Q510" i="4"/>
  <c r="J511" i="4"/>
  <c r="K511" i="4"/>
  <c r="L511" i="4"/>
  <c r="M511" i="4"/>
  <c r="N511" i="4"/>
  <c r="O511" i="4"/>
  <c r="Q511" i="4"/>
  <c r="J512" i="4"/>
  <c r="K512" i="4"/>
  <c r="L512" i="4"/>
  <c r="M512" i="4"/>
  <c r="N512" i="4"/>
  <c r="O512" i="4"/>
  <c r="Q512" i="4"/>
  <c r="J513" i="4"/>
  <c r="K513" i="4"/>
  <c r="L513" i="4"/>
  <c r="M513" i="4"/>
  <c r="N513" i="4"/>
  <c r="O513" i="4"/>
  <c r="Q513" i="4"/>
  <c r="J514" i="4"/>
  <c r="K514" i="4"/>
  <c r="L514" i="4"/>
  <c r="M514" i="4"/>
  <c r="N514" i="4"/>
  <c r="O514" i="4"/>
  <c r="Q514" i="4"/>
  <c r="J515" i="4"/>
  <c r="K515" i="4"/>
  <c r="L515" i="4"/>
  <c r="M515" i="4"/>
  <c r="N515" i="4"/>
  <c r="O515" i="4"/>
  <c r="Q515" i="4"/>
  <c r="J516" i="4"/>
  <c r="K516" i="4"/>
  <c r="L516" i="4"/>
  <c r="M516" i="4"/>
  <c r="N516" i="4"/>
  <c r="O516" i="4"/>
  <c r="Q516" i="4"/>
  <c r="J517" i="4"/>
  <c r="K517" i="4"/>
  <c r="L517" i="4"/>
  <c r="M517" i="4"/>
  <c r="N517" i="4"/>
  <c r="O517" i="4"/>
  <c r="Q517" i="4"/>
  <c r="J518" i="4"/>
  <c r="K518" i="4"/>
  <c r="L518" i="4"/>
  <c r="M518" i="4"/>
  <c r="N518" i="4"/>
  <c r="O518" i="4"/>
  <c r="Q518" i="4"/>
  <c r="J519" i="4"/>
  <c r="K519" i="4"/>
  <c r="L519" i="4"/>
  <c r="M519" i="4"/>
  <c r="N519" i="4"/>
  <c r="O519" i="4"/>
  <c r="Q519" i="4"/>
  <c r="J520" i="4"/>
  <c r="K520" i="4"/>
  <c r="L520" i="4"/>
  <c r="M520" i="4"/>
  <c r="N520" i="4"/>
  <c r="O520" i="4"/>
  <c r="Q520" i="4"/>
  <c r="J521" i="4"/>
  <c r="K521" i="4"/>
  <c r="L521" i="4"/>
  <c r="M521" i="4"/>
  <c r="N521" i="4"/>
  <c r="O521" i="4"/>
  <c r="Q521" i="4"/>
  <c r="J522" i="4"/>
  <c r="K522" i="4"/>
  <c r="L522" i="4"/>
  <c r="M522" i="4"/>
  <c r="N522" i="4"/>
  <c r="O522" i="4"/>
  <c r="Q522" i="4"/>
  <c r="J523" i="4"/>
  <c r="K523" i="4"/>
  <c r="L523" i="4"/>
  <c r="M523" i="4"/>
  <c r="N523" i="4"/>
  <c r="O523" i="4"/>
  <c r="Q523" i="4"/>
  <c r="J524" i="4"/>
  <c r="K524" i="4"/>
  <c r="L524" i="4"/>
  <c r="M524" i="4"/>
  <c r="N524" i="4"/>
  <c r="O524" i="4"/>
  <c r="Q524" i="4"/>
  <c r="J525" i="4"/>
  <c r="K525" i="4"/>
  <c r="L525" i="4"/>
  <c r="M525" i="4"/>
  <c r="N525" i="4"/>
  <c r="O525" i="4"/>
  <c r="Q525" i="4"/>
  <c r="J526" i="4"/>
  <c r="K526" i="4"/>
  <c r="L526" i="4"/>
  <c r="M526" i="4"/>
  <c r="N526" i="4"/>
  <c r="O526" i="4"/>
  <c r="Q526" i="4"/>
  <c r="J527" i="4"/>
  <c r="K527" i="4"/>
  <c r="L527" i="4"/>
  <c r="M527" i="4"/>
  <c r="N527" i="4"/>
  <c r="O527" i="4"/>
  <c r="Q527" i="4"/>
  <c r="J528" i="4"/>
  <c r="K528" i="4"/>
  <c r="L528" i="4"/>
  <c r="M528" i="4"/>
  <c r="N528" i="4"/>
  <c r="O528" i="4"/>
  <c r="Q528" i="4"/>
  <c r="J529" i="4"/>
  <c r="K529" i="4"/>
  <c r="L529" i="4"/>
  <c r="M529" i="4"/>
  <c r="N529" i="4"/>
  <c r="O529" i="4"/>
  <c r="Q529" i="4"/>
  <c r="J530" i="4"/>
  <c r="K530" i="4"/>
  <c r="L530" i="4"/>
  <c r="M530" i="4"/>
  <c r="N530" i="4"/>
  <c r="O530" i="4"/>
  <c r="Q530" i="4"/>
  <c r="J531" i="4"/>
  <c r="K531" i="4"/>
  <c r="L531" i="4"/>
  <c r="M531" i="4"/>
  <c r="N531" i="4"/>
  <c r="O531" i="4"/>
  <c r="Q531" i="4"/>
  <c r="J532" i="4"/>
  <c r="K532" i="4"/>
  <c r="L532" i="4"/>
  <c r="M532" i="4"/>
  <c r="N532" i="4"/>
  <c r="O532" i="4"/>
  <c r="Q532" i="4"/>
  <c r="J533" i="4"/>
  <c r="K533" i="4"/>
  <c r="L533" i="4"/>
  <c r="M533" i="4"/>
  <c r="N533" i="4"/>
  <c r="O533" i="4"/>
  <c r="Q533" i="4"/>
  <c r="J534" i="4"/>
  <c r="K534" i="4"/>
  <c r="L534" i="4"/>
  <c r="M534" i="4"/>
  <c r="N534" i="4"/>
  <c r="O534" i="4"/>
  <c r="Q534" i="4"/>
  <c r="J535" i="4"/>
  <c r="K535" i="4"/>
  <c r="L535" i="4"/>
  <c r="M535" i="4"/>
  <c r="N535" i="4"/>
  <c r="O535" i="4"/>
  <c r="Q535" i="4"/>
  <c r="J536" i="4"/>
  <c r="K536" i="4"/>
  <c r="L536" i="4"/>
  <c r="M536" i="4"/>
  <c r="N536" i="4"/>
  <c r="O536" i="4"/>
  <c r="Q536" i="4"/>
  <c r="J537" i="4"/>
  <c r="K537" i="4"/>
  <c r="L537" i="4"/>
  <c r="M537" i="4"/>
  <c r="N537" i="4"/>
  <c r="O537" i="4"/>
  <c r="Q537" i="4"/>
  <c r="J538" i="4"/>
  <c r="K538" i="4"/>
  <c r="L538" i="4"/>
  <c r="M538" i="4"/>
  <c r="N538" i="4"/>
  <c r="O538" i="4"/>
  <c r="Q538" i="4"/>
  <c r="J539" i="4"/>
  <c r="K539" i="4"/>
  <c r="L539" i="4"/>
  <c r="M539" i="4"/>
  <c r="N539" i="4"/>
  <c r="O539" i="4"/>
  <c r="Q539" i="4"/>
  <c r="J540" i="4"/>
  <c r="K540" i="4"/>
  <c r="L540" i="4"/>
  <c r="M540" i="4"/>
  <c r="N540" i="4"/>
  <c r="O540" i="4"/>
  <c r="Q540" i="4"/>
  <c r="J541" i="4"/>
  <c r="K541" i="4"/>
  <c r="L541" i="4"/>
  <c r="M541" i="4"/>
  <c r="N541" i="4"/>
  <c r="O541" i="4"/>
  <c r="Q541" i="4"/>
  <c r="J542" i="4"/>
  <c r="K542" i="4"/>
  <c r="L542" i="4"/>
  <c r="M542" i="4"/>
  <c r="N542" i="4"/>
  <c r="O542" i="4"/>
  <c r="Q542" i="4"/>
  <c r="J543" i="4"/>
  <c r="K543" i="4"/>
  <c r="L543" i="4"/>
  <c r="M543" i="4"/>
  <c r="N543" i="4"/>
  <c r="O543" i="4"/>
  <c r="Q543" i="4"/>
  <c r="J544" i="4"/>
  <c r="K544" i="4"/>
  <c r="L544" i="4"/>
  <c r="M544" i="4"/>
  <c r="N544" i="4"/>
  <c r="O544" i="4"/>
  <c r="Q544" i="4"/>
  <c r="J545" i="4"/>
  <c r="K545" i="4"/>
  <c r="L545" i="4"/>
  <c r="M545" i="4"/>
  <c r="N545" i="4"/>
  <c r="O545" i="4"/>
  <c r="Q545" i="4"/>
  <c r="J546" i="4"/>
  <c r="K546" i="4"/>
  <c r="L546" i="4"/>
  <c r="M546" i="4"/>
  <c r="N546" i="4"/>
  <c r="O546" i="4"/>
  <c r="Q546" i="4"/>
  <c r="J547" i="4"/>
  <c r="K547" i="4"/>
  <c r="L547" i="4"/>
  <c r="M547" i="4"/>
  <c r="N547" i="4"/>
  <c r="O547" i="4"/>
  <c r="Q547" i="4"/>
  <c r="J548" i="4"/>
  <c r="K548" i="4"/>
  <c r="L548" i="4"/>
  <c r="M548" i="4"/>
  <c r="N548" i="4"/>
  <c r="O548" i="4"/>
  <c r="Q548" i="4"/>
  <c r="J549" i="4"/>
  <c r="K549" i="4"/>
  <c r="L549" i="4"/>
  <c r="M549" i="4"/>
  <c r="N549" i="4"/>
  <c r="O549" i="4"/>
  <c r="Q549" i="4"/>
  <c r="J550" i="4"/>
  <c r="K550" i="4"/>
  <c r="L550" i="4"/>
  <c r="M550" i="4"/>
  <c r="N550" i="4"/>
  <c r="O550" i="4"/>
  <c r="Q550" i="4"/>
  <c r="J551" i="4"/>
  <c r="K551" i="4"/>
  <c r="L551" i="4"/>
  <c r="M551" i="4"/>
  <c r="N551" i="4"/>
  <c r="O551" i="4"/>
  <c r="Q551" i="4"/>
  <c r="J552" i="4"/>
  <c r="K552" i="4"/>
  <c r="L552" i="4"/>
  <c r="M552" i="4"/>
  <c r="N552" i="4"/>
  <c r="O552" i="4"/>
  <c r="Q552" i="4"/>
  <c r="J553" i="4"/>
  <c r="K553" i="4"/>
  <c r="L553" i="4"/>
  <c r="M553" i="4"/>
  <c r="N553" i="4"/>
  <c r="O553" i="4"/>
  <c r="P553" i="4"/>
  <c r="Q553" i="4"/>
  <c r="J554" i="4"/>
  <c r="K554" i="4"/>
  <c r="L554" i="4"/>
  <c r="M554" i="4"/>
  <c r="N554" i="4"/>
  <c r="O554" i="4"/>
  <c r="P554" i="4"/>
  <c r="Q554" i="4"/>
  <c r="J555" i="4"/>
  <c r="K555" i="4"/>
  <c r="L555" i="4"/>
  <c r="M555" i="4"/>
  <c r="N555" i="4"/>
  <c r="O555" i="4"/>
  <c r="P555" i="4"/>
  <c r="Q555" i="4"/>
  <c r="J556" i="4"/>
  <c r="K556" i="4"/>
  <c r="L556" i="4"/>
  <c r="M556" i="4"/>
  <c r="N556" i="4"/>
  <c r="O556" i="4"/>
  <c r="P556" i="4"/>
  <c r="Q556" i="4"/>
  <c r="J557" i="4"/>
  <c r="K557" i="4"/>
  <c r="L557" i="4"/>
  <c r="M557" i="4"/>
  <c r="N557" i="4"/>
  <c r="O557" i="4"/>
  <c r="P557" i="4"/>
  <c r="Q557" i="4"/>
  <c r="J558" i="4"/>
  <c r="K558" i="4"/>
  <c r="L558" i="4"/>
  <c r="M558" i="4"/>
  <c r="N558" i="4"/>
  <c r="O558" i="4"/>
  <c r="P558" i="4"/>
  <c r="Q558" i="4"/>
  <c r="J559" i="4"/>
  <c r="K559" i="4"/>
  <c r="L559" i="4"/>
  <c r="M559" i="4"/>
  <c r="N559" i="4"/>
  <c r="O559" i="4"/>
  <c r="P559" i="4"/>
  <c r="Q559" i="4"/>
  <c r="J560" i="4"/>
  <c r="K560" i="4"/>
  <c r="L560" i="4"/>
  <c r="M560" i="4"/>
  <c r="N560" i="4"/>
  <c r="O560" i="4"/>
  <c r="P560" i="4"/>
  <c r="Q560" i="4"/>
  <c r="J561" i="4"/>
  <c r="K561" i="4"/>
  <c r="L561" i="4"/>
  <c r="M561" i="4"/>
  <c r="N561" i="4"/>
  <c r="O561" i="4"/>
  <c r="P561" i="4"/>
  <c r="Q561" i="4"/>
  <c r="J562" i="4"/>
  <c r="K562" i="4"/>
  <c r="L562" i="4"/>
  <c r="M562" i="4"/>
  <c r="N562" i="4"/>
  <c r="O562" i="4"/>
  <c r="P562" i="4"/>
  <c r="Q562" i="4"/>
  <c r="J563" i="4"/>
  <c r="K563" i="4"/>
  <c r="L563" i="4"/>
  <c r="M563" i="4"/>
  <c r="N563" i="4"/>
  <c r="O563" i="4"/>
  <c r="P563" i="4"/>
  <c r="Q563" i="4"/>
  <c r="J564" i="4"/>
  <c r="K564" i="4"/>
  <c r="L564" i="4"/>
  <c r="M564" i="4"/>
  <c r="N564" i="4"/>
  <c r="O564" i="4"/>
  <c r="P564" i="4"/>
  <c r="Q564" i="4"/>
  <c r="J565" i="4"/>
  <c r="K565" i="4"/>
  <c r="L565" i="4"/>
  <c r="M565" i="4"/>
  <c r="N565" i="4"/>
  <c r="O565" i="4"/>
  <c r="P565" i="4"/>
  <c r="Q565" i="4"/>
  <c r="J566" i="4"/>
  <c r="K566" i="4"/>
  <c r="L566" i="4"/>
  <c r="M566" i="4"/>
  <c r="N566" i="4"/>
  <c r="O566" i="4"/>
  <c r="P566" i="4"/>
  <c r="Q566" i="4"/>
  <c r="J567" i="4"/>
  <c r="K567" i="4"/>
  <c r="L567" i="4"/>
  <c r="M567" i="4"/>
  <c r="N567" i="4"/>
  <c r="O567" i="4"/>
  <c r="P567" i="4"/>
  <c r="Q567" i="4"/>
  <c r="J568" i="4"/>
  <c r="K568" i="4"/>
  <c r="L568" i="4"/>
  <c r="M568" i="4"/>
  <c r="N568" i="4"/>
  <c r="O568" i="4"/>
  <c r="P568" i="4"/>
  <c r="Q568" i="4"/>
  <c r="J569" i="4"/>
  <c r="K569" i="4"/>
  <c r="L569" i="4"/>
  <c r="M569" i="4"/>
  <c r="N569" i="4"/>
  <c r="O569" i="4"/>
  <c r="P569" i="4"/>
  <c r="Q569" i="4"/>
  <c r="J570" i="4"/>
  <c r="K570" i="4"/>
  <c r="L570" i="4"/>
  <c r="M570" i="4"/>
  <c r="N570" i="4"/>
  <c r="O570" i="4"/>
  <c r="P570" i="4"/>
  <c r="Q570" i="4"/>
  <c r="J571" i="4"/>
  <c r="K571" i="4"/>
  <c r="L571" i="4"/>
  <c r="M571" i="4"/>
  <c r="N571" i="4"/>
  <c r="O571" i="4"/>
  <c r="P571" i="4"/>
  <c r="Q571" i="4"/>
  <c r="J572" i="4"/>
  <c r="K572" i="4"/>
  <c r="L572" i="4"/>
  <c r="M572" i="4"/>
  <c r="N572" i="4"/>
  <c r="O572" i="4"/>
  <c r="P572" i="4"/>
  <c r="Q572" i="4"/>
  <c r="J573" i="4"/>
  <c r="K573" i="4"/>
  <c r="L573" i="4"/>
  <c r="M573" i="4"/>
  <c r="N573" i="4"/>
  <c r="O573" i="4"/>
  <c r="P573" i="4"/>
  <c r="Q573" i="4"/>
  <c r="J574" i="4"/>
  <c r="K574" i="4"/>
  <c r="L574" i="4"/>
  <c r="M574" i="4"/>
  <c r="N574" i="4"/>
  <c r="O574" i="4"/>
  <c r="P574" i="4"/>
  <c r="Q574" i="4"/>
  <c r="J575" i="4"/>
  <c r="K575" i="4"/>
  <c r="L575" i="4"/>
  <c r="M575" i="4"/>
  <c r="N575" i="4"/>
  <c r="O575" i="4"/>
  <c r="P575" i="4"/>
  <c r="Q575" i="4"/>
  <c r="J576" i="4"/>
  <c r="K576" i="4"/>
  <c r="L576" i="4"/>
  <c r="M576" i="4"/>
  <c r="N576" i="4"/>
  <c r="O576" i="4"/>
  <c r="P576" i="4"/>
  <c r="Q576" i="4"/>
  <c r="J577" i="4"/>
  <c r="K577" i="4"/>
  <c r="L577" i="4"/>
  <c r="M577" i="4"/>
  <c r="N577" i="4"/>
  <c r="O577" i="4"/>
  <c r="P577" i="4"/>
  <c r="Q577" i="4"/>
  <c r="J578" i="4"/>
  <c r="K578" i="4"/>
  <c r="L578" i="4"/>
  <c r="M578" i="4"/>
  <c r="N578" i="4"/>
  <c r="O578" i="4"/>
  <c r="P578" i="4"/>
  <c r="Q578" i="4"/>
  <c r="J579" i="4"/>
  <c r="K579" i="4"/>
  <c r="L579" i="4"/>
  <c r="M579" i="4"/>
  <c r="N579" i="4"/>
  <c r="O579" i="4"/>
  <c r="P579" i="4"/>
  <c r="Q579" i="4"/>
  <c r="J580" i="4"/>
  <c r="K580" i="4"/>
  <c r="L580" i="4"/>
  <c r="M580" i="4"/>
  <c r="N580" i="4"/>
  <c r="O580" i="4"/>
  <c r="P580" i="4"/>
  <c r="Q580" i="4"/>
  <c r="J581" i="4"/>
  <c r="K581" i="4"/>
  <c r="L581" i="4"/>
  <c r="M581" i="4"/>
  <c r="N581" i="4"/>
  <c r="O581" i="4"/>
  <c r="P581" i="4"/>
  <c r="Q581" i="4"/>
  <c r="J582" i="4"/>
  <c r="K582" i="4"/>
  <c r="L582" i="4"/>
  <c r="M582" i="4"/>
  <c r="N582" i="4"/>
  <c r="O582" i="4"/>
  <c r="P582" i="4"/>
  <c r="Q582" i="4"/>
  <c r="J583" i="4"/>
  <c r="K583" i="4"/>
  <c r="L583" i="4"/>
  <c r="M583" i="4"/>
  <c r="N583" i="4"/>
  <c r="O583" i="4"/>
  <c r="P583" i="4"/>
  <c r="Q583" i="4"/>
  <c r="J584" i="4"/>
  <c r="K584" i="4"/>
  <c r="L584" i="4"/>
  <c r="M584" i="4"/>
  <c r="N584" i="4"/>
  <c r="O584" i="4"/>
  <c r="P584" i="4"/>
  <c r="Q584" i="4"/>
  <c r="J585" i="4"/>
  <c r="K585" i="4"/>
  <c r="L585" i="4"/>
  <c r="M585" i="4"/>
  <c r="N585" i="4"/>
  <c r="O585" i="4"/>
  <c r="P585" i="4"/>
  <c r="Q585" i="4"/>
  <c r="J586" i="4"/>
  <c r="K586" i="4"/>
  <c r="L586" i="4"/>
  <c r="M586" i="4"/>
  <c r="N586" i="4"/>
  <c r="O586" i="4"/>
  <c r="P586" i="4"/>
  <c r="Q586" i="4"/>
  <c r="J587" i="4"/>
  <c r="K587" i="4"/>
  <c r="L587" i="4"/>
  <c r="M587" i="4"/>
  <c r="N587" i="4"/>
  <c r="O587" i="4"/>
  <c r="P587" i="4"/>
  <c r="Q587" i="4"/>
  <c r="J588" i="4"/>
  <c r="K588" i="4"/>
  <c r="L588" i="4"/>
  <c r="M588" i="4"/>
  <c r="N588" i="4"/>
  <c r="O588" i="4"/>
  <c r="P588" i="4"/>
  <c r="Q588" i="4"/>
  <c r="J589" i="4"/>
  <c r="K589" i="4"/>
  <c r="L589" i="4"/>
  <c r="M589" i="4"/>
  <c r="N589" i="4"/>
  <c r="O589" i="4"/>
  <c r="P589" i="4"/>
  <c r="Q589" i="4"/>
  <c r="J590" i="4"/>
  <c r="K590" i="4"/>
  <c r="L590" i="4"/>
  <c r="M590" i="4"/>
  <c r="N590" i="4"/>
  <c r="O590" i="4"/>
  <c r="P590" i="4"/>
  <c r="Q590" i="4"/>
  <c r="J591" i="4"/>
  <c r="K591" i="4"/>
  <c r="L591" i="4"/>
  <c r="M591" i="4"/>
  <c r="N591" i="4"/>
  <c r="O591" i="4"/>
  <c r="P591" i="4"/>
  <c r="Q591" i="4"/>
  <c r="J592" i="4"/>
  <c r="K592" i="4"/>
  <c r="L592" i="4"/>
  <c r="M592" i="4"/>
  <c r="N592" i="4"/>
  <c r="O592" i="4"/>
  <c r="P592" i="4"/>
  <c r="Q592" i="4"/>
  <c r="J593" i="4"/>
  <c r="K593" i="4"/>
  <c r="L593" i="4"/>
  <c r="M593" i="4"/>
  <c r="N593" i="4"/>
  <c r="O593" i="4"/>
  <c r="P593" i="4"/>
  <c r="Q593" i="4"/>
  <c r="J594" i="4"/>
  <c r="K594" i="4"/>
  <c r="L594" i="4"/>
  <c r="M594" i="4"/>
  <c r="N594" i="4"/>
  <c r="O594" i="4"/>
  <c r="P594" i="4"/>
  <c r="Q594" i="4"/>
  <c r="J595" i="4"/>
  <c r="K595" i="4"/>
  <c r="L595" i="4"/>
  <c r="M595" i="4"/>
  <c r="N595" i="4"/>
  <c r="O595" i="4"/>
  <c r="P595" i="4"/>
  <c r="Q595" i="4"/>
  <c r="J596" i="4"/>
  <c r="K596" i="4"/>
  <c r="L596" i="4"/>
  <c r="M596" i="4"/>
  <c r="N596" i="4"/>
  <c r="O596" i="4"/>
  <c r="P596" i="4"/>
  <c r="Q596" i="4"/>
  <c r="J597" i="4"/>
  <c r="K597" i="4"/>
  <c r="L597" i="4"/>
  <c r="M597" i="4"/>
  <c r="N597" i="4"/>
  <c r="O597" i="4"/>
  <c r="P597" i="4"/>
  <c r="Q597" i="4"/>
  <c r="J598" i="4"/>
  <c r="K598" i="4"/>
  <c r="L598" i="4"/>
  <c r="M598" i="4"/>
  <c r="N598" i="4"/>
  <c r="O598" i="4"/>
  <c r="P598" i="4"/>
  <c r="Q598" i="4"/>
  <c r="J599" i="4"/>
  <c r="K599" i="4"/>
  <c r="L599" i="4"/>
  <c r="M599" i="4"/>
  <c r="N599" i="4"/>
  <c r="O599" i="4"/>
  <c r="P599" i="4"/>
  <c r="Q599" i="4"/>
  <c r="J600" i="4"/>
  <c r="K600" i="4"/>
  <c r="L600" i="4"/>
  <c r="M600" i="4"/>
  <c r="N600" i="4"/>
  <c r="O600" i="4"/>
  <c r="P600" i="4"/>
  <c r="Q600" i="4"/>
  <c r="J601" i="4"/>
  <c r="K601" i="4"/>
  <c r="L601" i="4"/>
  <c r="M601" i="4"/>
  <c r="N601" i="4"/>
  <c r="O601" i="4"/>
  <c r="P601" i="4"/>
  <c r="Q601" i="4"/>
  <c r="J602" i="4"/>
  <c r="K602" i="4"/>
  <c r="L602" i="4"/>
  <c r="M602" i="4"/>
  <c r="N602" i="4"/>
  <c r="O602" i="4"/>
  <c r="P602" i="4"/>
  <c r="Q602" i="4"/>
  <c r="J603" i="4"/>
  <c r="K603" i="4"/>
  <c r="L603" i="4"/>
  <c r="M603" i="4"/>
  <c r="N603" i="4"/>
  <c r="O603" i="4"/>
  <c r="P603" i="4"/>
  <c r="Q603" i="4"/>
  <c r="J604" i="4"/>
  <c r="K604" i="4"/>
  <c r="L604" i="4"/>
  <c r="M604" i="4"/>
  <c r="N604" i="4"/>
  <c r="O604" i="4"/>
  <c r="P604" i="4"/>
  <c r="Q604" i="4"/>
  <c r="J605" i="4"/>
  <c r="K605" i="4"/>
  <c r="L605" i="4"/>
  <c r="M605" i="4"/>
  <c r="N605" i="4"/>
  <c r="O605" i="4"/>
  <c r="P605" i="4"/>
  <c r="Q605" i="4"/>
  <c r="J606" i="4"/>
  <c r="K606" i="4"/>
  <c r="L606" i="4"/>
  <c r="M606" i="4"/>
  <c r="N606" i="4"/>
  <c r="O606" i="4"/>
  <c r="P606" i="4"/>
  <c r="Q606" i="4"/>
  <c r="J607" i="4"/>
  <c r="K607" i="4"/>
  <c r="L607" i="4"/>
  <c r="M607" i="4"/>
  <c r="N607" i="4"/>
  <c r="O607" i="4"/>
  <c r="P607" i="4"/>
  <c r="Q607" i="4"/>
  <c r="J608" i="4"/>
  <c r="K608" i="4"/>
  <c r="L608" i="4"/>
  <c r="M608" i="4"/>
  <c r="N608" i="4"/>
  <c r="O608" i="4"/>
  <c r="P608" i="4"/>
  <c r="Q608" i="4"/>
  <c r="J609" i="4"/>
  <c r="K609" i="4"/>
  <c r="L609" i="4"/>
  <c r="M609" i="4"/>
  <c r="N609" i="4"/>
  <c r="O609" i="4"/>
  <c r="P609" i="4"/>
  <c r="Q609" i="4"/>
  <c r="J610" i="4"/>
  <c r="K610" i="4"/>
  <c r="L610" i="4"/>
  <c r="M610" i="4"/>
  <c r="N610" i="4"/>
  <c r="O610" i="4"/>
  <c r="P610" i="4"/>
  <c r="Q610" i="4"/>
  <c r="J611" i="4"/>
  <c r="K611" i="4"/>
  <c r="L611" i="4"/>
  <c r="M611" i="4"/>
  <c r="N611" i="4"/>
  <c r="O611" i="4"/>
  <c r="P611" i="4"/>
  <c r="Q611" i="4"/>
  <c r="J612" i="4"/>
  <c r="K612" i="4"/>
  <c r="L612" i="4"/>
  <c r="M612" i="4"/>
  <c r="N612" i="4"/>
  <c r="O612" i="4"/>
  <c r="P612" i="4"/>
  <c r="Q612" i="4"/>
  <c r="J613" i="4"/>
  <c r="K613" i="4"/>
  <c r="L613" i="4"/>
  <c r="M613" i="4"/>
  <c r="N613" i="4"/>
  <c r="O613" i="4"/>
  <c r="P613" i="4"/>
  <c r="Q613" i="4"/>
  <c r="J614" i="4"/>
  <c r="K614" i="4"/>
  <c r="L614" i="4"/>
  <c r="M614" i="4"/>
  <c r="N614" i="4"/>
  <c r="O614" i="4"/>
  <c r="P614" i="4"/>
  <c r="Q614" i="4"/>
  <c r="J615" i="4"/>
  <c r="K615" i="4"/>
  <c r="L615" i="4"/>
  <c r="M615" i="4"/>
  <c r="N615" i="4"/>
  <c r="O615" i="4"/>
  <c r="P615" i="4"/>
  <c r="Q615" i="4"/>
  <c r="J616" i="4"/>
  <c r="K616" i="4"/>
  <c r="L616" i="4"/>
  <c r="M616" i="4"/>
  <c r="N616" i="4"/>
  <c r="O616" i="4"/>
  <c r="P616" i="4"/>
  <c r="Q616" i="4"/>
  <c r="J617" i="4"/>
  <c r="K617" i="4"/>
  <c r="L617" i="4"/>
  <c r="M617" i="4"/>
  <c r="N617" i="4"/>
  <c r="O617" i="4"/>
  <c r="P617" i="4"/>
  <c r="Q617" i="4"/>
  <c r="J618" i="4"/>
  <c r="K618" i="4"/>
  <c r="L618" i="4"/>
  <c r="M618" i="4"/>
  <c r="N618" i="4"/>
  <c r="O618" i="4"/>
  <c r="P618" i="4"/>
  <c r="Q618" i="4"/>
  <c r="J619" i="4"/>
  <c r="K619" i="4"/>
  <c r="L619" i="4"/>
  <c r="M619" i="4"/>
  <c r="N619" i="4"/>
  <c r="O619" i="4"/>
  <c r="P619" i="4"/>
  <c r="Q619" i="4"/>
  <c r="J620" i="4"/>
  <c r="K620" i="4"/>
  <c r="L620" i="4"/>
  <c r="M620" i="4"/>
  <c r="N620" i="4"/>
  <c r="O620" i="4"/>
  <c r="P620" i="4"/>
  <c r="Q620" i="4"/>
  <c r="J621" i="4"/>
  <c r="K621" i="4"/>
  <c r="L621" i="4"/>
  <c r="M621" i="4"/>
  <c r="N621" i="4"/>
  <c r="O621" i="4"/>
  <c r="P621" i="4"/>
  <c r="Q621" i="4"/>
  <c r="J622" i="4"/>
  <c r="K622" i="4"/>
  <c r="L622" i="4"/>
  <c r="M622" i="4"/>
  <c r="N622" i="4"/>
  <c r="O622" i="4"/>
  <c r="P622" i="4"/>
  <c r="Q622" i="4"/>
  <c r="J623" i="4"/>
  <c r="K623" i="4"/>
  <c r="L623" i="4"/>
  <c r="M623" i="4"/>
  <c r="N623" i="4"/>
  <c r="O623" i="4"/>
  <c r="P623" i="4"/>
  <c r="Q623" i="4"/>
  <c r="J624" i="4"/>
  <c r="K624" i="4"/>
  <c r="L624" i="4"/>
  <c r="M624" i="4"/>
  <c r="N624" i="4"/>
  <c r="O624" i="4"/>
  <c r="P624" i="4"/>
  <c r="Q624" i="4"/>
  <c r="J625" i="4"/>
  <c r="K625" i="4"/>
  <c r="L625" i="4"/>
  <c r="M625" i="4"/>
  <c r="N625" i="4"/>
  <c r="O625" i="4"/>
  <c r="P625" i="4"/>
  <c r="Q625" i="4"/>
  <c r="J626" i="4"/>
  <c r="K626" i="4"/>
  <c r="L626" i="4"/>
  <c r="M626" i="4"/>
  <c r="N626" i="4"/>
  <c r="O626" i="4"/>
  <c r="P626" i="4"/>
  <c r="Q626" i="4"/>
  <c r="J627" i="4"/>
  <c r="K627" i="4"/>
  <c r="L627" i="4"/>
  <c r="M627" i="4"/>
  <c r="N627" i="4"/>
  <c r="O627" i="4"/>
  <c r="P627" i="4"/>
  <c r="Q627" i="4"/>
  <c r="J628" i="4"/>
  <c r="K628" i="4"/>
  <c r="L628" i="4"/>
  <c r="M628" i="4"/>
  <c r="N628" i="4"/>
  <c r="O628" i="4"/>
  <c r="P628" i="4"/>
  <c r="Q628" i="4"/>
  <c r="J629" i="4"/>
  <c r="K629" i="4"/>
  <c r="L629" i="4"/>
  <c r="M629" i="4"/>
  <c r="N629" i="4"/>
  <c r="O629" i="4"/>
  <c r="P629" i="4"/>
  <c r="Q629" i="4"/>
  <c r="J630" i="4"/>
  <c r="K630" i="4"/>
  <c r="L630" i="4"/>
  <c r="M630" i="4"/>
  <c r="N630" i="4"/>
  <c r="O630" i="4"/>
  <c r="P630" i="4"/>
  <c r="Q630" i="4"/>
  <c r="J631" i="4"/>
  <c r="K631" i="4"/>
  <c r="L631" i="4"/>
  <c r="M631" i="4"/>
  <c r="N631" i="4"/>
  <c r="O631" i="4"/>
  <c r="P631" i="4"/>
  <c r="Q631" i="4"/>
  <c r="J632" i="4"/>
  <c r="K632" i="4"/>
  <c r="L632" i="4"/>
  <c r="M632" i="4"/>
  <c r="N632" i="4"/>
  <c r="O632" i="4"/>
  <c r="P632" i="4"/>
  <c r="Q632" i="4"/>
  <c r="J633" i="4"/>
  <c r="K633" i="4"/>
  <c r="L633" i="4"/>
  <c r="M633" i="4"/>
  <c r="N633" i="4"/>
  <c r="O633" i="4"/>
  <c r="P633" i="4"/>
  <c r="Q633" i="4"/>
  <c r="J634" i="4"/>
  <c r="K634" i="4"/>
  <c r="L634" i="4"/>
  <c r="M634" i="4"/>
  <c r="N634" i="4"/>
  <c r="O634" i="4"/>
  <c r="P634" i="4"/>
  <c r="Q634" i="4"/>
  <c r="J635" i="4"/>
  <c r="K635" i="4"/>
  <c r="L635" i="4"/>
  <c r="M635" i="4"/>
  <c r="N635" i="4"/>
  <c r="O635" i="4"/>
  <c r="P635" i="4"/>
  <c r="Q635" i="4"/>
  <c r="J636" i="4"/>
  <c r="K636" i="4"/>
  <c r="L636" i="4"/>
  <c r="M636" i="4"/>
  <c r="N636" i="4"/>
  <c r="O636" i="4"/>
  <c r="P636" i="4"/>
  <c r="Q636" i="4"/>
  <c r="J637" i="4"/>
  <c r="K637" i="4"/>
  <c r="L637" i="4"/>
  <c r="M637" i="4"/>
  <c r="N637" i="4"/>
  <c r="O637" i="4"/>
  <c r="P637" i="4"/>
  <c r="Q637" i="4"/>
  <c r="J638" i="4"/>
  <c r="K638" i="4"/>
  <c r="L638" i="4"/>
  <c r="M638" i="4"/>
  <c r="N638" i="4"/>
  <c r="O638" i="4"/>
  <c r="P638" i="4"/>
  <c r="Q638" i="4"/>
  <c r="J639" i="4"/>
  <c r="K639" i="4"/>
  <c r="L639" i="4"/>
  <c r="M639" i="4"/>
  <c r="N639" i="4"/>
  <c r="O639" i="4"/>
  <c r="P639" i="4"/>
  <c r="Q639" i="4"/>
  <c r="J640" i="4"/>
  <c r="K640" i="4"/>
  <c r="L640" i="4"/>
  <c r="M640" i="4"/>
  <c r="N640" i="4"/>
  <c r="O640" i="4"/>
  <c r="P640" i="4"/>
  <c r="Q640" i="4"/>
  <c r="J641" i="4"/>
  <c r="K641" i="4"/>
  <c r="L641" i="4"/>
  <c r="M641" i="4"/>
  <c r="N641" i="4"/>
  <c r="O641" i="4"/>
  <c r="P641" i="4"/>
  <c r="Q641" i="4"/>
  <c r="J642" i="4"/>
  <c r="K642" i="4"/>
  <c r="L642" i="4"/>
  <c r="M642" i="4"/>
  <c r="N642" i="4"/>
  <c r="O642" i="4"/>
  <c r="P642" i="4"/>
  <c r="Q642" i="4"/>
  <c r="J643" i="4"/>
  <c r="K643" i="4"/>
  <c r="L643" i="4"/>
  <c r="M643" i="4"/>
  <c r="N643" i="4"/>
  <c r="O643" i="4"/>
  <c r="P643" i="4"/>
  <c r="Q643" i="4"/>
  <c r="J644" i="4"/>
  <c r="K644" i="4"/>
  <c r="L644" i="4"/>
  <c r="M644" i="4"/>
  <c r="N644" i="4"/>
  <c r="O644" i="4"/>
  <c r="P644" i="4"/>
  <c r="Q644" i="4"/>
  <c r="J645" i="4"/>
  <c r="K645" i="4"/>
  <c r="L645" i="4"/>
  <c r="M645" i="4"/>
  <c r="N645" i="4"/>
  <c r="O645" i="4"/>
  <c r="P645" i="4"/>
  <c r="Q645" i="4"/>
  <c r="J646" i="4"/>
  <c r="K646" i="4"/>
  <c r="L646" i="4"/>
  <c r="M646" i="4"/>
  <c r="N646" i="4"/>
  <c r="O646" i="4"/>
  <c r="P646" i="4"/>
  <c r="Q646" i="4"/>
  <c r="J647" i="4"/>
  <c r="K647" i="4"/>
  <c r="L647" i="4"/>
  <c r="M647" i="4"/>
  <c r="N647" i="4"/>
  <c r="O647" i="4"/>
  <c r="P647" i="4"/>
  <c r="Q647" i="4"/>
  <c r="J648" i="4"/>
  <c r="K648" i="4"/>
  <c r="L648" i="4"/>
  <c r="M648" i="4"/>
  <c r="N648" i="4"/>
  <c r="O648" i="4"/>
  <c r="P648" i="4"/>
  <c r="Q648" i="4"/>
  <c r="J649" i="4"/>
  <c r="K649" i="4"/>
  <c r="L649" i="4"/>
  <c r="M649" i="4"/>
  <c r="N649" i="4"/>
  <c r="O649" i="4"/>
  <c r="P649" i="4"/>
  <c r="Q649" i="4"/>
  <c r="J650" i="4"/>
  <c r="K650" i="4"/>
  <c r="L650" i="4"/>
  <c r="M650" i="4"/>
  <c r="N650" i="4"/>
  <c r="O650" i="4"/>
  <c r="P650" i="4"/>
  <c r="Q650" i="4"/>
  <c r="J651" i="4"/>
  <c r="K651" i="4"/>
  <c r="L651" i="4"/>
  <c r="M651" i="4"/>
  <c r="N651" i="4"/>
  <c r="O651" i="4"/>
  <c r="P651" i="4"/>
  <c r="Q651" i="4"/>
  <c r="J652" i="4"/>
  <c r="K652" i="4"/>
  <c r="L652" i="4"/>
  <c r="M652" i="4"/>
  <c r="N652" i="4"/>
  <c r="O652" i="4"/>
  <c r="P652" i="4"/>
  <c r="Q652" i="4"/>
  <c r="J653" i="4"/>
  <c r="K653" i="4"/>
  <c r="L653" i="4"/>
  <c r="M653" i="4"/>
  <c r="N653" i="4"/>
  <c r="O653" i="4"/>
  <c r="P653" i="4"/>
  <c r="Q653" i="4"/>
  <c r="J654" i="4"/>
  <c r="K654" i="4"/>
  <c r="L654" i="4"/>
  <c r="M654" i="4"/>
  <c r="N654" i="4"/>
  <c r="O654" i="4"/>
  <c r="P654" i="4"/>
  <c r="Q654" i="4"/>
  <c r="J655" i="4"/>
  <c r="K655" i="4"/>
  <c r="L655" i="4"/>
  <c r="M655" i="4"/>
  <c r="N655" i="4"/>
  <c r="O655" i="4"/>
  <c r="P655" i="4"/>
  <c r="Q655" i="4"/>
  <c r="J656" i="4"/>
  <c r="K656" i="4"/>
  <c r="L656" i="4"/>
  <c r="M656" i="4"/>
  <c r="N656" i="4"/>
  <c r="O656" i="4"/>
  <c r="P656" i="4"/>
  <c r="Q656" i="4"/>
  <c r="J657" i="4"/>
  <c r="K657" i="4"/>
  <c r="L657" i="4"/>
  <c r="M657" i="4"/>
  <c r="N657" i="4"/>
  <c r="O657" i="4"/>
  <c r="P657" i="4"/>
  <c r="Q657" i="4"/>
  <c r="J658" i="4"/>
  <c r="K658" i="4"/>
  <c r="L658" i="4"/>
  <c r="M658" i="4"/>
  <c r="N658" i="4"/>
  <c r="O658" i="4"/>
  <c r="P658" i="4"/>
  <c r="Q658" i="4"/>
  <c r="J659" i="4"/>
  <c r="K659" i="4"/>
  <c r="L659" i="4"/>
  <c r="M659" i="4"/>
  <c r="N659" i="4"/>
  <c r="O659" i="4"/>
  <c r="P659" i="4"/>
  <c r="Q659" i="4"/>
  <c r="J660" i="4"/>
  <c r="K660" i="4"/>
  <c r="L660" i="4"/>
  <c r="M660" i="4"/>
  <c r="N660" i="4"/>
  <c r="O660" i="4"/>
  <c r="P660" i="4"/>
  <c r="Q660" i="4"/>
  <c r="J661" i="4"/>
  <c r="K661" i="4"/>
  <c r="L661" i="4"/>
  <c r="M661" i="4"/>
  <c r="N661" i="4"/>
  <c r="O661" i="4"/>
  <c r="P661" i="4"/>
  <c r="Q661" i="4"/>
  <c r="J662" i="4"/>
  <c r="K662" i="4"/>
  <c r="L662" i="4"/>
  <c r="M662" i="4"/>
  <c r="N662" i="4"/>
  <c r="O662" i="4"/>
  <c r="P662" i="4"/>
  <c r="Q662" i="4"/>
  <c r="J663" i="4"/>
  <c r="K663" i="4"/>
  <c r="L663" i="4"/>
  <c r="M663" i="4"/>
  <c r="N663" i="4"/>
  <c r="O663" i="4"/>
  <c r="P663" i="4"/>
  <c r="Q663" i="4"/>
  <c r="J664" i="4"/>
  <c r="K664" i="4"/>
  <c r="L664" i="4"/>
  <c r="M664" i="4"/>
  <c r="N664" i="4"/>
  <c r="O664" i="4"/>
  <c r="P664" i="4"/>
  <c r="Q664" i="4"/>
  <c r="J665" i="4"/>
  <c r="K665" i="4"/>
  <c r="L665" i="4"/>
  <c r="M665" i="4"/>
  <c r="N665" i="4"/>
  <c r="O665" i="4"/>
  <c r="P665" i="4"/>
  <c r="Q665" i="4"/>
  <c r="J666" i="4"/>
  <c r="K666" i="4"/>
  <c r="L666" i="4"/>
  <c r="M666" i="4"/>
  <c r="N666" i="4"/>
  <c r="O666" i="4"/>
  <c r="P666" i="4"/>
  <c r="Q666" i="4"/>
  <c r="J667" i="4"/>
  <c r="K667" i="4"/>
  <c r="L667" i="4"/>
  <c r="M667" i="4"/>
  <c r="N667" i="4"/>
  <c r="O667" i="4"/>
  <c r="P667" i="4"/>
  <c r="Q667" i="4"/>
  <c r="J668" i="4"/>
  <c r="K668" i="4"/>
  <c r="L668" i="4"/>
  <c r="M668" i="4"/>
  <c r="N668" i="4"/>
  <c r="O668" i="4"/>
  <c r="P668" i="4"/>
  <c r="Q668" i="4"/>
  <c r="J669" i="4"/>
  <c r="K669" i="4"/>
  <c r="L669" i="4"/>
  <c r="M669" i="4"/>
  <c r="N669" i="4"/>
  <c r="O669" i="4"/>
  <c r="P669" i="4"/>
  <c r="Q669" i="4"/>
  <c r="J670" i="4"/>
  <c r="K670" i="4"/>
  <c r="L670" i="4"/>
  <c r="M670" i="4"/>
  <c r="N670" i="4"/>
  <c r="O670" i="4"/>
  <c r="P670" i="4"/>
  <c r="Q670" i="4"/>
  <c r="J671" i="4"/>
  <c r="K671" i="4"/>
  <c r="L671" i="4"/>
  <c r="M671" i="4"/>
  <c r="N671" i="4"/>
  <c r="O671" i="4"/>
  <c r="P671" i="4"/>
  <c r="Q671" i="4"/>
  <c r="J672" i="4"/>
  <c r="K672" i="4"/>
  <c r="L672" i="4"/>
  <c r="M672" i="4"/>
  <c r="N672" i="4"/>
  <c r="O672" i="4"/>
  <c r="P672" i="4"/>
  <c r="Q672" i="4"/>
  <c r="J673" i="4"/>
  <c r="K673" i="4"/>
  <c r="L673" i="4"/>
  <c r="M673" i="4"/>
  <c r="N673" i="4"/>
  <c r="O673" i="4"/>
  <c r="P673" i="4"/>
  <c r="Q673" i="4"/>
  <c r="J674" i="4"/>
  <c r="K674" i="4"/>
  <c r="L674" i="4"/>
  <c r="M674" i="4"/>
  <c r="N674" i="4"/>
  <c r="O674" i="4"/>
  <c r="P674" i="4"/>
  <c r="Q674" i="4"/>
  <c r="J675" i="4"/>
  <c r="K675" i="4"/>
  <c r="L675" i="4"/>
  <c r="M675" i="4"/>
  <c r="N675" i="4"/>
  <c r="O675" i="4"/>
  <c r="P675" i="4"/>
  <c r="Q675" i="4"/>
  <c r="J676" i="4"/>
  <c r="K676" i="4"/>
  <c r="L676" i="4"/>
  <c r="M676" i="4"/>
  <c r="N676" i="4"/>
  <c r="O676" i="4"/>
  <c r="P676" i="4"/>
  <c r="Q676" i="4"/>
  <c r="J677" i="4"/>
  <c r="K677" i="4"/>
  <c r="L677" i="4"/>
  <c r="M677" i="4"/>
  <c r="N677" i="4"/>
  <c r="O677" i="4"/>
  <c r="P677" i="4"/>
  <c r="Q677" i="4"/>
  <c r="J678" i="4"/>
  <c r="K678" i="4"/>
  <c r="L678" i="4"/>
  <c r="M678" i="4"/>
  <c r="N678" i="4"/>
  <c r="O678" i="4"/>
  <c r="P678" i="4"/>
  <c r="Q678" i="4"/>
  <c r="J679" i="4"/>
  <c r="K679" i="4"/>
  <c r="L679" i="4"/>
  <c r="M679" i="4"/>
  <c r="N679" i="4"/>
  <c r="O679" i="4"/>
  <c r="P679" i="4"/>
  <c r="Q679" i="4"/>
  <c r="J680" i="4"/>
  <c r="K680" i="4"/>
  <c r="L680" i="4"/>
  <c r="M680" i="4"/>
  <c r="N680" i="4"/>
  <c r="O680" i="4"/>
  <c r="P680" i="4"/>
  <c r="Q680" i="4"/>
  <c r="J681" i="4"/>
  <c r="K681" i="4"/>
  <c r="L681" i="4"/>
  <c r="M681" i="4"/>
  <c r="N681" i="4"/>
  <c r="O681" i="4"/>
  <c r="P681" i="4"/>
  <c r="Q681" i="4"/>
  <c r="J682" i="4"/>
  <c r="K682" i="4"/>
  <c r="L682" i="4"/>
  <c r="M682" i="4"/>
  <c r="N682" i="4"/>
  <c r="O682" i="4"/>
  <c r="P682" i="4"/>
  <c r="Q682" i="4"/>
  <c r="J683" i="4"/>
  <c r="K683" i="4"/>
  <c r="L683" i="4"/>
  <c r="M683" i="4"/>
  <c r="N683" i="4"/>
  <c r="O683" i="4"/>
  <c r="P683" i="4"/>
  <c r="Q683" i="4"/>
  <c r="J684" i="4"/>
  <c r="K684" i="4"/>
  <c r="L684" i="4"/>
  <c r="M684" i="4"/>
  <c r="N684" i="4"/>
  <c r="O684" i="4"/>
  <c r="P684" i="4"/>
  <c r="Q684" i="4"/>
  <c r="J685" i="4"/>
  <c r="K685" i="4"/>
  <c r="L685" i="4"/>
  <c r="M685" i="4"/>
  <c r="N685" i="4"/>
  <c r="O685" i="4"/>
  <c r="P685" i="4"/>
  <c r="Q685" i="4"/>
  <c r="J686" i="4"/>
  <c r="K686" i="4"/>
  <c r="L686" i="4"/>
  <c r="M686" i="4"/>
  <c r="N686" i="4"/>
  <c r="O686" i="4"/>
  <c r="P686" i="4"/>
  <c r="Q686" i="4"/>
  <c r="J687" i="4"/>
  <c r="K687" i="4"/>
  <c r="L687" i="4"/>
  <c r="M687" i="4"/>
  <c r="N687" i="4"/>
  <c r="O687" i="4"/>
  <c r="P687" i="4"/>
  <c r="Q687" i="4"/>
  <c r="J688" i="4"/>
  <c r="K688" i="4"/>
  <c r="L688" i="4"/>
  <c r="M688" i="4"/>
  <c r="N688" i="4"/>
  <c r="O688" i="4"/>
  <c r="P688" i="4"/>
  <c r="Q688" i="4"/>
  <c r="J689" i="4"/>
  <c r="K689" i="4"/>
  <c r="L689" i="4"/>
  <c r="M689" i="4"/>
  <c r="N689" i="4"/>
  <c r="O689" i="4"/>
  <c r="P689" i="4"/>
  <c r="Q689" i="4"/>
  <c r="J690" i="4"/>
  <c r="K690" i="4"/>
  <c r="L690" i="4"/>
  <c r="M690" i="4"/>
  <c r="N690" i="4"/>
  <c r="O690" i="4"/>
  <c r="P690" i="4"/>
  <c r="Q690" i="4"/>
  <c r="J691" i="4"/>
  <c r="K691" i="4"/>
  <c r="L691" i="4"/>
  <c r="M691" i="4"/>
  <c r="N691" i="4"/>
  <c r="O691" i="4"/>
  <c r="P691" i="4"/>
  <c r="Q691" i="4"/>
  <c r="J692" i="4"/>
  <c r="K692" i="4"/>
  <c r="L692" i="4"/>
  <c r="M692" i="4"/>
  <c r="N692" i="4"/>
  <c r="O692" i="4"/>
  <c r="P692" i="4"/>
  <c r="Q692" i="4"/>
  <c r="J693" i="4"/>
  <c r="K693" i="4"/>
  <c r="L693" i="4"/>
  <c r="M693" i="4"/>
  <c r="N693" i="4"/>
  <c r="O693" i="4"/>
  <c r="P693" i="4"/>
  <c r="Q693" i="4"/>
  <c r="J694" i="4"/>
  <c r="K694" i="4"/>
  <c r="L694" i="4"/>
  <c r="M694" i="4"/>
  <c r="N694" i="4"/>
  <c r="O694" i="4"/>
  <c r="P694" i="4"/>
  <c r="Q694" i="4"/>
  <c r="J695" i="4"/>
  <c r="K695" i="4"/>
  <c r="L695" i="4"/>
  <c r="M695" i="4"/>
  <c r="N695" i="4"/>
  <c r="O695" i="4"/>
  <c r="P695" i="4"/>
  <c r="Q695" i="4"/>
  <c r="J696" i="4"/>
  <c r="K696" i="4"/>
  <c r="L696" i="4"/>
  <c r="M696" i="4"/>
  <c r="N696" i="4"/>
  <c r="O696" i="4"/>
  <c r="P696" i="4"/>
  <c r="Q696" i="4"/>
  <c r="J697" i="4"/>
  <c r="K697" i="4"/>
  <c r="L697" i="4"/>
  <c r="M697" i="4"/>
  <c r="N697" i="4"/>
  <c r="O697" i="4"/>
  <c r="P697" i="4"/>
  <c r="Q697" i="4"/>
  <c r="J698" i="4"/>
  <c r="K698" i="4"/>
  <c r="L698" i="4"/>
  <c r="M698" i="4"/>
  <c r="N698" i="4"/>
  <c r="O698" i="4"/>
  <c r="P698" i="4"/>
  <c r="Q698" i="4"/>
  <c r="J699" i="4"/>
  <c r="K699" i="4"/>
  <c r="L699" i="4"/>
  <c r="M699" i="4"/>
  <c r="N699" i="4"/>
  <c r="O699" i="4"/>
  <c r="P699" i="4"/>
  <c r="Q699" i="4"/>
  <c r="J700" i="4"/>
  <c r="K700" i="4"/>
  <c r="L700" i="4"/>
  <c r="M700" i="4"/>
  <c r="N700" i="4"/>
  <c r="O700" i="4"/>
  <c r="P700" i="4"/>
  <c r="Q700" i="4"/>
  <c r="J701" i="4"/>
  <c r="K701" i="4"/>
  <c r="L701" i="4"/>
  <c r="M701" i="4"/>
  <c r="N701" i="4"/>
  <c r="O701" i="4"/>
  <c r="P701" i="4"/>
  <c r="Q701" i="4"/>
  <c r="J702" i="4"/>
  <c r="K702" i="4"/>
  <c r="L702" i="4"/>
  <c r="M702" i="4"/>
  <c r="N702" i="4"/>
  <c r="O702" i="4"/>
  <c r="P702" i="4"/>
  <c r="Q702" i="4"/>
  <c r="J703" i="4"/>
  <c r="K703" i="4"/>
  <c r="L703" i="4"/>
  <c r="M703" i="4"/>
  <c r="N703" i="4"/>
  <c r="O703" i="4"/>
  <c r="P703" i="4"/>
  <c r="Q703" i="4"/>
  <c r="J704" i="4"/>
  <c r="K704" i="4"/>
  <c r="L704" i="4"/>
  <c r="M704" i="4"/>
  <c r="N704" i="4"/>
  <c r="O704" i="4"/>
  <c r="P704" i="4"/>
  <c r="Q704" i="4"/>
  <c r="J705" i="4"/>
  <c r="K705" i="4"/>
  <c r="L705" i="4"/>
  <c r="M705" i="4"/>
  <c r="N705" i="4"/>
  <c r="O705" i="4"/>
  <c r="P705" i="4"/>
  <c r="Q705" i="4"/>
  <c r="J706" i="4"/>
  <c r="K706" i="4"/>
  <c r="L706" i="4"/>
  <c r="M706" i="4"/>
  <c r="N706" i="4"/>
  <c r="O706" i="4"/>
  <c r="P706" i="4"/>
  <c r="Q706" i="4"/>
  <c r="J707" i="4"/>
  <c r="K707" i="4"/>
  <c r="L707" i="4"/>
  <c r="M707" i="4"/>
  <c r="N707" i="4"/>
  <c r="O707" i="4"/>
  <c r="P707" i="4"/>
  <c r="Q707" i="4"/>
  <c r="J708" i="4"/>
  <c r="K708" i="4"/>
  <c r="L708" i="4"/>
  <c r="M708" i="4"/>
  <c r="N708" i="4"/>
  <c r="O708" i="4"/>
  <c r="P708" i="4"/>
  <c r="Q708" i="4"/>
  <c r="J709" i="4"/>
  <c r="K709" i="4"/>
  <c r="L709" i="4"/>
  <c r="M709" i="4"/>
  <c r="N709" i="4"/>
  <c r="O709" i="4"/>
  <c r="P709" i="4"/>
  <c r="Q709" i="4"/>
  <c r="J710" i="4"/>
  <c r="K710" i="4"/>
  <c r="L710" i="4"/>
  <c r="M710" i="4"/>
  <c r="N710" i="4"/>
  <c r="O710" i="4"/>
  <c r="P710" i="4"/>
  <c r="Q710" i="4"/>
  <c r="J711" i="4"/>
  <c r="K711" i="4"/>
  <c r="L711" i="4"/>
  <c r="M711" i="4"/>
  <c r="N711" i="4"/>
  <c r="O711" i="4"/>
  <c r="P711" i="4"/>
  <c r="Q711" i="4"/>
  <c r="J712" i="4"/>
  <c r="K712" i="4"/>
  <c r="L712" i="4"/>
  <c r="M712" i="4"/>
  <c r="N712" i="4"/>
  <c r="O712" i="4"/>
  <c r="P712" i="4"/>
  <c r="Q712" i="4"/>
  <c r="J713" i="4"/>
  <c r="K713" i="4"/>
  <c r="L713" i="4"/>
  <c r="M713" i="4"/>
  <c r="N713" i="4"/>
  <c r="O713" i="4"/>
  <c r="P713" i="4"/>
  <c r="Q713" i="4"/>
  <c r="J714" i="4"/>
  <c r="K714" i="4"/>
  <c r="L714" i="4"/>
  <c r="M714" i="4"/>
  <c r="N714" i="4"/>
  <c r="O714" i="4"/>
  <c r="P714" i="4"/>
  <c r="Q714" i="4"/>
  <c r="J715" i="4"/>
  <c r="K715" i="4"/>
  <c r="L715" i="4"/>
  <c r="M715" i="4"/>
  <c r="N715" i="4"/>
  <c r="O715" i="4"/>
  <c r="P715" i="4"/>
  <c r="Q715" i="4"/>
  <c r="J716" i="4"/>
  <c r="K716" i="4"/>
  <c r="L716" i="4"/>
  <c r="M716" i="4"/>
  <c r="N716" i="4"/>
  <c r="O716" i="4"/>
  <c r="P716" i="4"/>
  <c r="Q716" i="4"/>
  <c r="J717" i="4"/>
  <c r="K717" i="4"/>
  <c r="L717" i="4"/>
  <c r="M717" i="4"/>
  <c r="N717" i="4"/>
  <c r="O717" i="4"/>
  <c r="P717" i="4"/>
  <c r="Q717" i="4"/>
  <c r="J718" i="4"/>
  <c r="K718" i="4"/>
  <c r="L718" i="4"/>
  <c r="M718" i="4"/>
  <c r="N718" i="4"/>
  <c r="O718" i="4"/>
  <c r="P718" i="4"/>
  <c r="Q718" i="4"/>
  <c r="J719" i="4"/>
  <c r="K719" i="4"/>
  <c r="L719" i="4"/>
  <c r="M719" i="4"/>
  <c r="N719" i="4"/>
  <c r="O719" i="4"/>
  <c r="P719" i="4"/>
  <c r="Q719" i="4"/>
  <c r="J720" i="4"/>
  <c r="K720" i="4"/>
  <c r="L720" i="4"/>
  <c r="M720" i="4"/>
  <c r="N720" i="4"/>
  <c r="O720" i="4"/>
  <c r="P720" i="4"/>
  <c r="Q720" i="4"/>
  <c r="J721" i="4"/>
  <c r="K721" i="4"/>
  <c r="L721" i="4"/>
  <c r="M721" i="4"/>
  <c r="N721" i="4"/>
  <c r="O721" i="4"/>
  <c r="P721" i="4"/>
  <c r="Q721" i="4"/>
  <c r="J722" i="4"/>
  <c r="K722" i="4"/>
  <c r="L722" i="4"/>
  <c r="M722" i="4"/>
  <c r="N722" i="4"/>
  <c r="O722" i="4"/>
  <c r="P722" i="4"/>
  <c r="Q722" i="4"/>
  <c r="J723" i="4"/>
  <c r="K723" i="4"/>
  <c r="L723" i="4"/>
  <c r="M723" i="4"/>
  <c r="N723" i="4"/>
  <c r="O723" i="4"/>
  <c r="P723" i="4"/>
  <c r="Q723" i="4"/>
  <c r="J724" i="4"/>
  <c r="K724" i="4"/>
  <c r="L724" i="4"/>
  <c r="M724" i="4"/>
  <c r="N724" i="4"/>
  <c r="O724" i="4"/>
  <c r="P724" i="4"/>
  <c r="Q724" i="4"/>
  <c r="J725" i="4"/>
  <c r="K725" i="4"/>
  <c r="L725" i="4"/>
  <c r="M725" i="4"/>
  <c r="N725" i="4"/>
  <c r="O725" i="4"/>
  <c r="P725" i="4"/>
  <c r="Q725" i="4"/>
  <c r="J726" i="4"/>
  <c r="K726" i="4"/>
  <c r="L726" i="4"/>
  <c r="M726" i="4"/>
  <c r="N726" i="4"/>
  <c r="O726" i="4"/>
  <c r="P726" i="4"/>
  <c r="Q726" i="4"/>
  <c r="J727" i="4"/>
  <c r="K727" i="4"/>
  <c r="L727" i="4"/>
  <c r="M727" i="4"/>
  <c r="N727" i="4"/>
  <c r="O727" i="4"/>
  <c r="P727" i="4"/>
  <c r="Q727" i="4"/>
  <c r="J728" i="4"/>
  <c r="K728" i="4"/>
  <c r="L728" i="4"/>
  <c r="M728" i="4"/>
  <c r="N728" i="4"/>
  <c r="O728" i="4"/>
  <c r="P728" i="4"/>
  <c r="Q728" i="4"/>
  <c r="J729" i="4"/>
  <c r="K729" i="4"/>
  <c r="L729" i="4"/>
  <c r="M729" i="4"/>
  <c r="N729" i="4"/>
  <c r="O729" i="4"/>
  <c r="P729" i="4"/>
  <c r="Q729" i="4"/>
  <c r="J730" i="4"/>
  <c r="K730" i="4"/>
  <c r="L730" i="4"/>
  <c r="M730" i="4"/>
  <c r="N730" i="4"/>
  <c r="O730" i="4"/>
  <c r="P730" i="4"/>
  <c r="Q730" i="4"/>
  <c r="J731" i="4"/>
  <c r="K731" i="4"/>
  <c r="L731" i="4"/>
  <c r="M731" i="4"/>
  <c r="N731" i="4"/>
  <c r="O731" i="4"/>
  <c r="P731" i="4"/>
  <c r="Q731" i="4"/>
  <c r="J732" i="4"/>
  <c r="K732" i="4"/>
  <c r="L732" i="4"/>
  <c r="M732" i="4"/>
  <c r="N732" i="4"/>
  <c r="O732" i="4"/>
  <c r="P732" i="4"/>
  <c r="Q732" i="4"/>
  <c r="J733" i="4"/>
  <c r="K733" i="4"/>
  <c r="L733" i="4"/>
  <c r="M733" i="4"/>
  <c r="N733" i="4"/>
  <c r="O733" i="4"/>
  <c r="P733" i="4"/>
  <c r="Q733" i="4"/>
  <c r="J734" i="4"/>
  <c r="K734" i="4"/>
  <c r="L734" i="4"/>
  <c r="M734" i="4"/>
  <c r="N734" i="4"/>
  <c r="O734" i="4"/>
  <c r="P734" i="4"/>
  <c r="Q734" i="4"/>
  <c r="J735" i="4"/>
  <c r="K735" i="4"/>
  <c r="L735" i="4"/>
  <c r="M735" i="4"/>
  <c r="N735" i="4"/>
  <c r="O735" i="4"/>
  <c r="P735" i="4"/>
  <c r="Q735" i="4"/>
  <c r="J736" i="4"/>
  <c r="K736" i="4"/>
  <c r="L736" i="4"/>
  <c r="M736" i="4"/>
  <c r="N736" i="4"/>
  <c r="O736" i="4"/>
  <c r="P736" i="4"/>
  <c r="Q736" i="4"/>
  <c r="J737" i="4"/>
  <c r="K737" i="4"/>
  <c r="L737" i="4"/>
  <c r="M737" i="4"/>
  <c r="N737" i="4"/>
  <c r="O737" i="4"/>
  <c r="P737" i="4"/>
  <c r="Q737" i="4"/>
  <c r="J738" i="4"/>
  <c r="K738" i="4"/>
  <c r="L738" i="4"/>
  <c r="M738" i="4"/>
  <c r="N738" i="4"/>
  <c r="O738" i="4"/>
  <c r="P738" i="4"/>
  <c r="Q738" i="4"/>
  <c r="J739" i="4"/>
  <c r="K739" i="4"/>
  <c r="L739" i="4"/>
  <c r="M739" i="4"/>
  <c r="N739" i="4"/>
  <c r="O739" i="4"/>
  <c r="P739" i="4"/>
  <c r="Q739" i="4"/>
  <c r="J740" i="4"/>
  <c r="K740" i="4"/>
  <c r="L740" i="4"/>
  <c r="M740" i="4"/>
  <c r="N740" i="4"/>
  <c r="O740" i="4"/>
  <c r="P740" i="4"/>
  <c r="Q740" i="4"/>
  <c r="J741" i="4"/>
  <c r="K741" i="4"/>
  <c r="L741" i="4"/>
  <c r="M741" i="4"/>
  <c r="N741" i="4"/>
  <c r="O741" i="4"/>
  <c r="P741" i="4"/>
  <c r="Q741" i="4"/>
  <c r="J742" i="4"/>
  <c r="K742" i="4"/>
  <c r="L742" i="4"/>
  <c r="M742" i="4"/>
  <c r="N742" i="4"/>
  <c r="O742" i="4"/>
  <c r="P742" i="4"/>
  <c r="Q742" i="4"/>
  <c r="J743" i="4"/>
  <c r="K743" i="4"/>
  <c r="L743" i="4"/>
  <c r="M743" i="4"/>
  <c r="N743" i="4"/>
  <c r="O743" i="4"/>
  <c r="P743" i="4"/>
  <c r="Q743" i="4"/>
  <c r="J744" i="4"/>
  <c r="K744" i="4"/>
  <c r="L744" i="4"/>
  <c r="M744" i="4"/>
  <c r="N744" i="4"/>
  <c r="O744" i="4"/>
  <c r="P744" i="4"/>
  <c r="Q744" i="4"/>
  <c r="J745" i="4"/>
  <c r="K745" i="4"/>
  <c r="L745" i="4"/>
  <c r="M745" i="4"/>
  <c r="N745" i="4"/>
  <c r="O745" i="4"/>
  <c r="P745" i="4"/>
  <c r="Q745" i="4"/>
  <c r="J746" i="4"/>
  <c r="K746" i="4"/>
  <c r="L746" i="4"/>
  <c r="M746" i="4"/>
  <c r="N746" i="4"/>
  <c r="O746" i="4"/>
  <c r="P746" i="4"/>
  <c r="Q746" i="4"/>
  <c r="J747" i="4"/>
  <c r="K747" i="4"/>
  <c r="L747" i="4"/>
  <c r="M747" i="4"/>
  <c r="N747" i="4"/>
  <c r="O747" i="4"/>
  <c r="P747" i="4"/>
  <c r="Q747" i="4"/>
  <c r="J748" i="4"/>
  <c r="K748" i="4"/>
  <c r="L748" i="4"/>
  <c r="M748" i="4"/>
  <c r="N748" i="4"/>
  <c r="O748" i="4"/>
  <c r="P748" i="4"/>
  <c r="Q748" i="4"/>
  <c r="J749" i="4"/>
  <c r="K749" i="4"/>
  <c r="L749" i="4"/>
  <c r="M749" i="4"/>
  <c r="N749" i="4"/>
  <c r="O749" i="4"/>
  <c r="P749" i="4"/>
  <c r="Q749" i="4"/>
  <c r="J750" i="4"/>
  <c r="K750" i="4"/>
  <c r="L750" i="4"/>
  <c r="M750" i="4"/>
  <c r="N750" i="4"/>
  <c r="O750" i="4"/>
  <c r="P750" i="4"/>
  <c r="Q750" i="4"/>
  <c r="J751" i="4"/>
  <c r="K751" i="4"/>
  <c r="L751" i="4"/>
  <c r="M751" i="4"/>
  <c r="N751" i="4"/>
  <c r="O751" i="4"/>
  <c r="P751" i="4"/>
  <c r="Q751" i="4"/>
  <c r="J752" i="4"/>
  <c r="K752" i="4"/>
  <c r="L752" i="4"/>
  <c r="M752" i="4"/>
  <c r="N752" i="4"/>
  <c r="O752" i="4"/>
  <c r="P752" i="4"/>
  <c r="Q752" i="4"/>
  <c r="J753" i="4"/>
  <c r="K753" i="4"/>
  <c r="L753" i="4"/>
  <c r="M753" i="4"/>
  <c r="N753" i="4"/>
  <c r="O753" i="4"/>
  <c r="P753" i="4"/>
  <c r="Q753" i="4"/>
  <c r="J754" i="4"/>
  <c r="K754" i="4"/>
  <c r="L754" i="4"/>
  <c r="M754" i="4"/>
  <c r="N754" i="4"/>
  <c r="O754" i="4"/>
  <c r="P754" i="4"/>
  <c r="Q754" i="4"/>
  <c r="J755" i="4"/>
  <c r="K755" i="4"/>
  <c r="L755" i="4"/>
  <c r="M755" i="4"/>
  <c r="N755" i="4"/>
  <c r="O755" i="4"/>
  <c r="P755" i="4"/>
  <c r="Q755" i="4"/>
  <c r="J756" i="4"/>
  <c r="K756" i="4"/>
  <c r="L756" i="4"/>
  <c r="M756" i="4"/>
  <c r="N756" i="4"/>
  <c r="O756" i="4"/>
  <c r="P756" i="4"/>
  <c r="Q756" i="4"/>
  <c r="J757" i="4"/>
  <c r="K757" i="4"/>
  <c r="L757" i="4"/>
  <c r="M757" i="4"/>
  <c r="N757" i="4"/>
  <c r="O757" i="4"/>
  <c r="P757" i="4"/>
  <c r="Q757" i="4"/>
  <c r="J758" i="4"/>
  <c r="K758" i="4"/>
  <c r="L758" i="4"/>
  <c r="M758" i="4"/>
  <c r="N758" i="4"/>
  <c r="O758" i="4"/>
  <c r="P758" i="4"/>
  <c r="Q758" i="4"/>
  <c r="J759" i="4"/>
  <c r="K759" i="4"/>
  <c r="L759" i="4"/>
  <c r="M759" i="4"/>
  <c r="N759" i="4"/>
  <c r="O759" i="4"/>
  <c r="P759" i="4"/>
  <c r="Q759" i="4"/>
  <c r="J760" i="4"/>
  <c r="K760" i="4"/>
  <c r="L760" i="4"/>
  <c r="M760" i="4"/>
  <c r="N760" i="4"/>
  <c r="O760" i="4"/>
  <c r="P760" i="4"/>
  <c r="Q760" i="4"/>
  <c r="J761" i="4"/>
  <c r="K761" i="4"/>
  <c r="L761" i="4"/>
  <c r="M761" i="4"/>
  <c r="N761" i="4"/>
  <c r="O761" i="4"/>
  <c r="P761" i="4"/>
  <c r="Q761" i="4"/>
  <c r="J762" i="4"/>
  <c r="K762" i="4"/>
  <c r="L762" i="4"/>
  <c r="M762" i="4"/>
  <c r="N762" i="4"/>
  <c r="O762" i="4"/>
  <c r="P762" i="4"/>
  <c r="Q762" i="4"/>
  <c r="J763" i="4"/>
  <c r="K763" i="4"/>
  <c r="L763" i="4"/>
  <c r="M763" i="4"/>
  <c r="N763" i="4"/>
  <c r="O763" i="4"/>
  <c r="P763" i="4"/>
  <c r="Q763" i="4"/>
  <c r="J764" i="4"/>
  <c r="K764" i="4"/>
  <c r="L764" i="4"/>
  <c r="M764" i="4"/>
  <c r="N764" i="4"/>
  <c r="O764" i="4"/>
  <c r="P764" i="4"/>
  <c r="Q764" i="4"/>
  <c r="J765" i="4"/>
  <c r="K765" i="4"/>
  <c r="L765" i="4"/>
  <c r="M765" i="4"/>
  <c r="N765" i="4"/>
  <c r="O765" i="4"/>
  <c r="P765" i="4"/>
  <c r="Q765" i="4"/>
  <c r="J766" i="4"/>
  <c r="K766" i="4"/>
  <c r="L766" i="4"/>
  <c r="M766" i="4"/>
  <c r="N766" i="4"/>
  <c r="O766" i="4"/>
  <c r="P766" i="4"/>
  <c r="Q766" i="4"/>
  <c r="J767" i="4"/>
  <c r="K767" i="4"/>
  <c r="L767" i="4"/>
  <c r="M767" i="4"/>
  <c r="N767" i="4"/>
  <c r="O767" i="4"/>
  <c r="P767" i="4"/>
  <c r="Q767" i="4"/>
  <c r="J768" i="4"/>
  <c r="K768" i="4"/>
  <c r="L768" i="4"/>
  <c r="M768" i="4"/>
  <c r="N768" i="4"/>
  <c r="O768" i="4"/>
  <c r="P768" i="4"/>
  <c r="Q768" i="4"/>
  <c r="J769" i="4"/>
  <c r="K769" i="4"/>
  <c r="L769" i="4"/>
  <c r="M769" i="4"/>
  <c r="N769" i="4"/>
  <c r="O769" i="4"/>
  <c r="P769" i="4"/>
  <c r="Q769" i="4"/>
  <c r="J770" i="4"/>
  <c r="K770" i="4"/>
  <c r="L770" i="4"/>
  <c r="M770" i="4"/>
  <c r="N770" i="4"/>
  <c r="O770" i="4"/>
  <c r="P770" i="4"/>
  <c r="Q770" i="4"/>
  <c r="J771" i="4"/>
  <c r="K771" i="4"/>
  <c r="L771" i="4"/>
  <c r="M771" i="4"/>
  <c r="N771" i="4"/>
  <c r="O771" i="4"/>
  <c r="P771" i="4"/>
  <c r="Q771" i="4"/>
  <c r="J772" i="4"/>
  <c r="K772" i="4"/>
  <c r="L772" i="4"/>
  <c r="M772" i="4"/>
  <c r="N772" i="4"/>
  <c r="O772" i="4"/>
  <c r="P772" i="4"/>
  <c r="Q772" i="4"/>
  <c r="J773" i="4"/>
  <c r="K773" i="4"/>
  <c r="L773" i="4"/>
  <c r="M773" i="4"/>
  <c r="N773" i="4"/>
  <c r="O773" i="4"/>
  <c r="P773" i="4"/>
  <c r="Q773" i="4"/>
  <c r="J774" i="4"/>
  <c r="K774" i="4"/>
  <c r="L774" i="4"/>
  <c r="M774" i="4"/>
  <c r="N774" i="4"/>
  <c r="O774" i="4"/>
  <c r="P774" i="4"/>
  <c r="Q774" i="4"/>
  <c r="J775" i="4"/>
  <c r="K775" i="4"/>
  <c r="L775" i="4"/>
  <c r="M775" i="4"/>
  <c r="N775" i="4"/>
  <c r="O775" i="4"/>
  <c r="P775" i="4"/>
  <c r="Q775" i="4"/>
  <c r="J776" i="4"/>
  <c r="K776" i="4"/>
  <c r="L776" i="4"/>
  <c r="M776" i="4"/>
  <c r="N776" i="4"/>
  <c r="O776" i="4"/>
  <c r="P776" i="4"/>
  <c r="Q776" i="4"/>
  <c r="J777" i="4"/>
  <c r="K777" i="4"/>
  <c r="L777" i="4"/>
  <c r="M777" i="4"/>
  <c r="N777" i="4"/>
  <c r="O777" i="4"/>
  <c r="P777" i="4"/>
  <c r="Q777" i="4"/>
  <c r="J778" i="4"/>
  <c r="K778" i="4"/>
  <c r="L778" i="4"/>
  <c r="M778" i="4"/>
  <c r="N778" i="4"/>
  <c r="O778" i="4"/>
  <c r="P778" i="4"/>
  <c r="Q778" i="4"/>
  <c r="J779" i="4"/>
  <c r="K779" i="4"/>
  <c r="L779" i="4"/>
  <c r="M779" i="4"/>
  <c r="N779" i="4"/>
  <c r="O779" i="4"/>
  <c r="P779" i="4"/>
  <c r="Q779" i="4"/>
  <c r="J780" i="4"/>
  <c r="K780" i="4"/>
  <c r="L780" i="4"/>
  <c r="M780" i="4"/>
  <c r="N780" i="4"/>
  <c r="O780" i="4"/>
  <c r="P780" i="4"/>
  <c r="Q780" i="4"/>
  <c r="J781" i="4"/>
  <c r="K781" i="4"/>
  <c r="L781" i="4"/>
  <c r="M781" i="4"/>
  <c r="N781" i="4"/>
  <c r="O781" i="4"/>
  <c r="P781" i="4"/>
  <c r="Q781" i="4"/>
  <c r="J782" i="4"/>
  <c r="K782" i="4"/>
  <c r="L782" i="4"/>
  <c r="M782" i="4"/>
  <c r="N782" i="4"/>
  <c r="O782" i="4"/>
  <c r="P782" i="4"/>
  <c r="Q782" i="4"/>
  <c r="J783" i="4"/>
  <c r="K783" i="4"/>
  <c r="L783" i="4"/>
  <c r="M783" i="4"/>
  <c r="N783" i="4"/>
  <c r="O783" i="4"/>
  <c r="P783" i="4"/>
  <c r="Q783" i="4"/>
  <c r="J784" i="4"/>
  <c r="K784" i="4"/>
  <c r="L784" i="4"/>
  <c r="M784" i="4"/>
  <c r="N784" i="4"/>
  <c r="O784" i="4"/>
  <c r="P784" i="4"/>
  <c r="Q784" i="4"/>
  <c r="J785" i="4"/>
  <c r="K785" i="4"/>
  <c r="L785" i="4"/>
  <c r="M785" i="4"/>
  <c r="N785" i="4"/>
  <c r="O785" i="4"/>
  <c r="P785" i="4"/>
  <c r="Q785" i="4"/>
  <c r="J786" i="4"/>
  <c r="K786" i="4"/>
  <c r="L786" i="4"/>
  <c r="M786" i="4"/>
  <c r="N786" i="4"/>
  <c r="O786" i="4"/>
  <c r="P786" i="4"/>
  <c r="Q786" i="4"/>
  <c r="J787" i="4"/>
  <c r="K787" i="4"/>
  <c r="L787" i="4"/>
  <c r="M787" i="4"/>
  <c r="N787" i="4"/>
  <c r="O787" i="4"/>
  <c r="P787" i="4"/>
  <c r="Q787" i="4"/>
  <c r="J788" i="4"/>
  <c r="K788" i="4"/>
  <c r="L788" i="4"/>
  <c r="M788" i="4"/>
  <c r="N788" i="4"/>
  <c r="O788" i="4"/>
  <c r="P788" i="4"/>
  <c r="Q788" i="4"/>
  <c r="J789" i="4"/>
  <c r="K789" i="4"/>
  <c r="L789" i="4"/>
  <c r="M789" i="4"/>
  <c r="N789" i="4"/>
  <c r="O789" i="4"/>
  <c r="P789" i="4"/>
  <c r="Q789" i="4"/>
  <c r="J790" i="4"/>
  <c r="K790" i="4"/>
  <c r="L790" i="4"/>
  <c r="M790" i="4"/>
  <c r="N790" i="4"/>
  <c r="O790" i="4"/>
  <c r="P790" i="4"/>
  <c r="Q790" i="4"/>
  <c r="J791" i="4"/>
  <c r="K791" i="4"/>
  <c r="L791" i="4"/>
  <c r="M791" i="4"/>
  <c r="N791" i="4"/>
  <c r="O791" i="4"/>
  <c r="P791" i="4"/>
  <c r="Q791" i="4"/>
  <c r="J792" i="4"/>
  <c r="K792" i="4"/>
  <c r="L792" i="4"/>
  <c r="M792" i="4"/>
  <c r="N792" i="4"/>
  <c r="O792" i="4"/>
  <c r="P792" i="4"/>
  <c r="Q792" i="4"/>
  <c r="J793" i="4"/>
  <c r="K793" i="4"/>
  <c r="L793" i="4"/>
  <c r="M793" i="4"/>
  <c r="N793" i="4"/>
  <c r="O793" i="4"/>
  <c r="P793" i="4"/>
  <c r="Q793" i="4"/>
  <c r="J794" i="4"/>
  <c r="K794" i="4"/>
  <c r="L794" i="4"/>
  <c r="M794" i="4"/>
  <c r="N794" i="4"/>
  <c r="O794" i="4"/>
  <c r="P794" i="4"/>
  <c r="Q794" i="4"/>
  <c r="J795" i="4"/>
  <c r="K795" i="4"/>
  <c r="L795" i="4"/>
  <c r="M795" i="4"/>
  <c r="N795" i="4"/>
  <c r="O795" i="4"/>
  <c r="P795" i="4"/>
  <c r="Q795" i="4"/>
  <c r="J796" i="4"/>
  <c r="K796" i="4"/>
  <c r="L796" i="4"/>
  <c r="M796" i="4"/>
  <c r="N796" i="4"/>
  <c r="O796" i="4"/>
  <c r="P796" i="4"/>
  <c r="Q796" i="4"/>
  <c r="J797" i="4"/>
  <c r="K797" i="4"/>
  <c r="L797" i="4"/>
  <c r="M797" i="4"/>
  <c r="N797" i="4"/>
  <c r="O797" i="4"/>
  <c r="P797" i="4"/>
  <c r="Q797" i="4"/>
  <c r="J798" i="4"/>
  <c r="K798" i="4"/>
  <c r="L798" i="4"/>
  <c r="M798" i="4"/>
  <c r="N798" i="4"/>
  <c r="O798" i="4"/>
  <c r="P798" i="4"/>
  <c r="Q798" i="4"/>
  <c r="J799" i="4"/>
  <c r="K799" i="4"/>
  <c r="L799" i="4"/>
  <c r="M799" i="4"/>
  <c r="N799" i="4"/>
  <c r="O799" i="4"/>
  <c r="P799" i="4"/>
  <c r="Q799" i="4"/>
  <c r="J800" i="4"/>
  <c r="K800" i="4"/>
  <c r="L800" i="4"/>
  <c r="M800" i="4"/>
  <c r="N800" i="4"/>
  <c r="O800" i="4"/>
  <c r="P800" i="4"/>
  <c r="Q800" i="4"/>
  <c r="J801" i="4"/>
  <c r="K801" i="4"/>
  <c r="L801" i="4"/>
  <c r="M801" i="4"/>
  <c r="N801" i="4"/>
  <c r="O801" i="4"/>
  <c r="P801" i="4"/>
  <c r="Q801" i="4"/>
  <c r="J802" i="4"/>
  <c r="K802" i="4"/>
  <c r="L802" i="4"/>
  <c r="M802" i="4"/>
  <c r="N802" i="4"/>
  <c r="O802" i="4"/>
  <c r="P802" i="4"/>
  <c r="Q802" i="4"/>
  <c r="J803" i="4"/>
  <c r="K803" i="4"/>
  <c r="L803" i="4"/>
  <c r="M803" i="4"/>
  <c r="N803" i="4"/>
  <c r="O803" i="4"/>
  <c r="P803" i="4"/>
  <c r="Q803" i="4"/>
  <c r="J804" i="4"/>
  <c r="K804" i="4"/>
  <c r="L804" i="4"/>
  <c r="M804" i="4"/>
  <c r="N804" i="4"/>
  <c r="O804" i="4"/>
  <c r="P804" i="4"/>
  <c r="Q804" i="4"/>
  <c r="J805" i="4"/>
  <c r="K805" i="4"/>
  <c r="L805" i="4"/>
  <c r="M805" i="4"/>
  <c r="N805" i="4"/>
  <c r="O805" i="4"/>
  <c r="P805" i="4"/>
  <c r="Q805" i="4"/>
  <c r="J806" i="4"/>
  <c r="K806" i="4"/>
  <c r="L806" i="4"/>
  <c r="M806" i="4"/>
  <c r="N806" i="4"/>
  <c r="O806" i="4"/>
  <c r="P806" i="4"/>
  <c r="Q806" i="4"/>
  <c r="J807" i="4"/>
  <c r="K807" i="4"/>
  <c r="L807" i="4"/>
  <c r="M807" i="4"/>
  <c r="N807" i="4"/>
  <c r="O807" i="4"/>
  <c r="P807" i="4"/>
  <c r="Q807" i="4"/>
  <c r="J808" i="4"/>
  <c r="K808" i="4"/>
  <c r="L808" i="4"/>
  <c r="M808" i="4"/>
  <c r="N808" i="4"/>
  <c r="O808" i="4"/>
  <c r="P808" i="4"/>
  <c r="Q808" i="4"/>
  <c r="J809" i="4"/>
  <c r="K809" i="4"/>
  <c r="L809" i="4"/>
  <c r="M809" i="4"/>
  <c r="N809" i="4"/>
  <c r="O809" i="4"/>
  <c r="P809" i="4"/>
  <c r="Q809" i="4"/>
  <c r="J810" i="4"/>
  <c r="K810" i="4"/>
  <c r="L810" i="4"/>
  <c r="M810" i="4"/>
  <c r="N810" i="4"/>
  <c r="O810" i="4"/>
  <c r="P810" i="4"/>
  <c r="Q810" i="4"/>
  <c r="J811" i="4"/>
  <c r="K811" i="4"/>
  <c r="L811" i="4"/>
  <c r="M811" i="4"/>
  <c r="N811" i="4"/>
  <c r="O811" i="4"/>
  <c r="P811" i="4"/>
  <c r="Q811" i="4"/>
  <c r="J812" i="4"/>
  <c r="K812" i="4"/>
  <c r="L812" i="4"/>
  <c r="M812" i="4"/>
  <c r="N812" i="4"/>
  <c r="O812" i="4"/>
  <c r="P812" i="4"/>
  <c r="Q812" i="4"/>
  <c r="J813" i="4"/>
  <c r="K813" i="4"/>
  <c r="L813" i="4"/>
  <c r="M813" i="4"/>
  <c r="N813" i="4"/>
  <c r="O813" i="4"/>
  <c r="P813" i="4"/>
  <c r="Q813" i="4"/>
  <c r="J814" i="4"/>
  <c r="K814" i="4"/>
  <c r="L814" i="4"/>
  <c r="M814" i="4"/>
  <c r="N814" i="4"/>
  <c r="O814" i="4"/>
  <c r="P814" i="4"/>
  <c r="Q814" i="4"/>
  <c r="J815" i="4"/>
  <c r="K815" i="4"/>
  <c r="L815" i="4"/>
  <c r="M815" i="4"/>
  <c r="N815" i="4"/>
  <c r="O815" i="4"/>
  <c r="P815" i="4"/>
  <c r="Q815" i="4"/>
  <c r="J816" i="4"/>
  <c r="K816" i="4"/>
  <c r="L816" i="4"/>
  <c r="M816" i="4"/>
  <c r="N816" i="4"/>
  <c r="O816" i="4"/>
  <c r="P816" i="4"/>
  <c r="Q816" i="4"/>
  <c r="J817" i="4"/>
  <c r="K817" i="4"/>
  <c r="L817" i="4"/>
  <c r="M817" i="4"/>
  <c r="N817" i="4"/>
  <c r="O817" i="4"/>
  <c r="P817" i="4"/>
  <c r="Q817" i="4"/>
  <c r="J818" i="4"/>
  <c r="K818" i="4"/>
  <c r="L818" i="4"/>
  <c r="M818" i="4"/>
  <c r="N818" i="4"/>
  <c r="O818" i="4"/>
  <c r="P818" i="4"/>
  <c r="Q818" i="4"/>
  <c r="J819" i="4"/>
  <c r="K819" i="4"/>
  <c r="L819" i="4"/>
  <c r="M819" i="4"/>
  <c r="N819" i="4"/>
  <c r="O819" i="4"/>
  <c r="P819" i="4"/>
  <c r="Q819" i="4"/>
  <c r="J820" i="4"/>
  <c r="K820" i="4"/>
  <c r="L820" i="4"/>
  <c r="M820" i="4"/>
  <c r="N820" i="4"/>
  <c r="O820" i="4"/>
  <c r="P820" i="4"/>
  <c r="Q820" i="4"/>
  <c r="J821" i="4"/>
  <c r="K821" i="4"/>
  <c r="L821" i="4"/>
  <c r="M821" i="4"/>
  <c r="N821" i="4"/>
  <c r="O821" i="4"/>
  <c r="P821" i="4"/>
  <c r="Q821" i="4"/>
  <c r="J822" i="4"/>
  <c r="K822" i="4"/>
  <c r="L822" i="4"/>
  <c r="M822" i="4"/>
  <c r="N822" i="4"/>
  <c r="O822" i="4"/>
  <c r="P822" i="4"/>
  <c r="Q822" i="4"/>
  <c r="J823" i="4"/>
  <c r="K823" i="4"/>
  <c r="L823" i="4"/>
  <c r="M823" i="4"/>
  <c r="N823" i="4"/>
  <c r="O823" i="4"/>
  <c r="P823" i="4"/>
  <c r="Q823" i="4"/>
  <c r="J824" i="4"/>
  <c r="K824" i="4"/>
  <c r="L824" i="4"/>
  <c r="M824" i="4"/>
  <c r="N824" i="4"/>
  <c r="O824" i="4"/>
  <c r="P824" i="4"/>
  <c r="Q824" i="4"/>
  <c r="J825" i="4"/>
  <c r="K825" i="4"/>
  <c r="L825" i="4"/>
  <c r="M825" i="4"/>
  <c r="N825" i="4"/>
  <c r="O825" i="4"/>
  <c r="P825" i="4"/>
  <c r="Q825" i="4"/>
  <c r="J826" i="4"/>
  <c r="K826" i="4"/>
  <c r="L826" i="4"/>
  <c r="M826" i="4"/>
  <c r="N826" i="4"/>
  <c r="O826" i="4"/>
  <c r="P826" i="4"/>
  <c r="Q826" i="4"/>
  <c r="J827" i="4"/>
  <c r="K827" i="4"/>
  <c r="L827" i="4"/>
  <c r="M827" i="4"/>
  <c r="N827" i="4"/>
  <c r="O827" i="4"/>
  <c r="P827" i="4"/>
  <c r="Q827" i="4"/>
  <c r="J828" i="4"/>
  <c r="K828" i="4"/>
  <c r="L828" i="4"/>
  <c r="M828" i="4"/>
  <c r="N828" i="4"/>
  <c r="O828" i="4"/>
  <c r="P828" i="4"/>
  <c r="Q828" i="4"/>
  <c r="J829" i="4"/>
  <c r="K829" i="4"/>
  <c r="L829" i="4"/>
  <c r="M829" i="4"/>
  <c r="N829" i="4"/>
  <c r="O829" i="4"/>
  <c r="P829" i="4"/>
  <c r="Q829" i="4"/>
  <c r="J830" i="4"/>
  <c r="K830" i="4"/>
  <c r="L830" i="4"/>
  <c r="M830" i="4"/>
  <c r="N830" i="4"/>
  <c r="O830" i="4"/>
  <c r="P830" i="4"/>
  <c r="Q830" i="4"/>
  <c r="J831" i="4"/>
  <c r="K831" i="4"/>
  <c r="L831" i="4"/>
  <c r="M831" i="4"/>
  <c r="N831" i="4"/>
  <c r="O831" i="4"/>
  <c r="P831" i="4"/>
  <c r="Q831" i="4"/>
  <c r="J832" i="4"/>
  <c r="K832" i="4"/>
  <c r="L832" i="4"/>
  <c r="M832" i="4"/>
  <c r="N832" i="4"/>
  <c r="O832" i="4"/>
  <c r="P832" i="4"/>
  <c r="Q832" i="4"/>
  <c r="J833" i="4"/>
  <c r="K833" i="4"/>
  <c r="L833" i="4"/>
  <c r="M833" i="4"/>
  <c r="N833" i="4"/>
  <c r="O833" i="4"/>
  <c r="P833" i="4"/>
  <c r="Q833" i="4"/>
  <c r="J834" i="4"/>
  <c r="K834" i="4"/>
  <c r="L834" i="4"/>
  <c r="M834" i="4"/>
  <c r="N834" i="4"/>
  <c r="O834" i="4"/>
  <c r="P834" i="4"/>
  <c r="Q834" i="4"/>
  <c r="J835" i="4"/>
  <c r="K835" i="4"/>
  <c r="L835" i="4"/>
  <c r="M835" i="4"/>
  <c r="N835" i="4"/>
  <c r="O835" i="4"/>
  <c r="P835" i="4"/>
  <c r="Q835" i="4"/>
  <c r="J836" i="4"/>
  <c r="K836" i="4"/>
  <c r="L836" i="4"/>
  <c r="M836" i="4"/>
  <c r="N836" i="4"/>
  <c r="O836" i="4"/>
  <c r="P836" i="4"/>
  <c r="Q836" i="4"/>
  <c r="J837" i="4"/>
  <c r="K837" i="4"/>
  <c r="L837" i="4"/>
  <c r="M837" i="4"/>
  <c r="N837" i="4"/>
  <c r="O837" i="4"/>
  <c r="P837" i="4"/>
  <c r="Q837" i="4"/>
  <c r="J838" i="4"/>
  <c r="K838" i="4"/>
  <c r="L838" i="4"/>
  <c r="M838" i="4"/>
  <c r="N838" i="4"/>
  <c r="O838" i="4"/>
  <c r="P838" i="4"/>
  <c r="Q838" i="4"/>
  <c r="J839" i="4"/>
  <c r="K839" i="4"/>
  <c r="L839" i="4"/>
  <c r="M839" i="4"/>
  <c r="N839" i="4"/>
  <c r="O839" i="4"/>
  <c r="P839" i="4"/>
  <c r="Q839" i="4"/>
  <c r="J840" i="4"/>
  <c r="K840" i="4"/>
  <c r="L840" i="4"/>
  <c r="M840" i="4"/>
  <c r="N840" i="4"/>
  <c r="O840" i="4"/>
  <c r="P840" i="4"/>
  <c r="Q840" i="4"/>
  <c r="J841" i="4"/>
  <c r="K841" i="4"/>
  <c r="L841" i="4"/>
  <c r="M841" i="4"/>
  <c r="N841" i="4"/>
  <c r="O841" i="4"/>
  <c r="P841" i="4"/>
  <c r="Q841" i="4"/>
  <c r="J842" i="4"/>
  <c r="K842" i="4"/>
  <c r="L842" i="4"/>
  <c r="M842" i="4"/>
  <c r="N842" i="4"/>
  <c r="O842" i="4"/>
  <c r="P842" i="4"/>
  <c r="Q842" i="4"/>
  <c r="J843" i="4"/>
  <c r="K843" i="4"/>
  <c r="L843" i="4"/>
  <c r="M843" i="4"/>
  <c r="N843" i="4"/>
  <c r="O843" i="4"/>
  <c r="P843" i="4"/>
  <c r="Q843" i="4"/>
  <c r="J844" i="4"/>
  <c r="K844" i="4"/>
  <c r="L844" i="4"/>
  <c r="M844" i="4"/>
  <c r="N844" i="4"/>
  <c r="O844" i="4"/>
  <c r="P844" i="4"/>
  <c r="Q844" i="4"/>
  <c r="J845" i="4"/>
  <c r="K845" i="4"/>
  <c r="L845" i="4"/>
  <c r="M845" i="4"/>
  <c r="N845" i="4"/>
  <c r="O845" i="4"/>
  <c r="P845" i="4"/>
  <c r="Q845" i="4"/>
  <c r="J846" i="4"/>
  <c r="K846" i="4"/>
  <c r="L846" i="4"/>
  <c r="M846" i="4"/>
  <c r="N846" i="4"/>
  <c r="O846" i="4"/>
  <c r="P846" i="4"/>
  <c r="Q846" i="4"/>
  <c r="J847" i="4"/>
  <c r="K847" i="4"/>
  <c r="L847" i="4"/>
  <c r="M847" i="4"/>
  <c r="N847" i="4"/>
  <c r="O847" i="4"/>
  <c r="P847" i="4"/>
  <c r="Q847" i="4"/>
  <c r="J848" i="4"/>
  <c r="K848" i="4"/>
  <c r="L848" i="4"/>
  <c r="M848" i="4"/>
  <c r="N848" i="4"/>
  <c r="O848" i="4"/>
  <c r="P848" i="4"/>
  <c r="Q848" i="4"/>
  <c r="J849" i="4"/>
  <c r="K849" i="4"/>
  <c r="L849" i="4"/>
  <c r="M849" i="4"/>
  <c r="N849" i="4"/>
  <c r="O849" i="4"/>
  <c r="P849" i="4"/>
  <c r="Q849" i="4"/>
  <c r="J850" i="4"/>
  <c r="K850" i="4"/>
  <c r="L850" i="4"/>
  <c r="M850" i="4"/>
  <c r="N850" i="4"/>
  <c r="O850" i="4"/>
  <c r="P850" i="4"/>
  <c r="Q850" i="4"/>
  <c r="J851" i="4"/>
  <c r="K851" i="4"/>
  <c r="L851" i="4"/>
  <c r="M851" i="4"/>
  <c r="N851" i="4"/>
  <c r="O851" i="4"/>
  <c r="P851" i="4"/>
  <c r="Q851" i="4"/>
  <c r="J852" i="4"/>
  <c r="K852" i="4"/>
  <c r="L852" i="4"/>
  <c r="M852" i="4"/>
  <c r="N852" i="4"/>
  <c r="O852" i="4"/>
  <c r="P852" i="4"/>
  <c r="Q852" i="4"/>
  <c r="J853" i="4"/>
  <c r="K853" i="4"/>
  <c r="L853" i="4"/>
  <c r="M853" i="4"/>
  <c r="N853" i="4"/>
  <c r="O853" i="4"/>
  <c r="P853" i="4"/>
  <c r="Q853" i="4"/>
  <c r="J854" i="4"/>
  <c r="K854" i="4"/>
  <c r="L854" i="4"/>
  <c r="M854" i="4"/>
  <c r="N854" i="4"/>
  <c r="O854" i="4"/>
  <c r="P854" i="4"/>
  <c r="Q854" i="4"/>
  <c r="J855" i="4"/>
  <c r="K855" i="4"/>
  <c r="L855" i="4"/>
  <c r="M855" i="4"/>
  <c r="N855" i="4"/>
  <c r="O855" i="4"/>
  <c r="P855" i="4"/>
  <c r="Q855" i="4"/>
  <c r="J856" i="4"/>
  <c r="K856" i="4"/>
  <c r="L856" i="4"/>
  <c r="M856" i="4"/>
  <c r="N856" i="4"/>
  <c r="O856" i="4"/>
  <c r="P856" i="4"/>
  <c r="Q856" i="4"/>
  <c r="J857" i="4"/>
  <c r="K857" i="4"/>
  <c r="L857" i="4"/>
  <c r="M857" i="4"/>
  <c r="N857" i="4"/>
  <c r="O857" i="4"/>
  <c r="P857" i="4"/>
  <c r="Q857" i="4"/>
  <c r="J858" i="4"/>
  <c r="K858" i="4"/>
  <c r="L858" i="4"/>
  <c r="M858" i="4"/>
  <c r="N858" i="4"/>
  <c r="O858" i="4"/>
  <c r="P858" i="4"/>
  <c r="Q858" i="4"/>
  <c r="J859" i="4"/>
  <c r="K859" i="4"/>
  <c r="L859" i="4"/>
  <c r="M859" i="4"/>
  <c r="N859" i="4"/>
  <c r="O859" i="4"/>
  <c r="P859" i="4"/>
  <c r="Q859" i="4"/>
  <c r="J860" i="4"/>
  <c r="K860" i="4"/>
  <c r="L860" i="4"/>
  <c r="M860" i="4"/>
  <c r="N860" i="4"/>
  <c r="O860" i="4"/>
  <c r="P860" i="4"/>
  <c r="Q860" i="4"/>
  <c r="J861" i="4"/>
  <c r="K861" i="4"/>
  <c r="L861" i="4"/>
  <c r="M861" i="4"/>
  <c r="N861" i="4"/>
  <c r="O861" i="4"/>
  <c r="P861" i="4"/>
  <c r="Q861" i="4"/>
  <c r="J862" i="4"/>
  <c r="K862" i="4"/>
  <c r="L862" i="4"/>
  <c r="M862" i="4"/>
  <c r="N862" i="4"/>
  <c r="O862" i="4"/>
  <c r="P862" i="4"/>
  <c r="Q862" i="4"/>
  <c r="J863" i="4"/>
  <c r="K863" i="4"/>
  <c r="L863" i="4"/>
  <c r="M863" i="4"/>
  <c r="N863" i="4"/>
  <c r="O863" i="4"/>
  <c r="P863" i="4"/>
  <c r="Q863" i="4"/>
  <c r="J864" i="4"/>
  <c r="K864" i="4"/>
  <c r="L864" i="4"/>
  <c r="M864" i="4"/>
  <c r="N864" i="4"/>
  <c r="O864" i="4"/>
  <c r="P864" i="4"/>
  <c r="Q864" i="4"/>
  <c r="J865" i="4"/>
  <c r="K865" i="4"/>
  <c r="L865" i="4"/>
  <c r="M865" i="4"/>
  <c r="N865" i="4"/>
  <c r="O865" i="4"/>
  <c r="P865" i="4"/>
  <c r="Q865" i="4"/>
  <c r="J866" i="4"/>
  <c r="K866" i="4"/>
  <c r="L866" i="4"/>
  <c r="M866" i="4"/>
  <c r="N866" i="4"/>
  <c r="O866" i="4"/>
  <c r="P866" i="4"/>
  <c r="Q866" i="4"/>
  <c r="J867" i="4"/>
  <c r="K867" i="4"/>
  <c r="L867" i="4"/>
  <c r="M867" i="4"/>
  <c r="N867" i="4"/>
  <c r="O867" i="4"/>
  <c r="P867" i="4"/>
  <c r="Q867" i="4"/>
  <c r="J868" i="4"/>
  <c r="K868" i="4"/>
  <c r="L868" i="4"/>
  <c r="M868" i="4"/>
  <c r="N868" i="4"/>
  <c r="O868" i="4"/>
  <c r="P868" i="4"/>
  <c r="Q868" i="4"/>
  <c r="J869" i="4"/>
  <c r="K869" i="4"/>
  <c r="L869" i="4"/>
  <c r="M869" i="4"/>
  <c r="N869" i="4"/>
  <c r="O869" i="4"/>
  <c r="P869" i="4"/>
  <c r="Q869" i="4"/>
  <c r="J870" i="4"/>
  <c r="K870" i="4"/>
  <c r="L870" i="4"/>
  <c r="M870" i="4"/>
  <c r="N870" i="4"/>
  <c r="O870" i="4"/>
  <c r="P870" i="4"/>
  <c r="Q870" i="4"/>
  <c r="J871" i="4"/>
  <c r="K871" i="4"/>
  <c r="L871" i="4"/>
  <c r="M871" i="4"/>
  <c r="N871" i="4"/>
  <c r="O871" i="4"/>
  <c r="P871" i="4"/>
  <c r="Q871" i="4"/>
  <c r="J872" i="4"/>
  <c r="K872" i="4"/>
  <c r="L872" i="4"/>
  <c r="M872" i="4"/>
  <c r="N872" i="4"/>
  <c r="O872" i="4"/>
  <c r="P872" i="4"/>
  <c r="Q872" i="4"/>
  <c r="J873" i="4"/>
  <c r="K873" i="4"/>
  <c r="L873" i="4"/>
  <c r="M873" i="4"/>
  <c r="N873" i="4"/>
  <c r="O873" i="4"/>
  <c r="P873" i="4"/>
  <c r="Q873" i="4"/>
  <c r="J874" i="4"/>
  <c r="K874" i="4"/>
  <c r="L874" i="4"/>
  <c r="M874" i="4"/>
  <c r="N874" i="4"/>
  <c r="O874" i="4"/>
  <c r="P874" i="4"/>
  <c r="Q874" i="4"/>
  <c r="J875" i="4"/>
  <c r="K875" i="4"/>
  <c r="L875" i="4"/>
  <c r="M875" i="4"/>
  <c r="N875" i="4"/>
  <c r="O875" i="4"/>
  <c r="P875" i="4"/>
  <c r="Q875" i="4"/>
  <c r="J876" i="4"/>
  <c r="K876" i="4"/>
  <c r="L876" i="4"/>
  <c r="M876" i="4"/>
  <c r="N876" i="4"/>
  <c r="O876" i="4"/>
  <c r="P876" i="4"/>
  <c r="Q876" i="4"/>
  <c r="J877" i="4"/>
  <c r="K877" i="4"/>
  <c r="L877" i="4"/>
  <c r="M877" i="4"/>
  <c r="N877" i="4"/>
  <c r="O877" i="4"/>
  <c r="P877" i="4"/>
  <c r="Q877" i="4"/>
  <c r="J878" i="4"/>
  <c r="K878" i="4"/>
  <c r="L878" i="4"/>
  <c r="M878" i="4"/>
  <c r="N878" i="4"/>
  <c r="O878" i="4"/>
  <c r="P878" i="4"/>
  <c r="Q878" i="4"/>
  <c r="J879" i="4"/>
  <c r="K879" i="4"/>
  <c r="L879" i="4"/>
  <c r="M879" i="4"/>
  <c r="N879" i="4"/>
  <c r="O879" i="4"/>
  <c r="P879" i="4"/>
  <c r="Q879" i="4"/>
  <c r="J880" i="4"/>
  <c r="K880" i="4"/>
  <c r="L880" i="4"/>
  <c r="M880" i="4"/>
  <c r="N880" i="4"/>
  <c r="O880" i="4"/>
  <c r="P880" i="4"/>
  <c r="Q880" i="4"/>
  <c r="J881" i="4"/>
  <c r="K881" i="4"/>
  <c r="L881" i="4"/>
  <c r="M881" i="4"/>
  <c r="N881" i="4"/>
  <c r="O881" i="4"/>
  <c r="P881" i="4"/>
  <c r="Q881" i="4"/>
  <c r="J882" i="4"/>
  <c r="K882" i="4"/>
  <c r="L882" i="4"/>
  <c r="M882" i="4"/>
  <c r="N882" i="4"/>
  <c r="O882" i="4"/>
  <c r="P882" i="4"/>
  <c r="Q882" i="4"/>
  <c r="J883" i="4"/>
  <c r="K883" i="4"/>
  <c r="L883" i="4"/>
  <c r="M883" i="4"/>
  <c r="N883" i="4"/>
  <c r="O883" i="4"/>
  <c r="P883" i="4"/>
  <c r="Q883" i="4"/>
  <c r="J884" i="4"/>
  <c r="K884" i="4"/>
  <c r="L884" i="4"/>
  <c r="M884" i="4"/>
  <c r="N884" i="4"/>
  <c r="O884" i="4"/>
  <c r="P884" i="4"/>
  <c r="Q884" i="4"/>
  <c r="J885" i="4"/>
  <c r="K885" i="4"/>
  <c r="L885" i="4"/>
  <c r="M885" i="4"/>
  <c r="N885" i="4"/>
  <c r="O885" i="4"/>
  <c r="P885" i="4"/>
  <c r="Q885" i="4"/>
  <c r="J886" i="4"/>
  <c r="K886" i="4"/>
  <c r="L886" i="4"/>
  <c r="M886" i="4"/>
  <c r="N886" i="4"/>
  <c r="O886" i="4"/>
  <c r="P886" i="4"/>
  <c r="Q886" i="4"/>
  <c r="J887" i="4"/>
  <c r="K887" i="4"/>
  <c r="L887" i="4"/>
  <c r="M887" i="4"/>
  <c r="N887" i="4"/>
  <c r="O887" i="4"/>
  <c r="P887" i="4"/>
  <c r="Q887" i="4"/>
  <c r="J888" i="4"/>
  <c r="K888" i="4"/>
  <c r="L888" i="4"/>
  <c r="M888" i="4"/>
  <c r="N888" i="4"/>
  <c r="O888" i="4"/>
  <c r="P888" i="4"/>
  <c r="Q888" i="4"/>
  <c r="J889" i="4"/>
  <c r="K889" i="4"/>
  <c r="L889" i="4"/>
  <c r="M889" i="4"/>
  <c r="N889" i="4"/>
  <c r="O889" i="4"/>
  <c r="P889" i="4"/>
  <c r="Q889" i="4"/>
  <c r="J890" i="4"/>
  <c r="K890" i="4"/>
  <c r="L890" i="4"/>
  <c r="M890" i="4"/>
  <c r="N890" i="4"/>
  <c r="O890" i="4"/>
  <c r="P890" i="4"/>
  <c r="Q890" i="4"/>
  <c r="J891" i="4"/>
  <c r="K891" i="4"/>
  <c r="L891" i="4"/>
  <c r="M891" i="4"/>
  <c r="N891" i="4"/>
  <c r="O891" i="4"/>
  <c r="P891" i="4"/>
  <c r="Q891" i="4"/>
  <c r="J892" i="4"/>
  <c r="K892" i="4"/>
  <c r="L892" i="4"/>
  <c r="M892" i="4"/>
  <c r="N892" i="4"/>
  <c r="O892" i="4"/>
  <c r="P892" i="4"/>
  <c r="Q892" i="4"/>
  <c r="J893" i="4"/>
  <c r="K893" i="4"/>
  <c r="L893" i="4"/>
  <c r="M893" i="4"/>
  <c r="N893" i="4"/>
  <c r="O893" i="4"/>
  <c r="P893" i="4"/>
  <c r="Q893" i="4"/>
  <c r="J894" i="4"/>
  <c r="K894" i="4"/>
  <c r="L894" i="4"/>
  <c r="M894" i="4"/>
  <c r="N894" i="4"/>
  <c r="O894" i="4"/>
  <c r="P894" i="4"/>
  <c r="Q894" i="4"/>
  <c r="J895" i="4"/>
  <c r="K895" i="4"/>
  <c r="L895" i="4"/>
  <c r="M895" i="4"/>
  <c r="N895" i="4"/>
  <c r="O895" i="4"/>
  <c r="P895" i="4"/>
  <c r="Q895" i="4"/>
  <c r="J896" i="4"/>
  <c r="K896" i="4"/>
  <c r="L896" i="4"/>
  <c r="M896" i="4"/>
  <c r="N896" i="4"/>
  <c r="O896" i="4"/>
  <c r="P896" i="4"/>
  <c r="Q896" i="4"/>
  <c r="J897" i="4"/>
  <c r="K897" i="4"/>
  <c r="L897" i="4"/>
  <c r="M897" i="4"/>
  <c r="N897" i="4"/>
  <c r="O897" i="4"/>
  <c r="P897" i="4"/>
  <c r="Q897" i="4"/>
  <c r="J898" i="4"/>
  <c r="K898" i="4"/>
  <c r="L898" i="4"/>
  <c r="M898" i="4"/>
  <c r="N898" i="4"/>
  <c r="O898" i="4"/>
  <c r="P898" i="4"/>
  <c r="Q898" i="4"/>
  <c r="J899" i="4"/>
  <c r="K899" i="4"/>
  <c r="L899" i="4"/>
  <c r="M899" i="4"/>
  <c r="N899" i="4"/>
  <c r="O899" i="4"/>
  <c r="P899" i="4"/>
  <c r="Q899" i="4"/>
  <c r="J900" i="4"/>
  <c r="K900" i="4"/>
  <c r="L900" i="4"/>
  <c r="M900" i="4"/>
  <c r="N900" i="4"/>
  <c r="O900" i="4"/>
  <c r="P900" i="4"/>
  <c r="Q900" i="4"/>
  <c r="J901" i="4"/>
  <c r="K901" i="4"/>
  <c r="L901" i="4"/>
  <c r="M901" i="4"/>
  <c r="N901" i="4"/>
  <c r="O901" i="4"/>
  <c r="P901" i="4"/>
  <c r="Q901" i="4"/>
  <c r="J902" i="4"/>
  <c r="K902" i="4"/>
  <c r="L902" i="4"/>
  <c r="M902" i="4"/>
  <c r="N902" i="4"/>
  <c r="O902" i="4"/>
  <c r="P902" i="4"/>
  <c r="Q902" i="4"/>
  <c r="J903" i="4"/>
  <c r="K903" i="4"/>
  <c r="L903" i="4"/>
  <c r="M903" i="4"/>
  <c r="N903" i="4"/>
  <c r="O903" i="4"/>
  <c r="P903" i="4"/>
  <c r="Q903" i="4"/>
  <c r="J904" i="4"/>
  <c r="K904" i="4"/>
  <c r="L904" i="4"/>
  <c r="M904" i="4"/>
  <c r="N904" i="4"/>
  <c r="O904" i="4"/>
  <c r="P904" i="4"/>
  <c r="Q904" i="4"/>
  <c r="J905" i="4"/>
  <c r="K905" i="4"/>
  <c r="L905" i="4"/>
  <c r="M905" i="4"/>
  <c r="N905" i="4"/>
  <c r="O905" i="4"/>
  <c r="P905" i="4"/>
  <c r="Q905" i="4"/>
  <c r="J906" i="4"/>
  <c r="K906" i="4"/>
  <c r="L906" i="4"/>
  <c r="M906" i="4"/>
  <c r="N906" i="4"/>
  <c r="O906" i="4"/>
  <c r="P906" i="4"/>
  <c r="Q906" i="4"/>
  <c r="J907" i="4"/>
  <c r="K907" i="4"/>
  <c r="L907" i="4"/>
  <c r="M907" i="4"/>
  <c r="N907" i="4"/>
  <c r="O907" i="4"/>
  <c r="P907" i="4"/>
  <c r="Q907" i="4"/>
  <c r="J908" i="4"/>
  <c r="K908" i="4"/>
  <c r="L908" i="4"/>
  <c r="M908" i="4"/>
  <c r="N908" i="4"/>
  <c r="O908" i="4"/>
  <c r="P908" i="4"/>
  <c r="Q908" i="4"/>
  <c r="J909" i="4"/>
  <c r="K909" i="4"/>
  <c r="L909" i="4"/>
  <c r="M909" i="4"/>
  <c r="N909" i="4"/>
  <c r="O909" i="4"/>
  <c r="P909" i="4"/>
  <c r="Q909" i="4"/>
  <c r="J910" i="4"/>
  <c r="K910" i="4"/>
  <c r="L910" i="4"/>
  <c r="M910" i="4"/>
  <c r="N910" i="4"/>
  <c r="O910" i="4"/>
  <c r="P910" i="4"/>
  <c r="Q910" i="4"/>
  <c r="J911" i="4"/>
  <c r="K911" i="4"/>
  <c r="L911" i="4"/>
  <c r="M911" i="4"/>
  <c r="N911" i="4"/>
  <c r="O911" i="4"/>
  <c r="P911" i="4"/>
  <c r="Q911" i="4"/>
  <c r="J912" i="4"/>
  <c r="K912" i="4"/>
  <c r="L912" i="4"/>
  <c r="M912" i="4"/>
  <c r="N912" i="4"/>
  <c r="O912" i="4"/>
  <c r="P912" i="4"/>
  <c r="Q912" i="4"/>
  <c r="J913" i="4"/>
  <c r="K913" i="4"/>
  <c r="L913" i="4"/>
  <c r="M913" i="4"/>
  <c r="N913" i="4"/>
  <c r="O913" i="4"/>
  <c r="P913" i="4"/>
  <c r="Q913" i="4"/>
  <c r="J914" i="4"/>
  <c r="K914" i="4"/>
  <c r="L914" i="4"/>
  <c r="M914" i="4"/>
  <c r="N914" i="4"/>
  <c r="O914" i="4"/>
  <c r="P914" i="4"/>
  <c r="Q914" i="4"/>
  <c r="J915" i="4"/>
  <c r="K915" i="4"/>
  <c r="L915" i="4"/>
  <c r="M915" i="4"/>
  <c r="N915" i="4"/>
  <c r="O915" i="4"/>
  <c r="P915" i="4"/>
  <c r="Q915" i="4"/>
  <c r="J916" i="4"/>
  <c r="K916" i="4"/>
  <c r="L916" i="4"/>
  <c r="M916" i="4"/>
  <c r="N916" i="4"/>
  <c r="O916" i="4"/>
  <c r="P916" i="4"/>
  <c r="Q916" i="4"/>
  <c r="J917" i="4"/>
  <c r="K917" i="4"/>
  <c r="L917" i="4"/>
  <c r="M917" i="4"/>
  <c r="N917" i="4"/>
  <c r="O917" i="4"/>
  <c r="P917" i="4"/>
  <c r="Q917" i="4"/>
  <c r="J918" i="4"/>
  <c r="K918" i="4"/>
  <c r="L918" i="4"/>
  <c r="M918" i="4"/>
  <c r="N918" i="4"/>
  <c r="O918" i="4"/>
  <c r="P918" i="4"/>
  <c r="Q918" i="4"/>
  <c r="J919" i="4"/>
  <c r="K919" i="4"/>
  <c r="L919" i="4"/>
  <c r="M919" i="4"/>
  <c r="N919" i="4"/>
  <c r="O919" i="4"/>
  <c r="P919" i="4"/>
  <c r="Q919" i="4"/>
  <c r="J920" i="4"/>
  <c r="K920" i="4"/>
  <c r="L920" i="4"/>
  <c r="M920" i="4"/>
  <c r="N920" i="4"/>
  <c r="O920" i="4"/>
  <c r="P920" i="4"/>
  <c r="Q920" i="4"/>
  <c r="J921" i="4"/>
  <c r="K921" i="4"/>
  <c r="L921" i="4"/>
  <c r="M921" i="4"/>
  <c r="N921" i="4"/>
  <c r="O921" i="4"/>
  <c r="P921" i="4"/>
  <c r="Q921" i="4"/>
  <c r="J922" i="4"/>
  <c r="K922" i="4"/>
  <c r="L922" i="4"/>
  <c r="M922" i="4"/>
  <c r="N922" i="4"/>
  <c r="O922" i="4"/>
  <c r="P922" i="4"/>
  <c r="Q922" i="4"/>
  <c r="J923" i="4"/>
  <c r="K923" i="4"/>
  <c r="L923" i="4"/>
  <c r="M923" i="4"/>
  <c r="N923" i="4"/>
  <c r="O923" i="4"/>
  <c r="P923" i="4"/>
  <c r="Q923" i="4"/>
  <c r="J924" i="4"/>
  <c r="K924" i="4"/>
  <c r="L924" i="4"/>
  <c r="M924" i="4"/>
  <c r="N924" i="4"/>
  <c r="O924" i="4"/>
  <c r="P924" i="4"/>
  <c r="Q924" i="4"/>
  <c r="J925" i="4"/>
  <c r="K925" i="4"/>
  <c r="L925" i="4"/>
  <c r="M925" i="4"/>
  <c r="N925" i="4"/>
  <c r="O925" i="4"/>
  <c r="P925" i="4"/>
  <c r="Q925" i="4"/>
  <c r="J926" i="4"/>
  <c r="K926" i="4"/>
  <c r="L926" i="4"/>
  <c r="M926" i="4"/>
  <c r="N926" i="4"/>
  <c r="O926" i="4"/>
  <c r="P926" i="4"/>
  <c r="Q926" i="4"/>
  <c r="J927" i="4"/>
  <c r="K927" i="4"/>
  <c r="L927" i="4"/>
  <c r="M927" i="4"/>
  <c r="N927" i="4"/>
  <c r="O927" i="4"/>
  <c r="P927" i="4"/>
  <c r="Q927" i="4"/>
  <c r="J928" i="4"/>
  <c r="K928" i="4"/>
  <c r="L928" i="4"/>
  <c r="M928" i="4"/>
  <c r="N928" i="4"/>
  <c r="O928" i="4"/>
  <c r="P928" i="4"/>
  <c r="Q928" i="4"/>
  <c r="J929" i="4"/>
  <c r="K929" i="4"/>
  <c r="L929" i="4"/>
  <c r="M929" i="4"/>
  <c r="N929" i="4"/>
  <c r="O929" i="4"/>
  <c r="P929" i="4"/>
  <c r="Q929" i="4"/>
  <c r="J930" i="4"/>
  <c r="K930" i="4"/>
  <c r="L930" i="4"/>
  <c r="M930" i="4"/>
  <c r="N930" i="4"/>
  <c r="O930" i="4"/>
  <c r="P930" i="4"/>
  <c r="Q930" i="4"/>
  <c r="J931" i="4"/>
  <c r="K931" i="4"/>
  <c r="L931" i="4"/>
  <c r="M931" i="4"/>
  <c r="N931" i="4"/>
  <c r="O931" i="4"/>
  <c r="P931" i="4"/>
  <c r="Q931" i="4"/>
  <c r="J932" i="4"/>
  <c r="K932" i="4"/>
  <c r="L932" i="4"/>
  <c r="M932" i="4"/>
  <c r="N932" i="4"/>
  <c r="O932" i="4"/>
  <c r="P932" i="4"/>
  <c r="Q932" i="4"/>
  <c r="J933" i="4"/>
  <c r="K933" i="4"/>
  <c r="L933" i="4"/>
  <c r="M933" i="4"/>
  <c r="N933" i="4"/>
  <c r="O933" i="4"/>
  <c r="P933" i="4"/>
  <c r="Q933" i="4"/>
  <c r="J934" i="4"/>
  <c r="K934" i="4"/>
  <c r="L934" i="4"/>
  <c r="M934" i="4"/>
  <c r="N934" i="4"/>
  <c r="O934" i="4"/>
  <c r="P934" i="4"/>
  <c r="Q934" i="4"/>
  <c r="J935" i="4"/>
  <c r="K935" i="4"/>
  <c r="L935" i="4"/>
  <c r="M935" i="4"/>
  <c r="N935" i="4"/>
  <c r="O935" i="4"/>
  <c r="P935" i="4"/>
  <c r="Q935" i="4"/>
  <c r="J936" i="4"/>
  <c r="K936" i="4"/>
  <c r="L936" i="4"/>
  <c r="M936" i="4"/>
  <c r="N936" i="4"/>
  <c r="O936" i="4"/>
  <c r="P936" i="4"/>
  <c r="Q936" i="4"/>
  <c r="J937" i="4"/>
  <c r="K937" i="4"/>
  <c r="L937" i="4"/>
  <c r="M937" i="4"/>
  <c r="N937" i="4"/>
  <c r="O937" i="4"/>
  <c r="P937" i="4"/>
  <c r="Q937" i="4"/>
  <c r="J938" i="4"/>
  <c r="K938" i="4"/>
  <c r="L938" i="4"/>
  <c r="M938" i="4"/>
  <c r="N938" i="4"/>
  <c r="O938" i="4"/>
  <c r="P938" i="4"/>
  <c r="Q938" i="4"/>
  <c r="J939" i="4"/>
  <c r="K939" i="4"/>
  <c r="L939" i="4"/>
  <c r="M939" i="4"/>
  <c r="N939" i="4"/>
  <c r="O939" i="4"/>
  <c r="P939" i="4"/>
  <c r="Q939" i="4"/>
  <c r="J940" i="4"/>
  <c r="K940" i="4"/>
  <c r="L940" i="4"/>
  <c r="M940" i="4"/>
  <c r="N940" i="4"/>
  <c r="O940" i="4"/>
  <c r="P940" i="4"/>
  <c r="Q940" i="4"/>
  <c r="J941" i="4"/>
  <c r="K941" i="4"/>
  <c r="L941" i="4"/>
  <c r="M941" i="4"/>
  <c r="N941" i="4"/>
  <c r="O941" i="4"/>
  <c r="P941" i="4"/>
  <c r="Q941" i="4"/>
  <c r="J942" i="4"/>
  <c r="K942" i="4"/>
  <c r="L942" i="4"/>
  <c r="M942" i="4"/>
  <c r="N942" i="4"/>
  <c r="O942" i="4"/>
  <c r="P942" i="4"/>
  <c r="Q942" i="4"/>
  <c r="J943" i="4"/>
  <c r="K943" i="4"/>
  <c r="L943" i="4"/>
  <c r="M943" i="4"/>
  <c r="N943" i="4"/>
  <c r="O943" i="4"/>
  <c r="P943" i="4"/>
  <c r="Q943" i="4"/>
  <c r="J944" i="4"/>
  <c r="K944" i="4"/>
  <c r="L944" i="4"/>
  <c r="M944" i="4"/>
  <c r="N944" i="4"/>
  <c r="O944" i="4"/>
  <c r="P944" i="4"/>
  <c r="Q944" i="4"/>
  <c r="J945" i="4"/>
  <c r="K945" i="4"/>
  <c r="L945" i="4"/>
  <c r="M945" i="4"/>
  <c r="N945" i="4"/>
  <c r="O945" i="4"/>
  <c r="P945" i="4"/>
  <c r="Q945" i="4"/>
  <c r="J946" i="4"/>
  <c r="K946" i="4"/>
  <c r="L946" i="4"/>
  <c r="M946" i="4"/>
  <c r="N946" i="4"/>
  <c r="O946" i="4"/>
  <c r="P946" i="4"/>
  <c r="Q946" i="4"/>
  <c r="J947" i="4"/>
  <c r="K947" i="4"/>
  <c r="L947" i="4"/>
  <c r="M947" i="4"/>
  <c r="N947" i="4"/>
  <c r="O947" i="4"/>
  <c r="P947" i="4"/>
  <c r="Q947" i="4"/>
  <c r="J948" i="4"/>
  <c r="K948" i="4"/>
  <c r="L948" i="4"/>
  <c r="M948" i="4"/>
  <c r="N948" i="4"/>
  <c r="O948" i="4"/>
  <c r="P948" i="4"/>
  <c r="Q948" i="4"/>
  <c r="J949" i="4"/>
  <c r="K949" i="4"/>
  <c r="L949" i="4"/>
  <c r="M949" i="4"/>
  <c r="N949" i="4"/>
  <c r="O949" i="4"/>
  <c r="P949" i="4"/>
  <c r="Q949" i="4"/>
  <c r="J950" i="4"/>
  <c r="K950" i="4"/>
  <c r="L950" i="4"/>
  <c r="M950" i="4"/>
  <c r="N950" i="4"/>
  <c r="O950" i="4"/>
  <c r="P950" i="4"/>
  <c r="Q950" i="4"/>
  <c r="J951" i="4"/>
  <c r="K951" i="4"/>
  <c r="L951" i="4"/>
  <c r="M951" i="4"/>
  <c r="N951" i="4"/>
  <c r="O951" i="4"/>
  <c r="P951" i="4"/>
  <c r="Q951" i="4"/>
  <c r="J952" i="4"/>
  <c r="K952" i="4"/>
  <c r="L952" i="4"/>
  <c r="M952" i="4"/>
  <c r="N952" i="4"/>
  <c r="O952" i="4"/>
  <c r="P952" i="4"/>
  <c r="Q952" i="4"/>
  <c r="J953" i="4"/>
  <c r="K953" i="4"/>
  <c r="L953" i="4"/>
  <c r="M953" i="4"/>
  <c r="N953" i="4"/>
  <c r="O953" i="4"/>
  <c r="P953" i="4"/>
  <c r="Q953" i="4"/>
  <c r="J954" i="4"/>
  <c r="K954" i="4"/>
  <c r="L954" i="4"/>
  <c r="M954" i="4"/>
  <c r="N954" i="4"/>
  <c r="O954" i="4"/>
  <c r="P954" i="4"/>
  <c r="Q954" i="4"/>
  <c r="J955" i="4"/>
  <c r="K955" i="4"/>
  <c r="L955" i="4"/>
  <c r="M955" i="4"/>
  <c r="N955" i="4"/>
  <c r="O955" i="4"/>
  <c r="P955" i="4"/>
  <c r="Q955" i="4"/>
  <c r="J956" i="4"/>
  <c r="K956" i="4"/>
  <c r="L956" i="4"/>
  <c r="M956" i="4"/>
  <c r="N956" i="4"/>
  <c r="O956" i="4"/>
  <c r="P956" i="4"/>
  <c r="Q956" i="4"/>
  <c r="J957" i="4"/>
  <c r="K957" i="4"/>
  <c r="L957" i="4"/>
  <c r="M957" i="4"/>
  <c r="N957" i="4"/>
  <c r="O957" i="4"/>
  <c r="P957" i="4"/>
  <c r="Q957" i="4"/>
  <c r="J958" i="4"/>
  <c r="K958" i="4"/>
  <c r="L958" i="4"/>
  <c r="M958" i="4"/>
  <c r="N958" i="4"/>
  <c r="O958" i="4"/>
  <c r="P958" i="4"/>
  <c r="Q958" i="4"/>
  <c r="J959" i="4"/>
  <c r="K959" i="4"/>
  <c r="L959" i="4"/>
  <c r="M959" i="4"/>
  <c r="N959" i="4"/>
  <c r="O959" i="4"/>
  <c r="P959" i="4"/>
  <c r="Q959" i="4"/>
  <c r="J960" i="4"/>
  <c r="K960" i="4"/>
  <c r="L960" i="4"/>
  <c r="M960" i="4"/>
  <c r="N960" i="4"/>
  <c r="O960" i="4"/>
  <c r="P960" i="4"/>
  <c r="Q960" i="4"/>
  <c r="J961" i="4"/>
  <c r="K961" i="4"/>
  <c r="L961" i="4"/>
  <c r="M961" i="4"/>
  <c r="N961" i="4"/>
  <c r="O961" i="4"/>
  <c r="P961" i="4"/>
  <c r="Q961" i="4"/>
  <c r="J962" i="4"/>
  <c r="K962" i="4"/>
  <c r="L962" i="4"/>
  <c r="M962" i="4"/>
  <c r="N962" i="4"/>
  <c r="O962" i="4"/>
  <c r="P962" i="4"/>
  <c r="Q962" i="4"/>
  <c r="J963" i="4"/>
  <c r="K963" i="4"/>
  <c r="L963" i="4"/>
  <c r="M963" i="4"/>
  <c r="N963" i="4"/>
  <c r="O963" i="4"/>
  <c r="P963" i="4"/>
  <c r="Q963" i="4"/>
  <c r="J964" i="4"/>
  <c r="K964" i="4"/>
  <c r="L964" i="4"/>
  <c r="M964" i="4"/>
  <c r="N964" i="4"/>
  <c r="O964" i="4"/>
  <c r="P964" i="4"/>
  <c r="Q964" i="4"/>
  <c r="J965" i="4"/>
  <c r="K965" i="4"/>
  <c r="L965" i="4"/>
  <c r="M965" i="4"/>
  <c r="N965" i="4"/>
  <c r="O965" i="4"/>
  <c r="P965" i="4"/>
  <c r="Q965" i="4"/>
  <c r="J966" i="4"/>
  <c r="K966" i="4"/>
  <c r="L966" i="4"/>
  <c r="M966" i="4"/>
  <c r="N966" i="4"/>
  <c r="O966" i="4"/>
  <c r="P966" i="4"/>
  <c r="Q966" i="4"/>
  <c r="J967" i="4"/>
  <c r="K967" i="4"/>
  <c r="L967" i="4"/>
  <c r="M967" i="4"/>
  <c r="N967" i="4"/>
  <c r="O967" i="4"/>
  <c r="P967" i="4"/>
  <c r="Q967" i="4"/>
  <c r="J968" i="4"/>
  <c r="K968" i="4"/>
  <c r="L968" i="4"/>
  <c r="M968" i="4"/>
  <c r="N968" i="4"/>
  <c r="O968" i="4"/>
  <c r="P968" i="4"/>
  <c r="Q968" i="4"/>
  <c r="J969" i="4"/>
  <c r="K969" i="4"/>
  <c r="L969" i="4"/>
  <c r="M969" i="4"/>
  <c r="N969" i="4"/>
  <c r="O969" i="4"/>
  <c r="P969" i="4"/>
  <c r="Q969" i="4"/>
  <c r="J970" i="4"/>
  <c r="K970" i="4"/>
  <c r="L970" i="4"/>
  <c r="M970" i="4"/>
  <c r="N970" i="4"/>
  <c r="O970" i="4"/>
  <c r="P970" i="4"/>
  <c r="Q970" i="4"/>
  <c r="J971" i="4"/>
  <c r="K971" i="4"/>
  <c r="L971" i="4"/>
  <c r="M971" i="4"/>
  <c r="N971" i="4"/>
  <c r="O971" i="4"/>
  <c r="P971" i="4"/>
  <c r="Q971" i="4"/>
  <c r="J972" i="4"/>
  <c r="K972" i="4"/>
  <c r="L972" i="4"/>
  <c r="M972" i="4"/>
  <c r="N972" i="4"/>
  <c r="O972" i="4"/>
  <c r="P972" i="4"/>
  <c r="Q972" i="4"/>
  <c r="J973" i="4"/>
  <c r="K973" i="4"/>
  <c r="L973" i="4"/>
  <c r="M973" i="4"/>
  <c r="N973" i="4"/>
  <c r="O973" i="4"/>
  <c r="P973" i="4"/>
  <c r="Q973" i="4"/>
  <c r="J974" i="4"/>
  <c r="K974" i="4"/>
  <c r="L974" i="4"/>
  <c r="M974" i="4"/>
  <c r="N974" i="4"/>
  <c r="O974" i="4"/>
  <c r="P974" i="4"/>
  <c r="Q974" i="4"/>
  <c r="J975" i="4"/>
  <c r="K975" i="4"/>
  <c r="L975" i="4"/>
  <c r="M975" i="4"/>
  <c r="N975" i="4"/>
  <c r="O975" i="4"/>
  <c r="P975" i="4"/>
  <c r="Q975" i="4"/>
  <c r="J976" i="4"/>
  <c r="K976" i="4"/>
  <c r="L976" i="4"/>
  <c r="M976" i="4"/>
  <c r="N976" i="4"/>
  <c r="O976" i="4"/>
  <c r="P976" i="4"/>
  <c r="Q976" i="4"/>
  <c r="J977" i="4"/>
  <c r="K977" i="4"/>
  <c r="L977" i="4"/>
  <c r="M977" i="4"/>
  <c r="N977" i="4"/>
  <c r="O977" i="4"/>
  <c r="P977" i="4"/>
  <c r="Q977" i="4"/>
  <c r="J978" i="4"/>
  <c r="K978" i="4"/>
  <c r="L978" i="4"/>
  <c r="M978" i="4"/>
  <c r="N978" i="4"/>
  <c r="O978" i="4"/>
  <c r="P978" i="4"/>
  <c r="Q978" i="4"/>
  <c r="J979" i="4"/>
  <c r="K979" i="4"/>
  <c r="L979" i="4"/>
  <c r="M979" i="4"/>
  <c r="N979" i="4"/>
  <c r="O979" i="4"/>
  <c r="P979" i="4"/>
  <c r="Q979" i="4"/>
  <c r="J980" i="4"/>
  <c r="K980" i="4"/>
  <c r="L980" i="4"/>
  <c r="M980" i="4"/>
  <c r="N980" i="4"/>
  <c r="O980" i="4"/>
  <c r="P980" i="4"/>
  <c r="Q980" i="4"/>
  <c r="J981" i="4"/>
  <c r="K981" i="4"/>
  <c r="L981" i="4"/>
  <c r="M981" i="4"/>
  <c r="N981" i="4"/>
  <c r="O981" i="4"/>
  <c r="P981" i="4"/>
  <c r="Q981" i="4"/>
  <c r="J982" i="4"/>
  <c r="K982" i="4"/>
  <c r="L982" i="4"/>
  <c r="M982" i="4"/>
  <c r="N982" i="4"/>
  <c r="O982" i="4"/>
  <c r="P982" i="4"/>
  <c r="Q982" i="4"/>
  <c r="J983" i="4"/>
  <c r="K983" i="4"/>
  <c r="L983" i="4"/>
  <c r="M983" i="4"/>
  <c r="N983" i="4"/>
  <c r="O983" i="4"/>
  <c r="P983" i="4"/>
  <c r="Q983" i="4"/>
  <c r="J984" i="4"/>
  <c r="K984" i="4"/>
  <c r="L984" i="4"/>
  <c r="M984" i="4"/>
  <c r="N984" i="4"/>
  <c r="O984" i="4"/>
  <c r="P984" i="4"/>
  <c r="Q984" i="4"/>
  <c r="J985" i="4"/>
  <c r="K985" i="4"/>
  <c r="L985" i="4"/>
  <c r="M985" i="4"/>
  <c r="N985" i="4"/>
  <c r="O985" i="4"/>
  <c r="P985" i="4"/>
  <c r="Q985" i="4"/>
  <c r="J986" i="4"/>
  <c r="K986" i="4"/>
  <c r="L986" i="4"/>
  <c r="M986" i="4"/>
  <c r="N986" i="4"/>
  <c r="O986" i="4"/>
  <c r="P986" i="4"/>
  <c r="Q986" i="4"/>
  <c r="J987" i="4"/>
  <c r="K987" i="4"/>
  <c r="L987" i="4"/>
  <c r="M987" i="4"/>
  <c r="N987" i="4"/>
  <c r="O987" i="4"/>
  <c r="P987" i="4"/>
  <c r="Q987" i="4"/>
  <c r="J988" i="4"/>
  <c r="K988" i="4"/>
  <c r="L988" i="4"/>
  <c r="M988" i="4"/>
  <c r="N988" i="4"/>
  <c r="O988" i="4"/>
  <c r="P988" i="4"/>
  <c r="Q988" i="4"/>
  <c r="J989" i="4"/>
  <c r="K989" i="4"/>
  <c r="L989" i="4"/>
  <c r="M989" i="4"/>
  <c r="N989" i="4"/>
  <c r="O989" i="4"/>
  <c r="P989" i="4"/>
  <c r="Q989" i="4"/>
  <c r="J990" i="4"/>
  <c r="K990" i="4"/>
  <c r="L990" i="4"/>
  <c r="M990" i="4"/>
  <c r="N990" i="4"/>
  <c r="O990" i="4"/>
  <c r="P990" i="4"/>
  <c r="Q990" i="4"/>
  <c r="J991" i="4"/>
  <c r="K991" i="4"/>
  <c r="L991" i="4"/>
  <c r="M991" i="4"/>
  <c r="N991" i="4"/>
  <c r="O991" i="4"/>
  <c r="P991" i="4"/>
  <c r="Q991" i="4"/>
  <c r="J992" i="4"/>
  <c r="K992" i="4"/>
  <c r="L992" i="4"/>
  <c r="M992" i="4"/>
  <c r="N992" i="4"/>
  <c r="O992" i="4"/>
  <c r="P992" i="4"/>
  <c r="Q992" i="4"/>
  <c r="J993" i="4"/>
  <c r="K993" i="4"/>
  <c r="L993" i="4"/>
  <c r="M993" i="4"/>
  <c r="N993" i="4"/>
  <c r="O993" i="4"/>
  <c r="P993" i="4"/>
  <c r="Q993" i="4"/>
  <c r="J994" i="4"/>
  <c r="K994" i="4"/>
  <c r="L994" i="4"/>
  <c r="M994" i="4"/>
  <c r="N994" i="4"/>
  <c r="O994" i="4"/>
  <c r="P994" i="4"/>
  <c r="Q994" i="4"/>
  <c r="J995" i="4"/>
  <c r="K995" i="4"/>
  <c r="L995" i="4"/>
  <c r="M995" i="4"/>
  <c r="N995" i="4"/>
  <c r="O995" i="4"/>
  <c r="P995" i="4"/>
  <c r="Q995" i="4"/>
  <c r="J996" i="4"/>
  <c r="K996" i="4"/>
  <c r="L996" i="4"/>
  <c r="M996" i="4"/>
  <c r="N996" i="4"/>
  <c r="O996" i="4"/>
  <c r="P996" i="4"/>
  <c r="Q996" i="4"/>
  <c r="J997" i="4"/>
  <c r="K997" i="4"/>
  <c r="L997" i="4"/>
  <c r="M997" i="4"/>
  <c r="N997" i="4"/>
  <c r="O997" i="4"/>
  <c r="P997" i="4"/>
  <c r="Q997" i="4"/>
  <c r="J998" i="4"/>
  <c r="K998" i="4"/>
  <c r="L998" i="4"/>
  <c r="M998" i="4"/>
  <c r="N998" i="4"/>
  <c r="O998" i="4"/>
  <c r="P998" i="4"/>
  <c r="Q998" i="4"/>
  <c r="J999" i="4"/>
  <c r="K999" i="4"/>
  <c r="L999" i="4"/>
  <c r="M999" i="4"/>
  <c r="N999" i="4"/>
  <c r="O999" i="4"/>
  <c r="P999" i="4"/>
  <c r="Q999" i="4"/>
  <c r="J1000" i="4"/>
  <c r="K1000" i="4"/>
  <c r="L1000" i="4"/>
  <c r="M1000" i="4"/>
  <c r="N1000" i="4"/>
  <c r="O1000" i="4"/>
  <c r="P1000" i="4"/>
  <c r="Q1000" i="4"/>
  <c r="J1001" i="4"/>
  <c r="K1001" i="4"/>
  <c r="L1001" i="4"/>
  <c r="M1001" i="4"/>
  <c r="N1001" i="4"/>
  <c r="O1001" i="4"/>
  <c r="P1001" i="4"/>
  <c r="Q1001" i="4"/>
  <c r="J1002" i="4"/>
  <c r="K1002" i="4"/>
  <c r="L1002" i="4"/>
  <c r="M1002" i="4"/>
  <c r="N1002" i="4"/>
  <c r="O1002" i="4"/>
  <c r="P1002" i="4"/>
  <c r="Q1002" i="4"/>
  <c r="J1003" i="4"/>
  <c r="K1003" i="4"/>
  <c r="L1003" i="4"/>
  <c r="M1003" i="4"/>
  <c r="N1003" i="4"/>
  <c r="O1003" i="4"/>
  <c r="P1003" i="4"/>
  <c r="Q1003" i="4"/>
  <c r="J1004" i="4"/>
  <c r="K1004" i="4"/>
  <c r="L1004" i="4"/>
  <c r="M1004" i="4"/>
  <c r="N1004" i="4"/>
  <c r="O1004" i="4"/>
  <c r="P1004" i="4"/>
  <c r="Q1004" i="4"/>
  <c r="J1005" i="4"/>
  <c r="K1005" i="4"/>
  <c r="L1005" i="4"/>
  <c r="M1005" i="4"/>
  <c r="N1005" i="4"/>
  <c r="O1005" i="4"/>
  <c r="P1005" i="4"/>
  <c r="Q1005" i="4"/>
  <c r="J1006" i="4"/>
  <c r="K1006" i="4"/>
  <c r="L1006" i="4"/>
  <c r="M1006" i="4"/>
  <c r="N1006" i="4"/>
  <c r="O1006" i="4"/>
  <c r="P1006" i="4"/>
  <c r="Q1006" i="4"/>
  <c r="J1007" i="4"/>
  <c r="K1007" i="4"/>
  <c r="L1007" i="4"/>
  <c r="M1007" i="4"/>
  <c r="N1007" i="4"/>
  <c r="O1007" i="4"/>
  <c r="P1007" i="4"/>
  <c r="Q1007" i="4"/>
  <c r="J1008" i="4"/>
  <c r="K1008" i="4"/>
  <c r="L1008" i="4"/>
  <c r="M1008" i="4"/>
  <c r="N1008" i="4"/>
  <c r="O1008" i="4"/>
  <c r="P1008" i="4"/>
  <c r="Q1008" i="4"/>
  <c r="J1009" i="4"/>
  <c r="K1009" i="4"/>
  <c r="L1009" i="4"/>
  <c r="M1009" i="4"/>
  <c r="N1009" i="4"/>
  <c r="O1009" i="4"/>
  <c r="P1009" i="4"/>
  <c r="Q1009" i="4"/>
  <c r="J1010" i="4"/>
  <c r="K1010" i="4"/>
  <c r="L1010" i="4"/>
  <c r="M1010" i="4"/>
  <c r="N1010" i="4"/>
  <c r="O1010" i="4"/>
  <c r="P1010" i="4"/>
  <c r="Q1010" i="4"/>
  <c r="J1011" i="4"/>
  <c r="K1011" i="4"/>
  <c r="L1011" i="4"/>
  <c r="M1011" i="4"/>
  <c r="N1011" i="4"/>
  <c r="O1011" i="4"/>
  <c r="P1011" i="4"/>
  <c r="Q1011" i="4"/>
  <c r="J1012" i="4"/>
  <c r="K1012" i="4"/>
  <c r="L1012" i="4"/>
  <c r="M1012" i="4"/>
  <c r="N1012" i="4"/>
  <c r="O1012" i="4"/>
  <c r="P1012" i="4"/>
  <c r="Q1012" i="4"/>
  <c r="J1013" i="4"/>
  <c r="K1013" i="4"/>
  <c r="L1013" i="4"/>
  <c r="M1013" i="4"/>
  <c r="N1013" i="4"/>
  <c r="O1013" i="4"/>
  <c r="P1013" i="4"/>
  <c r="Q1013" i="4"/>
  <c r="J1014" i="4"/>
  <c r="K1014" i="4"/>
  <c r="L1014" i="4"/>
  <c r="M1014" i="4"/>
  <c r="N1014" i="4"/>
  <c r="O1014" i="4"/>
  <c r="P1014" i="4"/>
  <c r="Q1014" i="4"/>
  <c r="J1015" i="4"/>
  <c r="K1015" i="4"/>
  <c r="L1015" i="4"/>
  <c r="M1015" i="4"/>
  <c r="N1015" i="4"/>
  <c r="O1015" i="4"/>
  <c r="P1015" i="4"/>
  <c r="Q1015" i="4"/>
  <c r="J1016" i="4"/>
  <c r="K1016" i="4"/>
  <c r="L1016" i="4"/>
  <c r="M1016" i="4"/>
  <c r="N1016" i="4"/>
  <c r="O1016" i="4"/>
  <c r="P1016" i="4"/>
  <c r="Q1016" i="4"/>
  <c r="J1017" i="4"/>
  <c r="K1017" i="4"/>
  <c r="L1017" i="4"/>
  <c r="M1017" i="4"/>
  <c r="N1017" i="4"/>
  <c r="O1017" i="4"/>
  <c r="P1017" i="4"/>
  <c r="Q1017" i="4"/>
  <c r="J1018" i="4"/>
  <c r="K1018" i="4"/>
  <c r="L1018" i="4"/>
  <c r="M1018" i="4"/>
  <c r="N1018" i="4"/>
  <c r="O1018" i="4"/>
  <c r="P1018" i="4"/>
  <c r="Q1018" i="4"/>
  <c r="J1019" i="4"/>
  <c r="K1019" i="4"/>
  <c r="L1019" i="4"/>
  <c r="M1019" i="4"/>
  <c r="N1019" i="4"/>
  <c r="O1019" i="4"/>
  <c r="P1019" i="4"/>
  <c r="Q1019" i="4"/>
  <c r="J1020" i="4"/>
  <c r="K1020" i="4"/>
  <c r="L1020" i="4"/>
  <c r="M1020" i="4"/>
  <c r="N1020" i="4"/>
  <c r="O1020" i="4"/>
  <c r="P1020" i="4"/>
  <c r="Q1020" i="4"/>
  <c r="J1021" i="4"/>
  <c r="K1021" i="4"/>
  <c r="L1021" i="4"/>
  <c r="M1021" i="4"/>
  <c r="N1021" i="4"/>
  <c r="O1021" i="4"/>
  <c r="P1021" i="4"/>
  <c r="Q1021" i="4"/>
  <c r="J1022" i="4"/>
  <c r="K1022" i="4"/>
  <c r="L1022" i="4"/>
  <c r="M1022" i="4"/>
  <c r="N1022" i="4"/>
  <c r="O1022" i="4"/>
  <c r="P1022" i="4"/>
  <c r="Q1022" i="4"/>
  <c r="J1023" i="4"/>
  <c r="K1023" i="4"/>
  <c r="L1023" i="4"/>
  <c r="M1023" i="4"/>
  <c r="N1023" i="4"/>
  <c r="O1023" i="4"/>
  <c r="P1023" i="4"/>
  <c r="Q1023" i="4"/>
  <c r="J1024" i="4"/>
  <c r="K1024" i="4"/>
  <c r="L1024" i="4"/>
  <c r="M1024" i="4"/>
  <c r="N1024" i="4"/>
  <c r="O1024" i="4"/>
  <c r="P1024" i="4"/>
  <c r="Q1024" i="4"/>
  <c r="J1025" i="4"/>
  <c r="K1025" i="4"/>
  <c r="L1025" i="4"/>
  <c r="M1025" i="4"/>
  <c r="N1025" i="4"/>
  <c r="O1025" i="4"/>
  <c r="P1025" i="4"/>
  <c r="Q1025" i="4"/>
  <c r="J1026" i="4"/>
  <c r="K1026" i="4"/>
  <c r="L1026" i="4"/>
  <c r="M1026" i="4"/>
  <c r="N1026" i="4"/>
  <c r="O1026" i="4"/>
  <c r="P1026" i="4"/>
  <c r="Q1026" i="4"/>
  <c r="J1027" i="4"/>
  <c r="K1027" i="4"/>
  <c r="L1027" i="4"/>
  <c r="M1027" i="4"/>
  <c r="N1027" i="4"/>
  <c r="O1027" i="4"/>
  <c r="P1027" i="4"/>
  <c r="Q1027" i="4"/>
  <c r="J1028" i="4"/>
  <c r="K1028" i="4"/>
  <c r="L1028" i="4"/>
  <c r="M1028" i="4"/>
  <c r="N1028" i="4"/>
  <c r="O1028" i="4"/>
  <c r="P1028" i="4"/>
  <c r="Q1028" i="4"/>
  <c r="J1029" i="4"/>
  <c r="K1029" i="4"/>
  <c r="L1029" i="4"/>
  <c r="M1029" i="4"/>
  <c r="N1029" i="4"/>
  <c r="O1029" i="4"/>
  <c r="P1029" i="4"/>
  <c r="Q1029" i="4"/>
  <c r="J1030" i="4"/>
  <c r="K1030" i="4"/>
  <c r="L1030" i="4"/>
  <c r="M1030" i="4"/>
  <c r="N1030" i="4"/>
  <c r="O1030" i="4"/>
  <c r="P1030" i="4"/>
  <c r="Q1030" i="4"/>
  <c r="J1031" i="4"/>
  <c r="K1031" i="4"/>
  <c r="L1031" i="4"/>
  <c r="M1031" i="4"/>
  <c r="N1031" i="4"/>
  <c r="O1031" i="4"/>
  <c r="P1031" i="4"/>
  <c r="Q1031" i="4"/>
  <c r="J1032" i="4"/>
  <c r="K1032" i="4"/>
  <c r="L1032" i="4"/>
  <c r="M1032" i="4"/>
  <c r="N1032" i="4"/>
  <c r="O1032" i="4"/>
  <c r="P1032" i="4"/>
  <c r="Q1032" i="4"/>
  <c r="J1033" i="4"/>
  <c r="K1033" i="4"/>
  <c r="L1033" i="4"/>
  <c r="M1033" i="4"/>
  <c r="N1033" i="4"/>
  <c r="O1033" i="4"/>
  <c r="P1033" i="4"/>
  <c r="Q1033" i="4"/>
  <c r="J1034" i="4"/>
  <c r="K1034" i="4"/>
  <c r="L1034" i="4"/>
  <c r="M1034" i="4"/>
  <c r="N1034" i="4"/>
  <c r="O1034" i="4"/>
  <c r="P1034" i="4"/>
  <c r="Q1034" i="4"/>
  <c r="J1035" i="4"/>
  <c r="K1035" i="4"/>
  <c r="L1035" i="4"/>
  <c r="M1035" i="4"/>
  <c r="N1035" i="4"/>
  <c r="O1035" i="4"/>
  <c r="P1035" i="4"/>
  <c r="Q1035" i="4"/>
  <c r="J1036" i="4"/>
  <c r="K1036" i="4"/>
  <c r="L1036" i="4"/>
  <c r="M1036" i="4"/>
  <c r="N1036" i="4"/>
  <c r="O1036" i="4"/>
  <c r="P1036" i="4"/>
  <c r="Q1036" i="4"/>
  <c r="J1037" i="4"/>
  <c r="K1037" i="4"/>
  <c r="L1037" i="4"/>
  <c r="M1037" i="4"/>
  <c r="N1037" i="4"/>
  <c r="O1037" i="4"/>
  <c r="P1037" i="4"/>
  <c r="Q1037" i="4"/>
  <c r="J1038" i="4"/>
  <c r="K1038" i="4"/>
  <c r="L1038" i="4"/>
  <c r="M1038" i="4"/>
  <c r="N1038" i="4"/>
  <c r="O1038" i="4"/>
  <c r="P1038" i="4"/>
  <c r="Q1038" i="4"/>
  <c r="J1039" i="4"/>
  <c r="K1039" i="4"/>
  <c r="L1039" i="4"/>
  <c r="M1039" i="4"/>
  <c r="N1039" i="4"/>
  <c r="O1039" i="4"/>
  <c r="P1039" i="4"/>
  <c r="Q1039" i="4"/>
  <c r="J1040" i="4"/>
  <c r="K1040" i="4"/>
  <c r="L1040" i="4"/>
  <c r="M1040" i="4"/>
  <c r="N1040" i="4"/>
  <c r="O1040" i="4"/>
  <c r="P1040" i="4"/>
  <c r="Q1040" i="4"/>
  <c r="J1041" i="4"/>
  <c r="K1041" i="4"/>
  <c r="L1041" i="4"/>
  <c r="M1041" i="4"/>
  <c r="N1041" i="4"/>
  <c r="O1041" i="4"/>
  <c r="P1041" i="4"/>
  <c r="Q1041" i="4"/>
  <c r="J1042" i="4"/>
  <c r="K1042" i="4"/>
  <c r="L1042" i="4"/>
  <c r="M1042" i="4"/>
  <c r="N1042" i="4"/>
  <c r="O1042" i="4"/>
  <c r="P1042" i="4"/>
  <c r="Q1042" i="4"/>
  <c r="J1043" i="4"/>
  <c r="K1043" i="4"/>
  <c r="L1043" i="4"/>
  <c r="M1043" i="4"/>
  <c r="N1043" i="4"/>
  <c r="O1043" i="4"/>
  <c r="P1043" i="4"/>
  <c r="Q1043" i="4"/>
  <c r="J1044" i="4"/>
  <c r="K1044" i="4"/>
  <c r="L1044" i="4"/>
  <c r="M1044" i="4"/>
  <c r="N1044" i="4"/>
  <c r="O1044" i="4"/>
  <c r="P1044" i="4"/>
  <c r="Q1044" i="4"/>
  <c r="J1045" i="4"/>
  <c r="K1045" i="4"/>
  <c r="L1045" i="4"/>
  <c r="M1045" i="4"/>
  <c r="N1045" i="4"/>
  <c r="O1045" i="4"/>
  <c r="P1045" i="4"/>
  <c r="Q1045" i="4"/>
  <c r="J1046" i="4"/>
  <c r="K1046" i="4"/>
  <c r="L1046" i="4"/>
  <c r="M1046" i="4"/>
  <c r="N1046" i="4"/>
  <c r="O1046" i="4"/>
  <c r="P1046" i="4"/>
  <c r="Q1046" i="4"/>
  <c r="J1047" i="4"/>
  <c r="K1047" i="4"/>
  <c r="L1047" i="4"/>
  <c r="M1047" i="4"/>
  <c r="N1047" i="4"/>
  <c r="O1047" i="4"/>
  <c r="P1047" i="4"/>
  <c r="Q1047" i="4"/>
  <c r="J1048" i="4"/>
  <c r="K1048" i="4"/>
  <c r="L1048" i="4"/>
  <c r="M1048" i="4"/>
  <c r="N1048" i="4"/>
  <c r="O1048" i="4"/>
  <c r="P1048" i="4"/>
  <c r="Q1048" i="4"/>
  <c r="J1049" i="4"/>
  <c r="K1049" i="4"/>
  <c r="L1049" i="4"/>
  <c r="M1049" i="4"/>
  <c r="N1049" i="4"/>
  <c r="O1049" i="4"/>
  <c r="P1049" i="4"/>
  <c r="Q1049" i="4"/>
  <c r="J1050" i="4"/>
  <c r="K1050" i="4"/>
  <c r="L1050" i="4"/>
  <c r="M1050" i="4"/>
  <c r="N1050" i="4"/>
  <c r="O1050" i="4"/>
  <c r="P1050" i="4"/>
  <c r="Q1050" i="4"/>
  <c r="J1051" i="4"/>
  <c r="K1051" i="4"/>
  <c r="L1051" i="4"/>
  <c r="M1051" i="4"/>
  <c r="N1051" i="4"/>
  <c r="O1051" i="4"/>
  <c r="P1051" i="4"/>
  <c r="Q1051" i="4"/>
  <c r="J1052" i="4"/>
  <c r="K1052" i="4"/>
  <c r="L1052" i="4"/>
  <c r="M1052" i="4"/>
  <c r="N1052" i="4"/>
  <c r="O1052" i="4"/>
  <c r="P1052" i="4"/>
  <c r="Q1052" i="4"/>
  <c r="J1053" i="4"/>
  <c r="K1053" i="4"/>
  <c r="L1053" i="4"/>
  <c r="M1053" i="4"/>
  <c r="N1053" i="4"/>
  <c r="O1053" i="4"/>
  <c r="P1053" i="4"/>
  <c r="Q1053" i="4"/>
  <c r="J1054" i="4"/>
  <c r="K1054" i="4"/>
  <c r="L1054" i="4"/>
  <c r="M1054" i="4"/>
  <c r="N1054" i="4"/>
  <c r="O1054" i="4"/>
  <c r="P1054" i="4"/>
  <c r="Q1054" i="4"/>
  <c r="J1055" i="4"/>
  <c r="K1055" i="4"/>
  <c r="L1055" i="4"/>
  <c r="M1055" i="4"/>
  <c r="N1055" i="4"/>
  <c r="O1055" i="4"/>
  <c r="P1055" i="4"/>
  <c r="Q1055" i="4"/>
  <c r="J1056" i="4"/>
  <c r="K1056" i="4"/>
  <c r="L1056" i="4"/>
  <c r="M1056" i="4"/>
  <c r="N1056" i="4"/>
  <c r="O1056" i="4"/>
  <c r="P1056" i="4"/>
  <c r="Q1056" i="4"/>
  <c r="J1057" i="4"/>
  <c r="K1057" i="4"/>
  <c r="L1057" i="4"/>
  <c r="M1057" i="4"/>
  <c r="N1057" i="4"/>
  <c r="O1057" i="4"/>
  <c r="P1057" i="4"/>
  <c r="Q1057" i="4"/>
  <c r="J1058" i="4"/>
  <c r="K1058" i="4"/>
  <c r="L1058" i="4"/>
  <c r="M1058" i="4"/>
  <c r="N1058" i="4"/>
  <c r="O1058" i="4"/>
  <c r="P1058" i="4"/>
  <c r="Q1058" i="4"/>
  <c r="J1059" i="4"/>
  <c r="K1059" i="4"/>
  <c r="L1059" i="4"/>
  <c r="M1059" i="4"/>
  <c r="N1059" i="4"/>
  <c r="O1059" i="4"/>
  <c r="P1059" i="4"/>
  <c r="Q1059" i="4"/>
  <c r="J1060" i="4"/>
  <c r="K1060" i="4"/>
  <c r="L1060" i="4"/>
  <c r="M1060" i="4"/>
  <c r="N1060" i="4"/>
  <c r="O1060" i="4"/>
  <c r="P1060" i="4"/>
  <c r="Q1060" i="4"/>
  <c r="J1061" i="4"/>
  <c r="K1061" i="4"/>
  <c r="L1061" i="4"/>
  <c r="M1061" i="4"/>
  <c r="N1061" i="4"/>
  <c r="O1061" i="4"/>
  <c r="P1061" i="4"/>
  <c r="Q1061" i="4"/>
  <c r="J1062" i="4"/>
  <c r="K1062" i="4"/>
  <c r="L1062" i="4"/>
  <c r="M1062" i="4"/>
  <c r="N1062" i="4"/>
  <c r="O1062" i="4"/>
  <c r="P1062" i="4"/>
  <c r="Q1062" i="4"/>
  <c r="J1063" i="4"/>
  <c r="K1063" i="4"/>
  <c r="L1063" i="4"/>
  <c r="M1063" i="4"/>
  <c r="N1063" i="4"/>
  <c r="O1063" i="4"/>
  <c r="P1063" i="4"/>
  <c r="Q1063" i="4"/>
  <c r="J1064" i="4"/>
  <c r="K1064" i="4"/>
  <c r="L1064" i="4"/>
  <c r="M1064" i="4"/>
  <c r="N1064" i="4"/>
  <c r="O1064" i="4"/>
  <c r="P1064" i="4"/>
  <c r="Q1064" i="4"/>
  <c r="J1065" i="4"/>
  <c r="K1065" i="4"/>
  <c r="L1065" i="4"/>
  <c r="M1065" i="4"/>
  <c r="N1065" i="4"/>
  <c r="O1065" i="4"/>
  <c r="P1065" i="4"/>
  <c r="Q1065" i="4"/>
  <c r="J1066" i="4"/>
  <c r="K1066" i="4"/>
  <c r="L1066" i="4"/>
  <c r="M1066" i="4"/>
  <c r="N1066" i="4"/>
  <c r="O1066" i="4"/>
  <c r="P1066" i="4"/>
  <c r="Q1066" i="4"/>
  <c r="J1067" i="4"/>
  <c r="K1067" i="4"/>
  <c r="L1067" i="4"/>
  <c r="M1067" i="4"/>
  <c r="N1067" i="4"/>
  <c r="O1067" i="4"/>
  <c r="P1067" i="4"/>
  <c r="Q1067" i="4"/>
  <c r="J1068" i="4"/>
  <c r="K1068" i="4"/>
  <c r="L1068" i="4"/>
  <c r="M1068" i="4"/>
  <c r="N1068" i="4"/>
  <c r="O1068" i="4"/>
  <c r="P1068" i="4"/>
  <c r="Q1068" i="4"/>
  <c r="J1069" i="4"/>
  <c r="K1069" i="4"/>
  <c r="L1069" i="4"/>
  <c r="M1069" i="4"/>
  <c r="N1069" i="4"/>
  <c r="O1069" i="4"/>
  <c r="P1069" i="4"/>
  <c r="Q1069" i="4"/>
  <c r="J1070" i="4"/>
  <c r="K1070" i="4"/>
  <c r="L1070" i="4"/>
  <c r="M1070" i="4"/>
  <c r="N1070" i="4"/>
  <c r="O1070" i="4"/>
  <c r="P1070" i="4"/>
  <c r="Q1070" i="4"/>
  <c r="J1071" i="4"/>
  <c r="K1071" i="4"/>
  <c r="L1071" i="4"/>
  <c r="M1071" i="4"/>
  <c r="N1071" i="4"/>
  <c r="O1071" i="4"/>
  <c r="P1071" i="4"/>
  <c r="Q1071" i="4"/>
  <c r="J1072" i="4"/>
  <c r="K1072" i="4"/>
  <c r="L1072" i="4"/>
  <c r="M1072" i="4"/>
  <c r="N1072" i="4"/>
  <c r="O1072" i="4"/>
  <c r="P1072" i="4"/>
  <c r="Q1072" i="4"/>
  <c r="J1073" i="4"/>
  <c r="K1073" i="4"/>
  <c r="L1073" i="4"/>
  <c r="M1073" i="4"/>
  <c r="N1073" i="4"/>
  <c r="O1073" i="4"/>
  <c r="P1073" i="4"/>
  <c r="Q1073" i="4"/>
  <c r="J1074" i="4"/>
  <c r="K1074" i="4"/>
  <c r="L1074" i="4"/>
  <c r="M1074" i="4"/>
  <c r="N1074" i="4"/>
  <c r="O1074" i="4"/>
  <c r="P1074" i="4"/>
  <c r="Q1074" i="4"/>
  <c r="J1075" i="4"/>
  <c r="K1075" i="4"/>
  <c r="L1075" i="4"/>
  <c r="M1075" i="4"/>
  <c r="N1075" i="4"/>
  <c r="O1075" i="4"/>
  <c r="P1075" i="4"/>
  <c r="Q1075" i="4"/>
  <c r="J1076" i="4"/>
  <c r="K1076" i="4"/>
  <c r="L1076" i="4"/>
  <c r="M1076" i="4"/>
  <c r="N1076" i="4"/>
  <c r="O1076" i="4"/>
  <c r="P1076" i="4"/>
  <c r="Q1076" i="4"/>
  <c r="J1077" i="4"/>
  <c r="K1077" i="4"/>
  <c r="L1077" i="4"/>
  <c r="M1077" i="4"/>
  <c r="N1077" i="4"/>
  <c r="O1077" i="4"/>
  <c r="P1077" i="4"/>
  <c r="Q1077" i="4"/>
  <c r="J1078" i="4"/>
  <c r="K1078" i="4"/>
  <c r="L1078" i="4"/>
  <c r="M1078" i="4"/>
  <c r="N1078" i="4"/>
  <c r="O1078" i="4"/>
  <c r="P1078" i="4"/>
  <c r="Q1078" i="4"/>
  <c r="J1079" i="4"/>
  <c r="K1079" i="4"/>
  <c r="L1079" i="4"/>
  <c r="M1079" i="4"/>
  <c r="N1079" i="4"/>
  <c r="O1079" i="4"/>
  <c r="P1079" i="4"/>
  <c r="Q1079" i="4"/>
  <c r="J1080" i="4"/>
  <c r="K1080" i="4"/>
  <c r="L1080" i="4"/>
  <c r="M1080" i="4"/>
  <c r="N1080" i="4"/>
  <c r="O1080" i="4"/>
  <c r="P1080" i="4"/>
  <c r="Q1080" i="4"/>
  <c r="J1081" i="4"/>
  <c r="K1081" i="4"/>
  <c r="L1081" i="4"/>
  <c r="M1081" i="4"/>
  <c r="N1081" i="4"/>
  <c r="O1081" i="4"/>
  <c r="P1081" i="4"/>
  <c r="Q1081" i="4"/>
  <c r="J1082" i="4"/>
  <c r="K1082" i="4"/>
  <c r="L1082" i="4"/>
  <c r="M1082" i="4"/>
  <c r="N1082" i="4"/>
  <c r="O1082" i="4"/>
  <c r="P1082" i="4"/>
  <c r="Q1082" i="4"/>
  <c r="J1083" i="4"/>
  <c r="K1083" i="4"/>
  <c r="L1083" i="4"/>
  <c r="M1083" i="4"/>
  <c r="N1083" i="4"/>
  <c r="O1083" i="4"/>
  <c r="P1083" i="4"/>
  <c r="Q1083" i="4"/>
  <c r="J1084" i="4"/>
  <c r="K1084" i="4"/>
  <c r="L1084" i="4"/>
  <c r="M1084" i="4"/>
  <c r="N1084" i="4"/>
  <c r="O1084" i="4"/>
  <c r="P1084" i="4"/>
  <c r="Q1084" i="4"/>
  <c r="J1085" i="4"/>
  <c r="K1085" i="4"/>
  <c r="L1085" i="4"/>
  <c r="M1085" i="4"/>
  <c r="N1085" i="4"/>
  <c r="O1085" i="4"/>
  <c r="P1085" i="4"/>
  <c r="Q1085" i="4"/>
  <c r="J1086" i="4"/>
  <c r="K1086" i="4"/>
  <c r="L1086" i="4"/>
  <c r="M1086" i="4"/>
  <c r="N1086" i="4"/>
  <c r="O1086" i="4"/>
  <c r="P1086" i="4"/>
  <c r="Q1086" i="4"/>
  <c r="J1087" i="4"/>
  <c r="K1087" i="4"/>
  <c r="L1087" i="4"/>
  <c r="M1087" i="4"/>
  <c r="N1087" i="4"/>
  <c r="O1087" i="4"/>
  <c r="P1087" i="4"/>
  <c r="Q1087" i="4"/>
  <c r="J1088" i="4"/>
  <c r="K1088" i="4"/>
  <c r="L1088" i="4"/>
  <c r="M1088" i="4"/>
  <c r="N1088" i="4"/>
  <c r="O1088" i="4"/>
  <c r="P1088" i="4"/>
  <c r="Q1088" i="4"/>
  <c r="J1089" i="4"/>
  <c r="K1089" i="4"/>
  <c r="L1089" i="4"/>
  <c r="M1089" i="4"/>
  <c r="N1089" i="4"/>
  <c r="O1089" i="4"/>
  <c r="P1089" i="4"/>
  <c r="Q1089" i="4"/>
  <c r="J1090" i="4"/>
  <c r="K1090" i="4"/>
  <c r="L1090" i="4"/>
  <c r="M1090" i="4"/>
  <c r="N1090" i="4"/>
  <c r="O1090" i="4"/>
  <c r="P1090" i="4"/>
  <c r="Q1090" i="4"/>
  <c r="J1091" i="4"/>
  <c r="K1091" i="4"/>
  <c r="L1091" i="4"/>
  <c r="M1091" i="4"/>
  <c r="N1091" i="4"/>
  <c r="O1091" i="4"/>
  <c r="P1091" i="4"/>
  <c r="Q1091" i="4"/>
  <c r="J1092" i="4"/>
  <c r="K1092" i="4"/>
  <c r="L1092" i="4"/>
  <c r="M1092" i="4"/>
  <c r="N1092" i="4"/>
  <c r="O1092" i="4"/>
  <c r="P1092" i="4"/>
  <c r="Q1092" i="4"/>
  <c r="J1093" i="4"/>
  <c r="K1093" i="4"/>
  <c r="L1093" i="4"/>
  <c r="M1093" i="4"/>
  <c r="N1093" i="4"/>
  <c r="O1093" i="4"/>
  <c r="P1093" i="4"/>
  <c r="Q1093" i="4"/>
  <c r="J1094" i="4"/>
  <c r="K1094" i="4"/>
  <c r="L1094" i="4"/>
  <c r="M1094" i="4"/>
  <c r="N1094" i="4"/>
  <c r="O1094" i="4"/>
  <c r="P1094" i="4"/>
  <c r="Q1094" i="4"/>
  <c r="J1095" i="4"/>
  <c r="K1095" i="4"/>
  <c r="L1095" i="4"/>
  <c r="M1095" i="4"/>
  <c r="N1095" i="4"/>
  <c r="O1095" i="4"/>
  <c r="P1095" i="4"/>
  <c r="Q1095" i="4"/>
  <c r="J1096" i="4"/>
  <c r="K1096" i="4"/>
  <c r="L1096" i="4"/>
  <c r="M1096" i="4"/>
  <c r="N1096" i="4"/>
  <c r="O1096" i="4"/>
  <c r="P1096" i="4"/>
  <c r="Q1096" i="4"/>
  <c r="J1097" i="4"/>
  <c r="K1097" i="4"/>
  <c r="L1097" i="4"/>
  <c r="M1097" i="4"/>
  <c r="N1097" i="4"/>
  <c r="O1097" i="4"/>
  <c r="P1097" i="4"/>
  <c r="Q1097" i="4"/>
  <c r="J1098" i="4"/>
  <c r="K1098" i="4"/>
  <c r="L1098" i="4"/>
  <c r="M1098" i="4"/>
  <c r="N1098" i="4"/>
  <c r="O1098" i="4"/>
  <c r="P1098" i="4"/>
  <c r="Q1098" i="4"/>
  <c r="J1099" i="4"/>
  <c r="K1099" i="4"/>
  <c r="L1099" i="4"/>
  <c r="M1099" i="4"/>
  <c r="N1099" i="4"/>
  <c r="O1099" i="4"/>
  <c r="P1099" i="4"/>
  <c r="Q1099" i="4"/>
  <c r="J1100" i="4"/>
  <c r="K1100" i="4"/>
  <c r="L1100" i="4"/>
  <c r="M1100" i="4"/>
  <c r="N1100" i="4"/>
  <c r="O1100" i="4"/>
  <c r="P1100" i="4"/>
  <c r="Q1100" i="4"/>
  <c r="J1101" i="4"/>
  <c r="K1101" i="4"/>
  <c r="L1101" i="4"/>
  <c r="M1101" i="4"/>
  <c r="N1101" i="4"/>
  <c r="O1101" i="4"/>
  <c r="P1101" i="4"/>
  <c r="Q1101" i="4"/>
  <c r="J1102" i="4"/>
  <c r="K1102" i="4"/>
  <c r="L1102" i="4"/>
  <c r="M1102" i="4"/>
  <c r="N1102" i="4"/>
  <c r="O1102" i="4"/>
  <c r="P1102" i="4"/>
  <c r="Q1102" i="4"/>
  <c r="J1103" i="4"/>
  <c r="K1103" i="4"/>
  <c r="L1103" i="4"/>
  <c r="M1103" i="4"/>
  <c r="N1103" i="4"/>
  <c r="O1103" i="4"/>
  <c r="P1103" i="4"/>
  <c r="Q1103" i="4"/>
  <c r="J1104" i="4"/>
  <c r="K1104" i="4"/>
  <c r="L1104" i="4"/>
  <c r="M1104" i="4"/>
  <c r="N1104" i="4"/>
  <c r="O1104" i="4"/>
  <c r="P1104" i="4"/>
  <c r="Q1104" i="4"/>
  <c r="J1105" i="4"/>
  <c r="K1105" i="4"/>
  <c r="L1105" i="4"/>
  <c r="M1105" i="4"/>
  <c r="N1105" i="4"/>
  <c r="O1105" i="4"/>
  <c r="P1105" i="4"/>
  <c r="Q1105" i="4"/>
  <c r="J1106" i="4"/>
  <c r="K1106" i="4"/>
  <c r="L1106" i="4"/>
  <c r="M1106" i="4"/>
  <c r="N1106" i="4"/>
  <c r="O1106" i="4"/>
  <c r="P1106" i="4"/>
  <c r="Q1106" i="4"/>
  <c r="J1107" i="4"/>
  <c r="K1107" i="4"/>
  <c r="L1107" i="4"/>
  <c r="M1107" i="4"/>
  <c r="N1107" i="4"/>
  <c r="O1107" i="4"/>
  <c r="P1107" i="4"/>
  <c r="Q1107" i="4"/>
  <c r="J1108" i="4"/>
  <c r="K1108" i="4"/>
  <c r="L1108" i="4"/>
  <c r="M1108" i="4"/>
  <c r="N1108" i="4"/>
  <c r="O1108" i="4"/>
  <c r="P1108" i="4"/>
  <c r="Q1108" i="4"/>
  <c r="J1109" i="4"/>
  <c r="K1109" i="4"/>
  <c r="L1109" i="4"/>
  <c r="M1109" i="4"/>
  <c r="N1109" i="4"/>
  <c r="O1109" i="4"/>
  <c r="P1109" i="4"/>
  <c r="Q1109" i="4"/>
  <c r="J1110" i="4"/>
  <c r="K1110" i="4"/>
  <c r="L1110" i="4"/>
  <c r="M1110" i="4"/>
  <c r="N1110" i="4"/>
  <c r="O1110" i="4"/>
  <c r="P1110" i="4"/>
  <c r="Q1110" i="4"/>
  <c r="J1111" i="4"/>
  <c r="K1111" i="4"/>
  <c r="L1111" i="4"/>
  <c r="M1111" i="4"/>
  <c r="N1111" i="4"/>
  <c r="O1111" i="4"/>
  <c r="P1111" i="4"/>
  <c r="Q1111" i="4"/>
  <c r="J1112" i="4"/>
  <c r="K1112" i="4"/>
  <c r="L1112" i="4"/>
  <c r="M1112" i="4"/>
  <c r="N1112" i="4"/>
  <c r="O1112" i="4"/>
  <c r="P1112" i="4"/>
  <c r="Q1112" i="4"/>
  <c r="J1113" i="4"/>
  <c r="K1113" i="4"/>
  <c r="L1113" i="4"/>
  <c r="M1113" i="4"/>
  <c r="N1113" i="4"/>
  <c r="O1113" i="4"/>
  <c r="P1113" i="4"/>
  <c r="Q1113" i="4"/>
  <c r="J1114" i="4"/>
  <c r="K1114" i="4"/>
  <c r="L1114" i="4"/>
  <c r="M1114" i="4"/>
  <c r="N1114" i="4"/>
  <c r="O1114" i="4"/>
  <c r="P1114" i="4"/>
  <c r="Q1114" i="4"/>
  <c r="J1115" i="4"/>
  <c r="K1115" i="4"/>
  <c r="L1115" i="4"/>
  <c r="M1115" i="4"/>
  <c r="N1115" i="4"/>
  <c r="O1115" i="4"/>
  <c r="P1115" i="4"/>
  <c r="Q1115" i="4"/>
  <c r="J1116" i="4"/>
  <c r="K1116" i="4"/>
  <c r="L1116" i="4"/>
  <c r="M1116" i="4"/>
  <c r="N1116" i="4"/>
  <c r="O1116" i="4"/>
  <c r="P1116" i="4"/>
  <c r="Q1116" i="4"/>
  <c r="J1117" i="4"/>
  <c r="K1117" i="4"/>
  <c r="L1117" i="4"/>
  <c r="M1117" i="4"/>
  <c r="N1117" i="4"/>
  <c r="O1117" i="4"/>
  <c r="P1117" i="4"/>
  <c r="Q1117" i="4"/>
  <c r="J1118" i="4"/>
  <c r="K1118" i="4"/>
  <c r="L1118" i="4"/>
  <c r="M1118" i="4"/>
  <c r="N1118" i="4"/>
  <c r="O1118" i="4"/>
  <c r="P1118" i="4"/>
  <c r="Q1118" i="4"/>
  <c r="J1119" i="4"/>
  <c r="K1119" i="4"/>
  <c r="L1119" i="4"/>
  <c r="M1119" i="4"/>
  <c r="N1119" i="4"/>
  <c r="O1119" i="4"/>
  <c r="P1119" i="4"/>
  <c r="Q1119" i="4"/>
  <c r="J1120" i="4"/>
  <c r="K1120" i="4"/>
  <c r="L1120" i="4"/>
  <c r="M1120" i="4"/>
  <c r="N1120" i="4"/>
  <c r="O1120" i="4"/>
  <c r="P1120" i="4"/>
  <c r="Q1120" i="4"/>
  <c r="J1121" i="4"/>
  <c r="K1121" i="4"/>
  <c r="L1121" i="4"/>
  <c r="M1121" i="4"/>
  <c r="N1121" i="4"/>
  <c r="O1121" i="4"/>
  <c r="P1121" i="4"/>
  <c r="Q1121" i="4"/>
  <c r="J1122" i="4"/>
  <c r="K1122" i="4"/>
  <c r="L1122" i="4"/>
  <c r="M1122" i="4"/>
  <c r="N1122" i="4"/>
  <c r="O1122" i="4"/>
  <c r="P1122" i="4"/>
  <c r="Q1122" i="4"/>
  <c r="J1123" i="4"/>
  <c r="K1123" i="4"/>
  <c r="L1123" i="4"/>
  <c r="M1123" i="4"/>
  <c r="N1123" i="4"/>
  <c r="O1123" i="4"/>
  <c r="P1123" i="4"/>
  <c r="Q1123" i="4"/>
  <c r="J1124" i="4"/>
  <c r="K1124" i="4"/>
  <c r="L1124" i="4"/>
  <c r="M1124" i="4"/>
  <c r="N1124" i="4"/>
  <c r="O1124" i="4"/>
  <c r="P1124" i="4"/>
  <c r="Q1124" i="4"/>
  <c r="J1125" i="4"/>
  <c r="K1125" i="4"/>
  <c r="L1125" i="4"/>
  <c r="M1125" i="4"/>
  <c r="N1125" i="4"/>
  <c r="O1125" i="4"/>
  <c r="P1125" i="4"/>
  <c r="Q1125" i="4"/>
  <c r="J1126" i="4"/>
  <c r="K1126" i="4"/>
  <c r="L1126" i="4"/>
  <c r="M1126" i="4"/>
  <c r="N1126" i="4"/>
  <c r="O1126" i="4"/>
  <c r="P1126" i="4"/>
  <c r="Q1126" i="4"/>
  <c r="J1127" i="4"/>
  <c r="K1127" i="4"/>
  <c r="L1127" i="4"/>
  <c r="M1127" i="4"/>
  <c r="N1127" i="4"/>
  <c r="O1127" i="4"/>
  <c r="P1127" i="4"/>
  <c r="Q1127" i="4"/>
  <c r="J1128" i="4"/>
  <c r="K1128" i="4"/>
  <c r="L1128" i="4"/>
  <c r="M1128" i="4"/>
  <c r="N1128" i="4"/>
  <c r="O1128" i="4"/>
  <c r="P1128" i="4"/>
  <c r="Q1128" i="4"/>
  <c r="J1129" i="4"/>
  <c r="K1129" i="4"/>
  <c r="L1129" i="4"/>
  <c r="M1129" i="4"/>
  <c r="N1129" i="4"/>
  <c r="O1129" i="4"/>
  <c r="P1129" i="4"/>
  <c r="Q1129" i="4"/>
  <c r="J1130" i="4"/>
  <c r="K1130" i="4"/>
  <c r="L1130" i="4"/>
  <c r="M1130" i="4"/>
  <c r="N1130" i="4"/>
  <c r="O1130" i="4"/>
  <c r="P1130" i="4"/>
  <c r="Q1130" i="4"/>
  <c r="J1131" i="4"/>
  <c r="K1131" i="4"/>
  <c r="L1131" i="4"/>
  <c r="M1131" i="4"/>
  <c r="N1131" i="4"/>
  <c r="O1131" i="4"/>
  <c r="P1131" i="4"/>
  <c r="Q1131" i="4"/>
  <c r="J1132" i="4"/>
  <c r="K1132" i="4"/>
  <c r="L1132" i="4"/>
  <c r="M1132" i="4"/>
  <c r="N1132" i="4"/>
  <c r="O1132" i="4"/>
  <c r="P1132" i="4"/>
  <c r="Q1132" i="4"/>
  <c r="J1133" i="4"/>
  <c r="K1133" i="4"/>
  <c r="L1133" i="4"/>
  <c r="M1133" i="4"/>
  <c r="N1133" i="4"/>
  <c r="O1133" i="4"/>
  <c r="P1133" i="4"/>
  <c r="Q1133" i="4"/>
  <c r="J1134" i="4"/>
  <c r="K1134" i="4"/>
  <c r="L1134" i="4"/>
  <c r="M1134" i="4"/>
  <c r="N1134" i="4"/>
  <c r="O1134" i="4"/>
  <c r="P1134" i="4"/>
  <c r="Q1134" i="4"/>
  <c r="J1135" i="4"/>
  <c r="K1135" i="4"/>
  <c r="L1135" i="4"/>
  <c r="M1135" i="4"/>
  <c r="N1135" i="4"/>
  <c r="O1135" i="4"/>
  <c r="P1135" i="4"/>
  <c r="Q1135" i="4"/>
  <c r="J1136" i="4"/>
  <c r="K1136" i="4"/>
  <c r="L1136" i="4"/>
  <c r="M1136" i="4"/>
  <c r="N1136" i="4"/>
  <c r="O1136" i="4"/>
  <c r="P1136" i="4"/>
  <c r="Q1136" i="4"/>
  <c r="J1137" i="4"/>
  <c r="K1137" i="4"/>
  <c r="L1137" i="4"/>
  <c r="M1137" i="4"/>
  <c r="N1137" i="4"/>
  <c r="O1137" i="4"/>
  <c r="P1137" i="4"/>
  <c r="Q1137" i="4"/>
  <c r="J1138" i="4"/>
  <c r="K1138" i="4"/>
  <c r="L1138" i="4"/>
  <c r="M1138" i="4"/>
  <c r="N1138" i="4"/>
  <c r="O1138" i="4"/>
  <c r="P1138" i="4"/>
  <c r="Q1138" i="4"/>
  <c r="J1139" i="4"/>
  <c r="K1139" i="4"/>
  <c r="L1139" i="4"/>
  <c r="M1139" i="4"/>
  <c r="N1139" i="4"/>
  <c r="O1139" i="4"/>
  <c r="P1139" i="4"/>
  <c r="Q1139" i="4"/>
  <c r="J1140" i="4"/>
  <c r="K1140" i="4"/>
  <c r="L1140" i="4"/>
  <c r="M1140" i="4"/>
  <c r="N1140" i="4"/>
  <c r="O1140" i="4"/>
  <c r="P1140" i="4"/>
  <c r="Q1140" i="4"/>
  <c r="J1141" i="4"/>
  <c r="K1141" i="4"/>
  <c r="L1141" i="4"/>
  <c r="M1141" i="4"/>
  <c r="N1141" i="4"/>
  <c r="O1141" i="4"/>
  <c r="P1141" i="4"/>
  <c r="Q1141" i="4"/>
  <c r="J1142" i="4"/>
  <c r="K1142" i="4"/>
  <c r="L1142" i="4"/>
  <c r="M1142" i="4"/>
  <c r="N1142" i="4"/>
  <c r="O1142" i="4"/>
  <c r="P1142" i="4"/>
  <c r="Q1142" i="4"/>
  <c r="J1143" i="4"/>
  <c r="K1143" i="4"/>
  <c r="L1143" i="4"/>
  <c r="M1143" i="4"/>
  <c r="N1143" i="4"/>
  <c r="O1143" i="4"/>
  <c r="P1143" i="4"/>
  <c r="Q1143" i="4"/>
  <c r="J1144" i="4"/>
  <c r="K1144" i="4"/>
  <c r="L1144" i="4"/>
  <c r="M1144" i="4"/>
  <c r="N1144" i="4"/>
  <c r="O1144" i="4"/>
  <c r="P1144" i="4"/>
  <c r="Q1144" i="4"/>
  <c r="J1145" i="4"/>
  <c r="K1145" i="4"/>
  <c r="L1145" i="4"/>
  <c r="M1145" i="4"/>
  <c r="N1145" i="4"/>
  <c r="O1145" i="4"/>
  <c r="P1145" i="4"/>
  <c r="Q1145" i="4"/>
  <c r="J1146" i="4"/>
  <c r="K1146" i="4"/>
  <c r="L1146" i="4"/>
  <c r="M1146" i="4"/>
  <c r="N1146" i="4"/>
  <c r="O1146" i="4"/>
  <c r="P1146" i="4"/>
  <c r="Q1146" i="4"/>
  <c r="J1147" i="4"/>
  <c r="K1147" i="4"/>
  <c r="L1147" i="4"/>
  <c r="M1147" i="4"/>
  <c r="N1147" i="4"/>
  <c r="O1147" i="4"/>
  <c r="P1147" i="4"/>
  <c r="Q1147" i="4"/>
  <c r="J1148" i="4"/>
  <c r="K1148" i="4"/>
  <c r="L1148" i="4"/>
  <c r="M1148" i="4"/>
  <c r="N1148" i="4"/>
  <c r="O1148" i="4"/>
  <c r="P1148" i="4"/>
  <c r="Q1148" i="4"/>
  <c r="J1149" i="4"/>
  <c r="K1149" i="4"/>
  <c r="L1149" i="4"/>
  <c r="M1149" i="4"/>
  <c r="N1149" i="4"/>
  <c r="O1149" i="4"/>
  <c r="P1149" i="4"/>
  <c r="Q1149" i="4"/>
  <c r="J1150" i="4"/>
  <c r="K1150" i="4"/>
  <c r="L1150" i="4"/>
  <c r="M1150" i="4"/>
  <c r="N1150" i="4"/>
  <c r="O1150" i="4"/>
  <c r="P1150" i="4"/>
  <c r="Q1150" i="4"/>
  <c r="J1151" i="4"/>
  <c r="K1151" i="4"/>
  <c r="L1151" i="4"/>
  <c r="M1151" i="4"/>
  <c r="N1151" i="4"/>
  <c r="O1151" i="4"/>
  <c r="P1151" i="4"/>
  <c r="Q1151" i="4"/>
  <c r="J1152" i="4"/>
  <c r="K1152" i="4"/>
  <c r="L1152" i="4"/>
  <c r="M1152" i="4"/>
  <c r="N1152" i="4"/>
  <c r="O1152" i="4"/>
  <c r="P1152" i="4"/>
  <c r="Q1152" i="4"/>
  <c r="J1153" i="4"/>
  <c r="K1153" i="4"/>
  <c r="L1153" i="4"/>
  <c r="M1153" i="4"/>
  <c r="N1153" i="4"/>
  <c r="O1153" i="4"/>
  <c r="P1153" i="4"/>
  <c r="Q1153" i="4"/>
  <c r="J1154" i="4"/>
  <c r="K1154" i="4"/>
  <c r="L1154" i="4"/>
  <c r="M1154" i="4"/>
  <c r="N1154" i="4"/>
  <c r="O1154" i="4"/>
  <c r="P1154" i="4"/>
  <c r="Q1154" i="4"/>
  <c r="J1155" i="4"/>
  <c r="K1155" i="4"/>
  <c r="L1155" i="4"/>
  <c r="M1155" i="4"/>
  <c r="N1155" i="4"/>
  <c r="O1155" i="4"/>
  <c r="P1155" i="4"/>
  <c r="Q1155" i="4"/>
  <c r="J1156" i="4"/>
  <c r="K1156" i="4"/>
  <c r="L1156" i="4"/>
  <c r="M1156" i="4"/>
  <c r="N1156" i="4"/>
  <c r="O1156" i="4"/>
  <c r="P1156" i="4"/>
  <c r="Q1156" i="4"/>
  <c r="J1157" i="4"/>
  <c r="K1157" i="4"/>
  <c r="L1157" i="4"/>
  <c r="M1157" i="4"/>
  <c r="N1157" i="4"/>
  <c r="O1157" i="4"/>
  <c r="P1157" i="4"/>
  <c r="Q1157" i="4"/>
  <c r="J1158" i="4"/>
  <c r="K1158" i="4"/>
  <c r="L1158" i="4"/>
  <c r="M1158" i="4"/>
  <c r="N1158" i="4"/>
  <c r="O1158" i="4"/>
  <c r="P1158" i="4"/>
  <c r="Q1158" i="4"/>
  <c r="J1159" i="4"/>
  <c r="K1159" i="4"/>
  <c r="L1159" i="4"/>
  <c r="M1159" i="4"/>
  <c r="N1159" i="4"/>
  <c r="O1159" i="4"/>
  <c r="P1159" i="4"/>
  <c r="Q1159" i="4"/>
  <c r="J1160" i="4"/>
  <c r="K1160" i="4"/>
  <c r="L1160" i="4"/>
  <c r="M1160" i="4"/>
  <c r="N1160" i="4"/>
  <c r="O1160" i="4"/>
  <c r="P1160" i="4"/>
  <c r="Q1160" i="4"/>
  <c r="J1161" i="4"/>
  <c r="K1161" i="4"/>
  <c r="L1161" i="4"/>
  <c r="M1161" i="4"/>
  <c r="N1161" i="4"/>
  <c r="O1161" i="4"/>
  <c r="P1161" i="4"/>
  <c r="Q1161" i="4"/>
  <c r="J1162" i="4"/>
  <c r="K1162" i="4"/>
  <c r="L1162" i="4"/>
  <c r="M1162" i="4"/>
  <c r="N1162" i="4"/>
  <c r="O1162" i="4"/>
  <c r="P1162" i="4"/>
  <c r="Q1162" i="4"/>
  <c r="J1163" i="4"/>
  <c r="K1163" i="4"/>
  <c r="L1163" i="4"/>
  <c r="M1163" i="4"/>
  <c r="N1163" i="4"/>
  <c r="O1163" i="4"/>
  <c r="P1163" i="4"/>
  <c r="Q1163" i="4"/>
  <c r="J1164" i="4"/>
  <c r="K1164" i="4"/>
  <c r="L1164" i="4"/>
  <c r="M1164" i="4"/>
  <c r="N1164" i="4"/>
  <c r="O1164" i="4"/>
  <c r="P1164" i="4"/>
  <c r="Q1164" i="4"/>
  <c r="J1165" i="4"/>
  <c r="K1165" i="4"/>
  <c r="L1165" i="4"/>
  <c r="M1165" i="4"/>
  <c r="N1165" i="4"/>
  <c r="O1165" i="4"/>
  <c r="P1165" i="4"/>
  <c r="Q1165" i="4"/>
  <c r="J1166" i="4"/>
  <c r="K1166" i="4"/>
  <c r="L1166" i="4"/>
  <c r="M1166" i="4"/>
  <c r="N1166" i="4"/>
  <c r="O1166" i="4"/>
  <c r="P1166" i="4"/>
  <c r="Q1166" i="4"/>
  <c r="J1167" i="4"/>
  <c r="K1167" i="4"/>
  <c r="L1167" i="4"/>
  <c r="M1167" i="4"/>
  <c r="N1167" i="4"/>
  <c r="O1167" i="4"/>
  <c r="P1167" i="4"/>
  <c r="Q1167" i="4"/>
  <c r="J1168" i="4"/>
  <c r="K1168" i="4"/>
  <c r="L1168" i="4"/>
  <c r="M1168" i="4"/>
  <c r="N1168" i="4"/>
  <c r="O1168" i="4"/>
  <c r="P1168" i="4"/>
  <c r="Q1168" i="4"/>
  <c r="J1169" i="4"/>
  <c r="K1169" i="4"/>
  <c r="L1169" i="4"/>
  <c r="M1169" i="4"/>
  <c r="N1169" i="4"/>
  <c r="O1169" i="4"/>
  <c r="P1169" i="4"/>
  <c r="Q1169" i="4"/>
  <c r="J1170" i="4"/>
  <c r="K1170" i="4"/>
  <c r="L1170" i="4"/>
  <c r="M1170" i="4"/>
  <c r="N1170" i="4"/>
  <c r="O1170" i="4"/>
  <c r="P1170" i="4"/>
  <c r="Q1170" i="4"/>
  <c r="J1171" i="4"/>
  <c r="K1171" i="4"/>
  <c r="L1171" i="4"/>
  <c r="M1171" i="4"/>
  <c r="N1171" i="4"/>
  <c r="O1171" i="4"/>
  <c r="P1171" i="4"/>
  <c r="Q1171" i="4"/>
  <c r="J1172" i="4"/>
  <c r="K1172" i="4"/>
  <c r="L1172" i="4"/>
  <c r="M1172" i="4"/>
  <c r="N1172" i="4"/>
  <c r="O1172" i="4"/>
  <c r="P1172" i="4"/>
  <c r="Q1172" i="4"/>
  <c r="J1173" i="4"/>
  <c r="K1173" i="4"/>
  <c r="L1173" i="4"/>
  <c r="M1173" i="4"/>
  <c r="N1173" i="4"/>
  <c r="O1173" i="4"/>
  <c r="P1173" i="4"/>
  <c r="Q1173" i="4"/>
  <c r="J1174" i="4"/>
  <c r="K1174" i="4"/>
  <c r="L1174" i="4"/>
  <c r="M1174" i="4"/>
  <c r="N1174" i="4"/>
  <c r="O1174" i="4"/>
  <c r="P1174" i="4"/>
  <c r="Q1174" i="4"/>
  <c r="J1175" i="4"/>
  <c r="K1175" i="4"/>
  <c r="L1175" i="4"/>
  <c r="M1175" i="4"/>
  <c r="N1175" i="4"/>
  <c r="O1175" i="4"/>
  <c r="P1175" i="4"/>
  <c r="Q1175" i="4"/>
  <c r="J1176" i="4"/>
  <c r="K1176" i="4"/>
  <c r="L1176" i="4"/>
  <c r="M1176" i="4"/>
  <c r="N1176" i="4"/>
  <c r="O1176" i="4"/>
  <c r="P1176" i="4"/>
  <c r="Q1176" i="4"/>
  <c r="J1177" i="4"/>
  <c r="K1177" i="4"/>
  <c r="L1177" i="4"/>
  <c r="M1177" i="4"/>
  <c r="N1177" i="4"/>
  <c r="O1177" i="4"/>
  <c r="P1177" i="4"/>
  <c r="Q1177" i="4"/>
  <c r="J1178" i="4"/>
  <c r="K1178" i="4"/>
  <c r="L1178" i="4"/>
  <c r="M1178" i="4"/>
  <c r="N1178" i="4"/>
  <c r="O1178" i="4"/>
  <c r="P1178" i="4"/>
  <c r="Q1178" i="4"/>
  <c r="J1179" i="4"/>
  <c r="K1179" i="4"/>
  <c r="L1179" i="4"/>
  <c r="M1179" i="4"/>
  <c r="N1179" i="4"/>
  <c r="O1179" i="4"/>
  <c r="P1179" i="4"/>
  <c r="Q1179" i="4"/>
  <c r="J1180" i="4"/>
  <c r="K1180" i="4"/>
  <c r="L1180" i="4"/>
  <c r="M1180" i="4"/>
  <c r="N1180" i="4"/>
  <c r="O1180" i="4"/>
  <c r="P1180" i="4"/>
  <c r="Q1180" i="4"/>
  <c r="J1181" i="4"/>
  <c r="K1181" i="4"/>
  <c r="L1181" i="4"/>
  <c r="M1181" i="4"/>
  <c r="N1181" i="4"/>
  <c r="O1181" i="4"/>
  <c r="P1181" i="4"/>
  <c r="Q1181" i="4"/>
  <c r="J1182" i="4"/>
  <c r="K1182" i="4"/>
  <c r="L1182" i="4"/>
  <c r="M1182" i="4"/>
  <c r="N1182" i="4"/>
  <c r="O1182" i="4"/>
  <c r="P1182" i="4"/>
  <c r="Q1182" i="4"/>
  <c r="J1183" i="4"/>
  <c r="K1183" i="4"/>
  <c r="L1183" i="4"/>
  <c r="M1183" i="4"/>
  <c r="N1183" i="4"/>
  <c r="O1183" i="4"/>
  <c r="P1183" i="4"/>
  <c r="Q1183" i="4"/>
  <c r="J1184" i="4"/>
  <c r="K1184" i="4"/>
  <c r="L1184" i="4"/>
  <c r="M1184" i="4"/>
  <c r="N1184" i="4"/>
  <c r="O1184" i="4"/>
  <c r="P1184" i="4"/>
  <c r="Q1184" i="4"/>
  <c r="J1185" i="4"/>
  <c r="K1185" i="4"/>
  <c r="L1185" i="4"/>
  <c r="M1185" i="4"/>
  <c r="N1185" i="4"/>
  <c r="O1185" i="4"/>
  <c r="P1185" i="4"/>
  <c r="Q1185" i="4"/>
  <c r="J1186" i="4"/>
  <c r="K1186" i="4"/>
  <c r="L1186" i="4"/>
  <c r="M1186" i="4"/>
  <c r="N1186" i="4"/>
  <c r="O1186" i="4"/>
  <c r="P1186" i="4"/>
  <c r="Q1186" i="4"/>
  <c r="J1187" i="4"/>
  <c r="K1187" i="4"/>
  <c r="L1187" i="4"/>
  <c r="M1187" i="4"/>
  <c r="N1187" i="4"/>
  <c r="O1187" i="4"/>
  <c r="P1187" i="4"/>
  <c r="Q1187" i="4"/>
  <c r="J1188" i="4"/>
  <c r="K1188" i="4"/>
  <c r="L1188" i="4"/>
  <c r="M1188" i="4"/>
  <c r="N1188" i="4"/>
  <c r="O1188" i="4"/>
  <c r="P1188" i="4"/>
  <c r="Q1188" i="4"/>
  <c r="J1189" i="4"/>
  <c r="K1189" i="4"/>
  <c r="L1189" i="4"/>
  <c r="M1189" i="4"/>
  <c r="N1189" i="4"/>
  <c r="O1189" i="4"/>
  <c r="P1189" i="4"/>
  <c r="Q1189" i="4"/>
  <c r="J1190" i="4"/>
  <c r="K1190" i="4"/>
  <c r="L1190" i="4"/>
  <c r="M1190" i="4"/>
  <c r="N1190" i="4"/>
  <c r="O1190" i="4"/>
  <c r="P1190" i="4"/>
  <c r="Q1190" i="4"/>
  <c r="J1191" i="4"/>
  <c r="K1191" i="4"/>
  <c r="L1191" i="4"/>
  <c r="M1191" i="4"/>
  <c r="N1191" i="4"/>
  <c r="O1191" i="4"/>
  <c r="P1191" i="4"/>
  <c r="Q1191" i="4"/>
  <c r="J1192" i="4"/>
  <c r="K1192" i="4"/>
  <c r="L1192" i="4"/>
  <c r="M1192" i="4"/>
  <c r="N1192" i="4"/>
  <c r="O1192" i="4"/>
  <c r="P1192" i="4"/>
  <c r="Q1192" i="4"/>
  <c r="J1193" i="4"/>
  <c r="K1193" i="4"/>
  <c r="L1193" i="4"/>
  <c r="M1193" i="4"/>
  <c r="N1193" i="4"/>
  <c r="O1193" i="4"/>
  <c r="P1193" i="4"/>
  <c r="Q1193" i="4"/>
  <c r="J1194" i="4"/>
  <c r="K1194" i="4"/>
  <c r="L1194" i="4"/>
  <c r="M1194" i="4"/>
  <c r="N1194" i="4"/>
  <c r="O1194" i="4"/>
  <c r="P1194" i="4"/>
  <c r="Q1194" i="4"/>
  <c r="J1195" i="4"/>
  <c r="K1195" i="4"/>
  <c r="L1195" i="4"/>
  <c r="M1195" i="4"/>
  <c r="N1195" i="4"/>
  <c r="O1195" i="4"/>
  <c r="P1195" i="4"/>
  <c r="Q1195" i="4"/>
  <c r="J1196" i="4"/>
  <c r="K1196" i="4"/>
  <c r="L1196" i="4"/>
  <c r="M1196" i="4"/>
  <c r="N1196" i="4"/>
  <c r="O1196" i="4"/>
  <c r="P1196" i="4"/>
  <c r="Q1196" i="4"/>
  <c r="J1197" i="4"/>
  <c r="K1197" i="4"/>
  <c r="L1197" i="4"/>
  <c r="M1197" i="4"/>
  <c r="N1197" i="4"/>
  <c r="O1197" i="4"/>
  <c r="P1197" i="4"/>
  <c r="Q1197" i="4"/>
  <c r="J1198" i="4"/>
  <c r="K1198" i="4"/>
  <c r="L1198" i="4"/>
  <c r="M1198" i="4"/>
  <c r="N1198" i="4"/>
  <c r="O1198" i="4"/>
  <c r="P1198" i="4"/>
  <c r="Q1198" i="4"/>
  <c r="J1199" i="4"/>
  <c r="K1199" i="4"/>
  <c r="L1199" i="4"/>
  <c r="M1199" i="4"/>
  <c r="N1199" i="4"/>
  <c r="O1199" i="4"/>
  <c r="P1199" i="4"/>
  <c r="Q1199" i="4"/>
  <c r="J1200" i="4"/>
  <c r="K1200" i="4"/>
  <c r="L1200" i="4"/>
  <c r="M1200" i="4"/>
  <c r="N1200" i="4"/>
  <c r="O1200" i="4"/>
  <c r="P1200" i="4"/>
  <c r="Q1200" i="4"/>
  <c r="J1201" i="4"/>
  <c r="K1201" i="4"/>
  <c r="L1201" i="4"/>
  <c r="M1201" i="4"/>
  <c r="N1201" i="4"/>
  <c r="O1201" i="4"/>
  <c r="P1201" i="4"/>
  <c r="Q1201" i="4"/>
  <c r="J1202" i="4"/>
  <c r="K1202" i="4"/>
  <c r="L1202" i="4"/>
  <c r="M1202" i="4"/>
  <c r="N1202" i="4"/>
  <c r="O1202" i="4"/>
  <c r="P1202" i="4"/>
  <c r="Q1202" i="4"/>
  <c r="J1203" i="4"/>
  <c r="K1203" i="4"/>
  <c r="L1203" i="4"/>
  <c r="M1203" i="4"/>
  <c r="N1203" i="4"/>
  <c r="O1203" i="4"/>
  <c r="P1203" i="4"/>
  <c r="Q1203" i="4"/>
  <c r="J1204" i="4"/>
  <c r="K1204" i="4"/>
  <c r="L1204" i="4"/>
  <c r="M1204" i="4"/>
  <c r="N1204" i="4"/>
  <c r="O1204" i="4"/>
  <c r="P1204" i="4"/>
  <c r="Q1204" i="4"/>
  <c r="J1205" i="4"/>
  <c r="K1205" i="4"/>
  <c r="L1205" i="4"/>
  <c r="M1205" i="4"/>
  <c r="N1205" i="4"/>
  <c r="O1205" i="4"/>
  <c r="P1205" i="4"/>
  <c r="Q1205" i="4"/>
  <c r="J1206" i="4"/>
  <c r="K1206" i="4"/>
  <c r="L1206" i="4"/>
  <c r="M1206" i="4"/>
  <c r="N1206" i="4"/>
  <c r="O1206" i="4"/>
  <c r="P1206" i="4"/>
  <c r="Q1206" i="4"/>
  <c r="J1207" i="4"/>
  <c r="K1207" i="4"/>
  <c r="L1207" i="4"/>
  <c r="M1207" i="4"/>
  <c r="N1207" i="4"/>
  <c r="O1207" i="4"/>
  <c r="P1207" i="4"/>
  <c r="Q1207" i="4"/>
  <c r="J1208" i="4"/>
  <c r="K1208" i="4"/>
  <c r="L1208" i="4"/>
  <c r="M1208" i="4"/>
  <c r="N1208" i="4"/>
  <c r="O1208" i="4"/>
  <c r="P1208" i="4"/>
  <c r="Q1208" i="4"/>
  <c r="J1209" i="4"/>
  <c r="K1209" i="4"/>
  <c r="L1209" i="4"/>
  <c r="M1209" i="4"/>
  <c r="N1209" i="4"/>
  <c r="O1209" i="4"/>
  <c r="P1209" i="4"/>
  <c r="Q1209" i="4"/>
  <c r="J1210" i="4"/>
  <c r="K1210" i="4"/>
  <c r="L1210" i="4"/>
  <c r="M1210" i="4"/>
  <c r="N1210" i="4"/>
  <c r="O1210" i="4"/>
  <c r="P1210" i="4"/>
  <c r="Q1210" i="4"/>
  <c r="J1211" i="4"/>
  <c r="K1211" i="4"/>
  <c r="L1211" i="4"/>
  <c r="M1211" i="4"/>
  <c r="N1211" i="4"/>
  <c r="O1211" i="4"/>
  <c r="P1211" i="4"/>
  <c r="Q1211" i="4"/>
  <c r="J1212" i="4"/>
  <c r="K1212" i="4"/>
  <c r="L1212" i="4"/>
  <c r="M1212" i="4"/>
  <c r="N1212" i="4"/>
  <c r="O1212" i="4"/>
  <c r="P1212" i="4"/>
  <c r="Q1212" i="4"/>
  <c r="J1213" i="4"/>
  <c r="K1213" i="4"/>
  <c r="L1213" i="4"/>
  <c r="M1213" i="4"/>
  <c r="N1213" i="4"/>
  <c r="O1213" i="4"/>
  <c r="P1213" i="4"/>
  <c r="Q1213" i="4"/>
  <c r="J1214" i="4"/>
  <c r="K1214" i="4"/>
  <c r="L1214" i="4"/>
  <c r="M1214" i="4"/>
  <c r="N1214" i="4"/>
  <c r="O1214" i="4"/>
  <c r="P1214" i="4"/>
  <c r="Q1214" i="4"/>
  <c r="J1215" i="4"/>
  <c r="K1215" i="4"/>
  <c r="L1215" i="4"/>
  <c r="M1215" i="4"/>
  <c r="N1215" i="4"/>
  <c r="O1215" i="4"/>
  <c r="P1215" i="4"/>
  <c r="Q1215" i="4"/>
  <c r="J1216" i="4"/>
  <c r="K1216" i="4"/>
  <c r="L1216" i="4"/>
  <c r="M1216" i="4"/>
  <c r="N1216" i="4"/>
  <c r="O1216" i="4"/>
  <c r="P1216" i="4"/>
  <c r="Q1216" i="4"/>
  <c r="J1217" i="4"/>
  <c r="K1217" i="4"/>
  <c r="L1217" i="4"/>
  <c r="M1217" i="4"/>
  <c r="N1217" i="4"/>
  <c r="O1217" i="4"/>
  <c r="P1217" i="4"/>
  <c r="Q1217" i="4"/>
  <c r="J1218" i="4"/>
  <c r="K1218" i="4"/>
  <c r="L1218" i="4"/>
  <c r="M1218" i="4"/>
  <c r="N1218" i="4"/>
  <c r="O1218" i="4"/>
  <c r="P1218" i="4"/>
  <c r="Q1218" i="4"/>
  <c r="J1219" i="4"/>
  <c r="K1219" i="4"/>
  <c r="L1219" i="4"/>
  <c r="M1219" i="4"/>
  <c r="N1219" i="4"/>
  <c r="O1219" i="4"/>
  <c r="P1219" i="4"/>
  <c r="Q1219" i="4"/>
  <c r="J1220" i="4"/>
  <c r="K1220" i="4"/>
  <c r="L1220" i="4"/>
  <c r="M1220" i="4"/>
  <c r="N1220" i="4"/>
  <c r="O1220" i="4"/>
  <c r="P1220" i="4"/>
  <c r="Q1220" i="4"/>
  <c r="J1221" i="4"/>
  <c r="K1221" i="4"/>
  <c r="L1221" i="4"/>
  <c r="M1221" i="4"/>
  <c r="N1221" i="4"/>
  <c r="O1221" i="4"/>
  <c r="P1221" i="4"/>
  <c r="Q1221" i="4"/>
  <c r="J1222" i="4"/>
  <c r="K1222" i="4"/>
  <c r="L1222" i="4"/>
  <c r="M1222" i="4"/>
  <c r="N1222" i="4"/>
  <c r="O1222" i="4"/>
  <c r="P1222" i="4"/>
  <c r="Q1222" i="4"/>
  <c r="J1223" i="4"/>
  <c r="K1223" i="4"/>
  <c r="L1223" i="4"/>
  <c r="M1223" i="4"/>
  <c r="N1223" i="4"/>
  <c r="O1223" i="4"/>
  <c r="P1223" i="4"/>
  <c r="Q1223" i="4"/>
  <c r="J1224" i="4"/>
  <c r="K1224" i="4"/>
  <c r="L1224" i="4"/>
  <c r="M1224" i="4"/>
  <c r="N1224" i="4"/>
  <c r="O1224" i="4"/>
  <c r="P1224" i="4"/>
  <c r="Q1224" i="4"/>
  <c r="J1225" i="4"/>
  <c r="K1225" i="4"/>
  <c r="L1225" i="4"/>
  <c r="M1225" i="4"/>
  <c r="N1225" i="4"/>
  <c r="O1225" i="4"/>
  <c r="P1225" i="4"/>
  <c r="Q1225" i="4"/>
  <c r="J1226" i="4"/>
  <c r="K1226" i="4"/>
  <c r="L1226" i="4"/>
  <c r="M1226" i="4"/>
  <c r="N1226" i="4"/>
  <c r="O1226" i="4"/>
  <c r="P1226" i="4"/>
  <c r="Q1226" i="4"/>
  <c r="J1227" i="4"/>
  <c r="K1227" i="4"/>
  <c r="L1227" i="4"/>
  <c r="M1227" i="4"/>
  <c r="N1227" i="4"/>
  <c r="O1227" i="4"/>
  <c r="P1227" i="4"/>
  <c r="Q1227" i="4"/>
  <c r="J1228" i="4"/>
  <c r="K1228" i="4"/>
  <c r="L1228" i="4"/>
  <c r="M1228" i="4"/>
  <c r="N1228" i="4"/>
  <c r="O1228" i="4"/>
  <c r="P1228" i="4"/>
  <c r="Q1228" i="4"/>
  <c r="J1229" i="4"/>
  <c r="K1229" i="4"/>
  <c r="L1229" i="4"/>
  <c r="M1229" i="4"/>
  <c r="N1229" i="4"/>
  <c r="O1229" i="4"/>
  <c r="P1229" i="4"/>
  <c r="Q1229" i="4"/>
  <c r="J1230" i="4"/>
  <c r="K1230" i="4"/>
  <c r="L1230" i="4"/>
  <c r="M1230" i="4"/>
  <c r="N1230" i="4"/>
  <c r="O1230" i="4"/>
  <c r="P1230" i="4"/>
  <c r="Q1230" i="4"/>
  <c r="J1231" i="4"/>
  <c r="K1231" i="4"/>
  <c r="L1231" i="4"/>
  <c r="M1231" i="4"/>
  <c r="N1231" i="4"/>
  <c r="O1231" i="4"/>
  <c r="P1231" i="4"/>
  <c r="Q1231" i="4"/>
  <c r="J1232" i="4"/>
  <c r="K1232" i="4"/>
  <c r="L1232" i="4"/>
  <c r="M1232" i="4"/>
  <c r="N1232" i="4"/>
  <c r="O1232" i="4"/>
  <c r="P1232" i="4"/>
  <c r="Q1232" i="4"/>
  <c r="J1233" i="4"/>
  <c r="K1233" i="4"/>
  <c r="L1233" i="4"/>
  <c r="M1233" i="4"/>
  <c r="N1233" i="4"/>
  <c r="O1233" i="4"/>
  <c r="P1233" i="4"/>
  <c r="Q1233" i="4"/>
  <c r="J1234" i="4"/>
  <c r="K1234" i="4"/>
  <c r="L1234" i="4"/>
  <c r="M1234" i="4"/>
  <c r="N1234" i="4"/>
  <c r="O1234" i="4"/>
  <c r="P1234" i="4"/>
  <c r="Q1234" i="4"/>
  <c r="J1235" i="4"/>
  <c r="K1235" i="4"/>
  <c r="L1235" i="4"/>
  <c r="M1235" i="4"/>
  <c r="N1235" i="4"/>
  <c r="O1235" i="4"/>
  <c r="P1235" i="4"/>
  <c r="Q1235" i="4"/>
  <c r="J1236" i="4"/>
  <c r="K1236" i="4"/>
  <c r="L1236" i="4"/>
  <c r="M1236" i="4"/>
  <c r="N1236" i="4"/>
  <c r="O1236" i="4"/>
  <c r="P1236" i="4"/>
  <c r="Q1236" i="4"/>
  <c r="J1237" i="4"/>
  <c r="K1237" i="4"/>
  <c r="L1237" i="4"/>
  <c r="M1237" i="4"/>
  <c r="N1237" i="4"/>
  <c r="O1237" i="4"/>
  <c r="P1237" i="4"/>
  <c r="Q1237" i="4"/>
  <c r="J1238" i="4"/>
  <c r="K1238" i="4"/>
  <c r="L1238" i="4"/>
  <c r="M1238" i="4"/>
  <c r="N1238" i="4"/>
  <c r="O1238" i="4"/>
  <c r="P1238" i="4"/>
  <c r="Q1238" i="4"/>
  <c r="J1239" i="4"/>
  <c r="K1239" i="4"/>
  <c r="L1239" i="4"/>
  <c r="M1239" i="4"/>
  <c r="N1239" i="4"/>
  <c r="O1239" i="4"/>
  <c r="P1239" i="4"/>
  <c r="Q1239" i="4"/>
  <c r="J1240" i="4"/>
  <c r="K1240" i="4"/>
  <c r="L1240" i="4"/>
  <c r="M1240" i="4"/>
  <c r="N1240" i="4"/>
  <c r="O1240" i="4"/>
  <c r="P1240" i="4"/>
  <c r="Q1240" i="4"/>
  <c r="J1241" i="4"/>
  <c r="K1241" i="4"/>
  <c r="L1241" i="4"/>
  <c r="M1241" i="4"/>
  <c r="N1241" i="4"/>
  <c r="O1241" i="4"/>
  <c r="P1241" i="4"/>
  <c r="Q1241" i="4"/>
  <c r="J1242" i="4"/>
  <c r="K1242" i="4"/>
  <c r="L1242" i="4"/>
  <c r="M1242" i="4"/>
  <c r="N1242" i="4"/>
  <c r="O1242" i="4"/>
  <c r="P1242" i="4"/>
  <c r="Q1242" i="4"/>
  <c r="J1243" i="4"/>
  <c r="K1243" i="4"/>
  <c r="L1243" i="4"/>
  <c r="M1243" i="4"/>
  <c r="N1243" i="4"/>
  <c r="O1243" i="4"/>
  <c r="P1243" i="4"/>
  <c r="Q1243" i="4"/>
  <c r="J1244" i="4"/>
  <c r="K1244" i="4"/>
  <c r="L1244" i="4"/>
  <c r="M1244" i="4"/>
  <c r="N1244" i="4"/>
  <c r="O1244" i="4"/>
  <c r="P1244" i="4"/>
  <c r="Q1244" i="4"/>
  <c r="J1245" i="4"/>
  <c r="K1245" i="4"/>
  <c r="L1245" i="4"/>
  <c r="M1245" i="4"/>
  <c r="N1245" i="4"/>
  <c r="O1245" i="4"/>
  <c r="P1245" i="4"/>
  <c r="Q1245" i="4"/>
  <c r="J1246" i="4"/>
  <c r="K1246" i="4"/>
  <c r="L1246" i="4"/>
  <c r="M1246" i="4"/>
  <c r="N1246" i="4"/>
  <c r="O1246" i="4"/>
  <c r="P1246" i="4"/>
  <c r="Q1246" i="4"/>
  <c r="J1247" i="4"/>
  <c r="K1247" i="4"/>
  <c r="L1247" i="4"/>
  <c r="M1247" i="4"/>
  <c r="N1247" i="4"/>
  <c r="O1247" i="4"/>
  <c r="P1247" i="4"/>
  <c r="Q1247" i="4"/>
  <c r="J1248" i="4"/>
  <c r="K1248" i="4"/>
  <c r="L1248" i="4"/>
  <c r="M1248" i="4"/>
  <c r="N1248" i="4"/>
  <c r="O1248" i="4"/>
  <c r="P1248" i="4"/>
  <c r="Q1248" i="4"/>
  <c r="J1249" i="4"/>
  <c r="K1249" i="4"/>
  <c r="L1249" i="4"/>
  <c r="M1249" i="4"/>
  <c r="N1249" i="4"/>
  <c r="O1249" i="4"/>
  <c r="P1249" i="4"/>
  <c r="Q1249" i="4"/>
  <c r="J1250" i="4"/>
  <c r="K1250" i="4"/>
  <c r="L1250" i="4"/>
  <c r="M1250" i="4"/>
  <c r="N1250" i="4"/>
  <c r="O1250" i="4"/>
  <c r="P1250" i="4"/>
  <c r="Q1250" i="4"/>
  <c r="J1251" i="4"/>
  <c r="K1251" i="4"/>
  <c r="L1251" i="4"/>
  <c r="M1251" i="4"/>
  <c r="N1251" i="4"/>
  <c r="O1251" i="4"/>
  <c r="P1251" i="4"/>
  <c r="Q1251" i="4"/>
  <c r="J1252" i="4"/>
  <c r="K1252" i="4"/>
  <c r="L1252" i="4"/>
  <c r="M1252" i="4"/>
  <c r="N1252" i="4"/>
  <c r="O1252" i="4"/>
  <c r="P1252" i="4"/>
  <c r="Q1252" i="4"/>
  <c r="J1253" i="4"/>
  <c r="K1253" i="4"/>
  <c r="L1253" i="4"/>
  <c r="M1253" i="4"/>
  <c r="N1253" i="4"/>
  <c r="O1253" i="4"/>
  <c r="P1253" i="4"/>
  <c r="Q1253" i="4"/>
  <c r="J1254" i="4"/>
  <c r="K1254" i="4"/>
  <c r="L1254" i="4"/>
  <c r="M1254" i="4"/>
  <c r="N1254" i="4"/>
  <c r="O1254" i="4"/>
  <c r="P1254" i="4"/>
  <c r="Q1254" i="4"/>
  <c r="J1255" i="4"/>
  <c r="K1255" i="4"/>
  <c r="L1255" i="4"/>
  <c r="M1255" i="4"/>
  <c r="N1255" i="4"/>
  <c r="O1255" i="4"/>
  <c r="P1255" i="4"/>
  <c r="Q1255" i="4"/>
  <c r="J1256" i="4"/>
  <c r="K1256" i="4"/>
  <c r="L1256" i="4"/>
  <c r="M1256" i="4"/>
  <c r="N1256" i="4"/>
  <c r="O1256" i="4"/>
  <c r="P1256" i="4"/>
  <c r="Q1256" i="4"/>
  <c r="J1257" i="4"/>
  <c r="K1257" i="4"/>
  <c r="L1257" i="4"/>
  <c r="M1257" i="4"/>
  <c r="N1257" i="4"/>
  <c r="O1257" i="4"/>
  <c r="P1257" i="4"/>
  <c r="Q1257" i="4"/>
  <c r="J1258" i="4"/>
  <c r="K1258" i="4"/>
  <c r="L1258" i="4"/>
  <c r="M1258" i="4"/>
  <c r="N1258" i="4"/>
  <c r="O1258" i="4"/>
  <c r="P1258" i="4"/>
  <c r="Q1258" i="4"/>
  <c r="J1259" i="4"/>
  <c r="K1259" i="4"/>
  <c r="L1259" i="4"/>
  <c r="M1259" i="4"/>
  <c r="N1259" i="4"/>
  <c r="O1259" i="4"/>
  <c r="P1259" i="4"/>
  <c r="Q1259" i="4"/>
  <c r="J1260" i="4"/>
  <c r="K1260" i="4"/>
  <c r="L1260" i="4"/>
  <c r="M1260" i="4"/>
  <c r="N1260" i="4"/>
  <c r="O1260" i="4"/>
  <c r="P1260" i="4"/>
  <c r="Q1260" i="4"/>
  <c r="J1261" i="4"/>
  <c r="K1261" i="4"/>
  <c r="L1261" i="4"/>
  <c r="M1261" i="4"/>
  <c r="N1261" i="4"/>
  <c r="O1261" i="4"/>
  <c r="P1261" i="4"/>
  <c r="Q1261" i="4"/>
  <c r="J1262" i="4"/>
  <c r="K1262" i="4"/>
  <c r="L1262" i="4"/>
  <c r="M1262" i="4"/>
  <c r="N1262" i="4"/>
  <c r="O1262" i="4"/>
  <c r="P1262" i="4"/>
  <c r="Q1262" i="4"/>
  <c r="J1263" i="4"/>
  <c r="K1263" i="4"/>
  <c r="L1263" i="4"/>
  <c r="M1263" i="4"/>
  <c r="N1263" i="4"/>
  <c r="O1263" i="4"/>
  <c r="P1263" i="4"/>
  <c r="Q1263" i="4"/>
  <c r="J1264" i="4"/>
  <c r="K1264" i="4"/>
  <c r="L1264" i="4"/>
  <c r="M1264" i="4"/>
  <c r="N1264" i="4"/>
  <c r="O1264" i="4"/>
  <c r="P1264" i="4"/>
  <c r="Q1264" i="4"/>
  <c r="J1265" i="4"/>
  <c r="K1265" i="4"/>
  <c r="L1265" i="4"/>
  <c r="M1265" i="4"/>
  <c r="N1265" i="4"/>
  <c r="O1265" i="4"/>
  <c r="P1265" i="4"/>
  <c r="Q1265" i="4"/>
  <c r="J1266" i="4"/>
  <c r="K1266" i="4"/>
  <c r="L1266" i="4"/>
  <c r="M1266" i="4"/>
  <c r="N1266" i="4"/>
  <c r="O1266" i="4"/>
  <c r="P1266" i="4"/>
  <c r="Q1266" i="4"/>
  <c r="J1267" i="4"/>
  <c r="K1267" i="4"/>
  <c r="L1267" i="4"/>
  <c r="M1267" i="4"/>
  <c r="N1267" i="4"/>
  <c r="O1267" i="4"/>
  <c r="P1267" i="4"/>
  <c r="Q1267" i="4"/>
  <c r="J1268" i="4"/>
  <c r="K1268" i="4"/>
  <c r="L1268" i="4"/>
  <c r="M1268" i="4"/>
  <c r="N1268" i="4"/>
  <c r="O1268" i="4"/>
  <c r="P1268" i="4"/>
  <c r="Q1268" i="4"/>
  <c r="J1269" i="4"/>
  <c r="K1269" i="4"/>
  <c r="L1269" i="4"/>
  <c r="M1269" i="4"/>
  <c r="N1269" i="4"/>
  <c r="O1269" i="4"/>
  <c r="P1269" i="4"/>
  <c r="Q1269" i="4"/>
  <c r="J1270" i="4"/>
  <c r="K1270" i="4"/>
  <c r="L1270" i="4"/>
  <c r="M1270" i="4"/>
  <c r="N1270" i="4"/>
  <c r="O1270" i="4"/>
  <c r="P1270" i="4"/>
  <c r="Q1270" i="4"/>
  <c r="J1271" i="4"/>
  <c r="K1271" i="4"/>
  <c r="L1271" i="4"/>
  <c r="M1271" i="4"/>
  <c r="N1271" i="4"/>
  <c r="O1271" i="4"/>
  <c r="P1271" i="4"/>
  <c r="Q1271" i="4"/>
  <c r="J1272" i="4"/>
  <c r="K1272" i="4"/>
  <c r="L1272" i="4"/>
  <c r="M1272" i="4"/>
  <c r="N1272" i="4"/>
  <c r="O1272" i="4"/>
  <c r="P1272" i="4"/>
  <c r="Q1272" i="4"/>
  <c r="J1273" i="4"/>
  <c r="K1273" i="4"/>
  <c r="L1273" i="4"/>
  <c r="M1273" i="4"/>
  <c r="N1273" i="4"/>
  <c r="O1273" i="4"/>
  <c r="P1273" i="4"/>
  <c r="Q1273" i="4"/>
  <c r="J1274" i="4"/>
  <c r="K1274" i="4"/>
  <c r="L1274" i="4"/>
  <c r="M1274" i="4"/>
  <c r="N1274" i="4"/>
  <c r="O1274" i="4"/>
  <c r="P1274" i="4"/>
  <c r="Q1274" i="4"/>
  <c r="J1275" i="4"/>
  <c r="K1275" i="4"/>
  <c r="L1275" i="4"/>
  <c r="M1275" i="4"/>
  <c r="N1275" i="4"/>
  <c r="O1275" i="4"/>
  <c r="P1275" i="4"/>
  <c r="Q1275" i="4"/>
  <c r="J1276" i="4"/>
  <c r="K1276" i="4"/>
  <c r="L1276" i="4"/>
  <c r="M1276" i="4"/>
  <c r="N1276" i="4"/>
  <c r="O1276" i="4"/>
  <c r="P1276" i="4"/>
  <c r="Q1276" i="4"/>
  <c r="J1277" i="4"/>
  <c r="K1277" i="4"/>
  <c r="L1277" i="4"/>
  <c r="M1277" i="4"/>
  <c r="N1277" i="4"/>
  <c r="O1277" i="4"/>
  <c r="P1277" i="4"/>
  <c r="Q1277" i="4"/>
  <c r="J1278" i="4"/>
  <c r="K1278" i="4"/>
  <c r="L1278" i="4"/>
  <c r="M1278" i="4"/>
  <c r="N1278" i="4"/>
  <c r="O1278" i="4"/>
  <c r="P1278" i="4"/>
  <c r="Q1278" i="4"/>
  <c r="J1279" i="4"/>
  <c r="K1279" i="4"/>
  <c r="L1279" i="4"/>
  <c r="M1279" i="4"/>
  <c r="N1279" i="4"/>
  <c r="O1279" i="4"/>
  <c r="P1279" i="4"/>
  <c r="Q1279" i="4"/>
  <c r="J1280" i="4"/>
  <c r="K1280" i="4"/>
  <c r="L1280" i="4"/>
  <c r="M1280" i="4"/>
  <c r="N1280" i="4"/>
  <c r="O1280" i="4"/>
  <c r="P1280" i="4"/>
  <c r="Q1280" i="4"/>
  <c r="J1281" i="4"/>
  <c r="K1281" i="4"/>
  <c r="L1281" i="4"/>
  <c r="M1281" i="4"/>
  <c r="N1281" i="4"/>
  <c r="O1281" i="4"/>
  <c r="P1281" i="4"/>
  <c r="Q1281" i="4"/>
  <c r="J1282" i="4"/>
  <c r="K1282" i="4"/>
  <c r="L1282" i="4"/>
  <c r="M1282" i="4"/>
  <c r="N1282" i="4"/>
  <c r="O1282" i="4"/>
  <c r="P1282" i="4"/>
  <c r="Q1282" i="4"/>
  <c r="J1283" i="4"/>
  <c r="K1283" i="4"/>
  <c r="L1283" i="4"/>
  <c r="M1283" i="4"/>
  <c r="N1283" i="4"/>
  <c r="O1283" i="4"/>
  <c r="P1283" i="4"/>
  <c r="Q1283" i="4"/>
  <c r="J1284" i="4"/>
  <c r="K1284" i="4"/>
  <c r="L1284" i="4"/>
  <c r="M1284" i="4"/>
  <c r="N1284" i="4"/>
  <c r="O1284" i="4"/>
  <c r="P1284" i="4"/>
  <c r="Q1284" i="4"/>
  <c r="J1285" i="4"/>
  <c r="K1285" i="4"/>
  <c r="L1285" i="4"/>
  <c r="M1285" i="4"/>
  <c r="N1285" i="4"/>
  <c r="O1285" i="4"/>
  <c r="P1285" i="4"/>
  <c r="Q1285" i="4"/>
  <c r="J1286" i="4"/>
  <c r="K1286" i="4"/>
  <c r="L1286" i="4"/>
  <c r="M1286" i="4"/>
  <c r="N1286" i="4"/>
  <c r="O1286" i="4"/>
  <c r="P1286" i="4"/>
  <c r="Q1286" i="4"/>
  <c r="J1287" i="4"/>
  <c r="K1287" i="4"/>
  <c r="L1287" i="4"/>
  <c r="M1287" i="4"/>
  <c r="N1287" i="4"/>
  <c r="O1287" i="4"/>
  <c r="P1287" i="4"/>
  <c r="Q1287" i="4"/>
  <c r="J1288" i="4"/>
  <c r="K1288" i="4"/>
  <c r="L1288" i="4"/>
  <c r="M1288" i="4"/>
  <c r="N1288" i="4"/>
  <c r="O1288" i="4"/>
  <c r="P1288" i="4"/>
  <c r="Q1288" i="4"/>
  <c r="J1289" i="4"/>
  <c r="K1289" i="4"/>
  <c r="L1289" i="4"/>
  <c r="M1289" i="4"/>
  <c r="N1289" i="4"/>
  <c r="O1289" i="4"/>
  <c r="P1289" i="4"/>
  <c r="Q1289" i="4"/>
  <c r="J1290" i="4"/>
  <c r="K1290" i="4"/>
  <c r="L1290" i="4"/>
  <c r="M1290" i="4"/>
  <c r="N1290" i="4"/>
  <c r="O1290" i="4"/>
  <c r="P1290" i="4"/>
  <c r="Q1290" i="4"/>
  <c r="J1291" i="4"/>
  <c r="K1291" i="4"/>
  <c r="L1291" i="4"/>
  <c r="M1291" i="4"/>
  <c r="N1291" i="4"/>
  <c r="O1291" i="4"/>
  <c r="P1291" i="4"/>
  <c r="Q1291" i="4"/>
  <c r="J1292" i="4"/>
  <c r="K1292" i="4"/>
  <c r="L1292" i="4"/>
  <c r="M1292" i="4"/>
  <c r="N1292" i="4"/>
  <c r="O1292" i="4"/>
  <c r="P1292" i="4"/>
  <c r="Q1292" i="4"/>
  <c r="J1293" i="4"/>
  <c r="K1293" i="4"/>
  <c r="L1293" i="4"/>
  <c r="M1293" i="4"/>
  <c r="N1293" i="4"/>
  <c r="O1293" i="4"/>
  <c r="P1293" i="4"/>
  <c r="Q1293" i="4"/>
  <c r="J1294" i="4"/>
  <c r="K1294" i="4"/>
  <c r="L1294" i="4"/>
  <c r="M1294" i="4"/>
  <c r="N1294" i="4"/>
  <c r="O1294" i="4"/>
  <c r="P1294" i="4"/>
  <c r="Q1294" i="4"/>
  <c r="J1295" i="4"/>
  <c r="K1295" i="4"/>
  <c r="L1295" i="4"/>
  <c r="M1295" i="4"/>
  <c r="N1295" i="4"/>
  <c r="O1295" i="4"/>
  <c r="P1295" i="4"/>
  <c r="Q1295" i="4"/>
  <c r="J1296" i="4"/>
  <c r="K1296" i="4"/>
  <c r="L1296" i="4"/>
  <c r="M1296" i="4"/>
  <c r="N1296" i="4"/>
  <c r="O1296" i="4"/>
  <c r="P1296" i="4"/>
  <c r="Q1296" i="4"/>
  <c r="J1297" i="4"/>
  <c r="K1297" i="4"/>
  <c r="L1297" i="4"/>
  <c r="M1297" i="4"/>
  <c r="N1297" i="4"/>
  <c r="O1297" i="4"/>
  <c r="P1297" i="4"/>
  <c r="Q1297" i="4"/>
  <c r="J1298" i="4"/>
  <c r="K1298" i="4"/>
  <c r="L1298" i="4"/>
  <c r="M1298" i="4"/>
  <c r="N1298" i="4"/>
  <c r="O1298" i="4"/>
  <c r="P1298" i="4"/>
  <c r="Q1298" i="4"/>
  <c r="J1299" i="4"/>
  <c r="K1299" i="4"/>
  <c r="L1299" i="4"/>
  <c r="M1299" i="4"/>
  <c r="N1299" i="4"/>
  <c r="O1299" i="4"/>
  <c r="P1299" i="4"/>
  <c r="Q1299" i="4"/>
  <c r="J1300" i="4"/>
  <c r="K1300" i="4"/>
  <c r="L1300" i="4"/>
  <c r="M1300" i="4"/>
  <c r="N1300" i="4"/>
  <c r="O1300" i="4"/>
  <c r="P1300" i="4"/>
  <c r="Q1300" i="4"/>
  <c r="J1301" i="4"/>
  <c r="K1301" i="4"/>
  <c r="L1301" i="4"/>
  <c r="M1301" i="4"/>
  <c r="N1301" i="4"/>
  <c r="O1301" i="4"/>
  <c r="P1301" i="4"/>
  <c r="Q1301" i="4"/>
  <c r="J1302" i="4"/>
  <c r="K1302" i="4"/>
  <c r="L1302" i="4"/>
  <c r="M1302" i="4"/>
  <c r="N1302" i="4"/>
  <c r="O1302" i="4"/>
  <c r="P1302" i="4"/>
  <c r="Q1302" i="4"/>
  <c r="J1303" i="4"/>
  <c r="K1303" i="4"/>
  <c r="L1303" i="4"/>
  <c r="M1303" i="4"/>
  <c r="N1303" i="4"/>
  <c r="O1303" i="4"/>
  <c r="P1303" i="4"/>
  <c r="Q1303" i="4"/>
  <c r="J1304" i="4"/>
  <c r="K1304" i="4"/>
  <c r="L1304" i="4"/>
  <c r="M1304" i="4"/>
  <c r="N1304" i="4"/>
  <c r="O1304" i="4"/>
  <c r="P1304" i="4"/>
  <c r="Q1304" i="4"/>
  <c r="J1305" i="4"/>
  <c r="K1305" i="4"/>
  <c r="L1305" i="4"/>
  <c r="M1305" i="4"/>
  <c r="N1305" i="4"/>
  <c r="O1305" i="4"/>
  <c r="P1305" i="4"/>
  <c r="Q1305" i="4"/>
  <c r="J1306" i="4"/>
  <c r="K1306" i="4"/>
  <c r="L1306" i="4"/>
  <c r="M1306" i="4"/>
  <c r="N1306" i="4"/>
  <c r="O1306" i="4"/>
  <c r="P1306" i="4"/>
  <c r="Q1306" i="4"/>
  <c r="J1307" i="4"/>
  <c r="K1307" i="4"/>
  <c r="L1307" i="4"/>
  <c r="M1307" i="4"/>
  <c r="N1307" i="4"/>
  <c r="O1307" i="4"/>
  <c r="P1307" i="4"/>
  <c r="Q1307" i="4"/>
  <c r="J1308" i="4"/>
  <c r="K1308" i="4"/>
  <c r="L1308" i="4"/>
  <c r="M1308" i="4"/>
  <c r="N1308" i="4"/>
  <c r="O1308" i="4"/>
  <c r="P1308" i="4"/>
  <c r="Q1308" i="4"/>
  <c r="J1309" i="4"/>
  <c r="K1309" i="4"/>
  <c r="L1309" i="4"/>
  <c r="M1309" i="4"/>
  <c r="N1309" i="4"/>
  <c r="O1309" i="4"/>
  <c r="P1309" i="4"/>
  <c r="Q1309" i="4"/>
  <c r="J1310" i="4"/>
  <c r="K1310" i="4"/>
  <c r="L1310" i="4"/>
  <c r="M1310" i="4"/>
  <c r="N1310" i="4"/>
  <c r="O1310" i="4"/>
  <c r="P1310" i="4"/>
  <c r="Q1310" i="4"/>
  <c r="J1311" i="4"/>
  <c r="K1311" i="4"/>
  <c r="L1311" i="4"/>
  <c r="M1311" i="4"/>
  <c r="N1311" i="4"/>
  <c r="O1311" i="4"/>
  <c r="P1311" i="4"/>
  <c r="Q1311" i="4"/>
  <c r="J1312" i="4"/>
  <c r="K1312" i="4"/>
  <c r="L1312" i="4"/>
  <c r="M1312" i="4"/>
  <c r="N1312" i="4"/>
  <c r="O1312" i="4"/>
  <c r="P1312" i="4"/>
  <c r="Q1312" i="4"/>
  <c r="J1313" i="4"/>
  <c r="K1313" i="4"/>
  <c r="L1313" i="4"/>
  <c r="M1313" i="4"/>
  <c r="N1313" i="4"/>
  <c r="O1313" i="4"/>
  <c r="P1313" i="4"/>
  <c r="Q1313" i="4"/>
  <c r="J1314" i="4"/>
  <c r="K1314" i="4"/>
  <c r="L1314" i="4"/>
  <c r="M1314" i="4"/>
  <c r="N1314" i="4"/>
  <c r="O1314" i="4"/>
  <c r="P1314" i="4"/>
  <c r="Q1314" i="4"/>
  <c r="J1315" i="4"/>
  <c r="K1315" i="4"/>
  <c r="L1315" i="4"/>
  <c r="M1315" i="4"/>
  <c r="N1315" i="4"/>
  <c r="O1315" i="4"/>
  <c r="P1315" i="4"/>
  <c r="Q1315" i="4"/>
  <c r="J1316" i="4"/>
  <c r="K1316" i="4"/>
  <c r="L1316" i="4"/>
  <c r="M1316" i="4"/>
  <c r="N1316" i="4"/>
  <c r="O1316" i="4"/>
  <c r="P1316" i="4"/>
  <c r="Q1316" i="4"/>
  <c r="J1317" i="4"/>
  <c r="K1317" i="4"/>
  <c r="L1317" i="4"/>
  <c r="M1317" i="4"/>
  <c r="N1317" i="4"/>
  <c r="O1317" i="4"/>
  <c r="P1317" i="4"/>
  <c r="Q1317" i="4"/>
  <c r="J1318" i="4"/>
  <c r="K1318" i="4"/>
  <c r="L1318" i="4"/>
  <c r="M1318" i="4"/>
  <c r="N1318" i="4"/>
  <c r="O1318" i="4"/>
  <c r="P1318" i="4"/>
  <c r="Q1318" i="4"/>
  <c r="J1319" i="4"/>
  <c r="K1319" i="4"/>
  <c r="L1319" i="4"/>
  <c r="M1319" i="4"/>
  <c r="N1319" i="4"/>
  <c r="O1319" i="4"/>
  <c r="P1319" i="4"/>
  <c r="Q1319" i="4"/>
  <c r="J1320" i="4"/>
  <c r="K1320" i="4"/>
  <c r="L1320" i="4"/>
  <c r="M1320" i="4"/>
  <c r="N1320" i="4"/>
  <c r="O1320" i="4"/>
  <c r="P1320" i="4"/>
  <c r="Q1320" i="4"/>
  <c r="J1321" i="4"/>
  <c r="K1321" i="4"/>
  <c r="L1321" i="4"/>
  <c r="M1321" i="4"/>
  <c r="N1321" i="4"/>
  <c r="O1321" i="4"/>
  <c r="P1321" i="4"/>
  <c r="Q1321" i="4"/>
  <c r="J1322" i="4"/>
  <c r="K1322" i="4"/>
  <c r="L1322" i="4"/>
  <c r="M1322" i="4"/>
  <c r="N1322" i="4"/>
  <c r="O1322" i="4"/>
  <c r="P1322" i="4"/>
  <c r="Q1322" i="4"/>
  <c r="J1323" i="4"/>
  <c r="K1323" i="4"/>
  <c r="L1323" i="4"/>
  <c r="M1323" i="4"/>
  <c r="N1323" i="4"/>
  <c r="O1323" i="4"/>
  <c r="P1323" i="4"/>
  <c r="Q1323" i="4"/>
  <c r="J1324" i="4"/>
  <c r="K1324" i="4"/>
  <c r="L1324" i="4"/>
  <c r="M1324" i="4"/>
  <c r="N1324" i="4"/>
  <c r="O1324" i="4"/>
  <c r="P1324" i="4"/>
  <c r="Q1324" i="4"/>
  <c r="J1325" i="4"/>
  <c r="K1325" i="4"/>
  <c r="L1325" i="4"/>
  <c r="M1325" i="4"/>
  <c r="N1325" i="4"/>
  <c r="O1325" i="4"/>
  <c r="P1325" i="4"/>
  <c r="Q1325" i="4"/>
  <c r="J1326" i="4"/>
  <c r="K1326" i="4"/>
  <c r="L1326" i="4"/>
  <c r="M1326" i="4"/>
  <c r="N1326" i="4"/>
  <c r="O1326" i="4"/>
  <c r="P1326" i="4"/>
  <c r="Q1326" i="4"/>
  <c r="J1327" i="4"/>
  <c r="K1327" i="4"/>
  <c r="L1327" i="4"/>
  <c r="M1327" i="4"/>
  <c r="N1327" i="4"/>
  <c r="O1327" i="4"/>
  <c r="P1327" i="4"/>
  <c r="Q1327" i="4"/>
  <c r="J1328" i="4"/>
  <c r="K1328" i="4"/>
  <c r="L1328" i="4"/>
  <c r="M1328" i="4"/>
  <c r="N1328" i="4"/>
  <c r="O1328" i="4"/>
  <c r="P1328" i="4"/>
  <c r="Q1328" i="4"/>
  <c r="J1329" i="4"/>
  <c r="K1329" i="4"/>
  <c r="L1329" i="4"/>
  <c r="M1329" i="4"/>
  <c r="N1329" i="4"/>
  <c r="O1329" i="4"/>
  <c r="P1329" i="4"/>
  <c r="Q1329" i="4"/>
  <c r="J1330" i="4"/>
  <c r="K1330" i="4"/>
  <c r="L1330" i="4"/>
  <c r="M1330" i="4"/>
  <c r="N1330" i="4"/>
  <c r="O1330" i="4"/>
  <c r="P1330" i="4"/>
  <c r="Q1330" i="4"/>
  <c r="J1331" i="4"/>
  <c r="K1331" i="4"/>
  <c r="L1331" i="4"/>
  <c r="M1331" i="4"/>
  <c r="N1331" i="4"/>
  <c r="O1331" i="4"/>
  <c r="P1331" i="4"/>
  <c r="Q1331" i="4"/>
  <c r="J1332" i="4"/>
  <c r="K1332" i="4"/>
  <c r="L1332" i="4"/>
  <c r="M1332" i="4"/>
  <c r="N1332" i="4"/>
  <c r="O1332" i="4"/>
  <c r="P1332" i="4"/>
  <c r="Q1332" i="4"/>
  <c r="J1333" i="4"/>
  <c r="K1333" i="4"/>
  <c r="L1333" i="4"/>
  <c r="M1333" i="4"/>
  <c r="N1333" i="4"/>
  <c r="O1333" i="4"/>
  <c r="P1333" i="4"/>
  <c r="Q1333" i="4"/>
  <c r="J1334" i="4"/>
  <c r="K1334" i="4"/>
  <c r="L1334" i="4"/>
  <c r="M1334" i="4"/>
  <c r="N1334" i="4"/>
  <c r="O1334" i="4"/>
  <c r="P1334" i="4"/>
  <c r="Q1334" i="4"/>
  <c r="J1335" i="4"/>
  <c r="K1335" i="4"/>
  <c r="L1335" i="4"/>
  <c r="M1335" i="4"/>
  <c r="N1335" i="4"/>
  <c r="O1335" i="4"/>
  <c r="P1335" i="4"/>
  <c r="Q1335" i="4"/>
  <c r="J1336" i="4"/>
  <c r="K1336" i="4"/>
  <c r="L1336" i="4"/>
  <c r="M1336" i="4"/>
  <c r="N1336" i="4"/>
  <c r="O1336" i="4"/>
  <c r="P1336" i="4"/>
  <c r="Q1336" i="4"/>
  <c r="J1337" i="4"/>
  <c r="K1337" i="4"/>
  <c r="L1337" i="4"/>
  <c r="M1337" i="4"/>
  <c r="N1337" i="4"/>
  <c r="O1337" i="4"/>
  <c r="P1337" i="4"/>
  <c r="Q1337" i="4"/>
  <c r="J1338" i="4"/>
  <c r="K1338" i="4"/>
  <c r="L1338" i="4"/>
  <c r="M1338" i="4"/>
  <c r="N1338" i="4"/>
  <c r="O1338" i="4"/>
  <c r="P1338" i="4"/>
  <c r="Q1338" i="4"/>
  <c r="J1339" i="4"/>
  <c r="K1339" i="4"/>
  <c r="L1339" i="4"/>
  <c r="M1339" i="4"/>
  <c r="N1339" i="4"/>
  <c r="O1339" i="4"/>
  <c r="P1339" i="4"/>
  <c r="Q1339" i="4"/>
  <c r="J1340" i="4"/>
  <c r="K1340" i="4"/>
  <c r="L1340" i="4"/>
  <c r="M1340" i="4"/>
  <c r="N1340" i="4"/>
  <c r="O1340" i="4"/>
  <c r="P1340" i="4"/>
  <c r="Q1340" i="4"/>
  <c r="J1341" i="4"/>
  <c r="K1341" i="4"/>
  <c r="L1341" i="4"/>
  <c r="M1341" i="4"/>
  <c r="N1341" i="4"/>
  <c r="O1341" i="4"/>
  <c r="P1341" i="4"/>
  <c r="Q1341" i="4"/>
  <c r="J1342" i="4"/>
  <c r="K1342" i="4"/>
  <c r="L1342" i="4"/>
  <c r="M1342" i="4"/>
  <c r="N1342" i="4"/>
  <c r="O1342" i="4"/>
  <c r="P1342" i="4"/>
  <c r="Q1342" i="4"/>
  <c r="J1343" i="4"/>
  <c r="K1343" i="4"/>
  <c r="L1343" i="4"/>
  <c r="M1343" i="4"/>
  <c r="N1343" i="4"/>
  <c r="O1343" i="4"/>
  <c r="P1343" i="4"/>
  <c r="Q1343" i="4"/>
  <c r="J1344" i="4"/>
  <c r="K1344" i="4"/>
  <c r="L1344" i="4"/>
  <c r="M1344" i="4"/>
  <c r="N1344" i="4"/>
  <c r="O1344" i="4"/>
  <c r="P1344" i="4"/>
  <c r="Q1344" i="4"/>
  <c r="J1345" i="4"/>
  <c r="K1345" i="4"/>
  <c r="L1345" i="4"/>
  <c r="M1345" i="4"/>
  <c r="N1345" i="4"/>
  <c r="O1345" i="4"/>
  <c r="P1345" i="4"/>
  <c r="Q1345" i="4"/>
  <c r="J1346" i="4"/>
  <c r="K1346" i="4"/>
  <c r="L1346" i="4"/>
  <c r="M1346" i="4"/>
  <c r="N1346" i="4"/>
  <c r="O1346" i="4"/>
  <c r="P1346" i="4"/>
  <c r="Q1346" i="4"/>
  <c r="J1347" i="4"/>
  <c r="K1347" i="4"/>
  <c r="L1347" i="4"/>
  <c r="M1347" i="4"/>
  <c r="N1347" i="4"/>
  <c r="O1347" i="4"/>
  <c r="P1347" i="4"/>
  <c r="Q1347" i="4"/>
  <c r="J1348" i="4"/>
  <c r="K1348" i="4"/>
  <c r="L1348" i="4"/>
  <c r="M1348" i="4"/>
  <c r="N1348" i="4"/>
  <c r="O1348" i="4"/>
  <c r="P1348" i="4"/>
  <c r="Q1348" i="4"/>
  <c r="J1349" i="4"/>
  <c r="K1349" i="4"/>
  <c r="L1349" i="4"/>
  <c r="M1349" i="4"/>
  <c r="N1349" i="4"/>
  <c r="O1349" i="4"/>
  <c r="P1349" i="4"/>
  <c r="Q1349" i="4"/>
  <c r="J1350" i="4"/>
  <c r="K1350" i="4"/>
  <c r="L1350" i="4"/>
  <c r="M1350" i="4"/>
  <c r="N1350" i="4"/>
  <c r="O1350" i="4"/>
  <c r="P1350" i="4"/>
  <c r="Q1350" i="4"/>
  <c r="J1351" i="4"/>
  <c r="K1351" i="4"/>
  <c r="L1351" i="4"/>
  <c r="M1351" i="4"/>
  <c r="N1351" i="4"/>
  <c r="O1351" i="4"/>
  <c r="P1351" i="4"/>
  <c r="Q1351" i="4"/>
  <c r="J1352" i="4"/>
  <c r="K1352" i="4"/>
  <c r="L1352" i="4"/>
  <c r="M1352" i="4"/>
  <c r="N1352" i="4"/>
  <c r="O1352" i="4"/>
  <c r="P1352" i="4"/>
  <c r="Q1352" i="4"/>
  <c r="J1353" i="4"/>
  <c r="K1353" i="4"/>
  <c r="L1353" i="4"/>
  <c r="M1353" i="4"/>
  <c r="N1353" i="4"/>
  <c r="O1353" i="4"/>
  <c r="P1353" i="4"/>
  <c r="Q1353" i="4"/>
  <c r="J1354" i="4"/>
  <c r="K1354" i="4"/>
  <c r="L1354" i="4"/>
  <c r="M1354" i="4"/>
  <c r="N1354" i="4"/>
  <c r="O1354" i="4"/>
  <c r="P1354" i="4"/>
  <c r="Q1354" i="4"/>
  <c r="J1355" i="4"/>
  <c r="K1355" i="4"/>
  <c r="L1355" i="4"/>
  <c r="M1355" i="4"/>
  <c r="N1355" i="4"/>
  <c r="O1355" i="4"/>
  <c r="P1355" i="4"/>
  <c r="Q1355" i="4"/>
  <c r="J1356" i="4"/>
  <c r="K1356" i="4"/>
  <c r="L1356" i="4"/>
  <c r="M1356" i="4"/>
  <c r="N1356" i="4"/>
  <c r="O1356" i="4"/>
  <c r="P1356" i="4"/>
  <c r="Q1356" i="4"/>
  <c r="J1357" i="4"/>
  <c r="K1357" i="4"/>
  <c r="L1357" i="4"/>
  <c r="M1357" i="4"/>
  <c r="N1357" i="4"/>
  <c r="O1357" i="4"/>
  <c r="P1357" i="4"/>
  <c r="Q1357" i="4"/>
  <c r="J1358" i="4"/>
  <c r="K1358" i="4"/>
  <c r="L1358" i="4"/>
  <c r="M1358" i="4"/>
  <c r="N1358" i="4"/>
  <c r="O1358" i="4"/>
  <c r="P1358" i="4"/>
  <c r="Q1358" i="4"/>
  <c r="J1359" i="4"/>
  <c r="K1359" i="4"/>
  <c r="L1359" i="4"/>
  <c r="M1359" i="4"/>
  <c r="N1359" i="4"/>
  <c r="O1359" i="4"/>
  <c r="P1359" i="4"/>
  <c r="Q1359" i="4"/>
  <c r="J1360" i="4"/>
  <c r="K1360" i="4"/>
  <c r="L1360" i="4"/>
  <c r="M1360" i="4"/>
  <c r="N1360" i="4"/>
  <c r="O1360" i="4"/>
  <c r="P1360" i="4"/>
  <c r="Q1360" i="4"/>
  <c r="J1361" i="4"/>
  <c r="K1361" i="4"/>
  <c r="L1361" i="4"/>
  <c r="M1361" i="4"/>
  <c r="N1361" i="4"/>
  <c r="O1361" i="4"/>
  <c r="P1361" i="4"/>
  <c r="Q1361" i="4"/>
  <c r="J1362" i="4"/>
  <c r="K1362" i="4"/>
  <c r="L1362" i="4"/>
  <c r="M1362" i="4"/>
  <c r="N1362" i="4"/>
  <c r="O1362" i="4"/>
  <c r="P1362" i="4"/>
  <c r="Q1362" i="4"/>
  <c r="J1363" i="4"/>
  <c r="K1363" i="4"/>
  <c r="L1363" i="4"/>
  <c r="M1363" i="4"/>
  <c r="N1363" i="4"/>
  <c r="O1363" i="4"/>
  <c r="P1363" i="4"/>
  <c r="Q1363" i="4"/>
  <c r="J1364" i="4"/>
  <c r="K1364" i="4"/>
  <c r="L1364" i="4"/>
  <c r="M1364" i="4"/>
  <c r="N1364" i="4"/>
  <c r="O1364" i="4"/>
  <c r="P1364" i="4"/>
  <c r="Q1364" i="4"/>
  <c r="J1365" i="4"/>
  <c r="K1365" i="4"/>
  <c r="L1365" i="4"/>
  <c r="M1365" i="4"/>
  <c r="N1365" i="4"/>
  <c r="O1365" i="4"/>
  <c r="P1365" i="4"/>
  <c r="Q1365" i="4"/>
  <c r="J1366" i="4"/>
  <c r="K1366" i="4"/>
  <c r="L1366" i="4"/>
  <c r="M1366" i="4"/>
  <c r="N1366" i="4"/>
  <c r="O1366" i="4"/>
  <c r="P1366" i="4"/>
  <c r="Q1366" i="4"/>
  <c r="J1367" i="4"/>
  <c r="K1367" i="4"/>
  <c r="L1367" i="4"/>
  <c r="M1367" i="4"/>
  <c r="N1367" i="4"/>
  <c r="O1367" i="4"/>
  <c r="P1367" i="4"/>
  <c r="Q1367" i="4"/>
  <c r="J1368" i="4"/>
  <c r="K1368" i="4"/>
  <c r="L1368" i="4"/>
  <c r="M1368" i="4"/>
  <c r="N1368" i="4"/>
  <c r="O1368" i="4"/>
  <c r="P1368" i="4"/>
  <c r="Q1368" i="4"/>
  <c r="J1369" i="4"/>
  <c r="K1369" i="4"/>
  <c r="L1369" i="4"/>
  <c r="M1369" i="4"/>
  <c r="N1369" i="4"/>
  <c r="O1369" i="4"/>
  <c r="P1369" i="4"/>
  <c r="Q1369" i="4"/>
  <c r="J1370" i="4"/>
  <c r="K1370" i="4"/>
  <c r="L1370" i="4"/>
  <c r="M1370" i="4"/>
  <c r="N1370" i="4"/>
  <c r="O1370" i="4"/>
  <c r="P1370" i="4"/>
  <c r="Q1370" i="4"/>
  <c r="J1371" i="4"/>
  <c r="K1371" i="4"/>
  <c r="L1371" i="4"/>
  <c r="M1371" i="4"/>
  <c r="N1371" i="4"/>
  <c r="O1371" i="4"/>
  <c r="P1371" i="4"/>
  <c r="Q1371" i="4"/>
  <c r="J1372" i="4"/>
  <c r="K1372" i="4"/>
  <c r="L1372" i="4"/>
  <c r="M1372" i="4"/>
  <c r="N1372" i="4"/>
  <c r="O1372" i="4"/>
  <c r="P1372" i="4"/>
  <c r="Q1372" i="4"/>
  <c r="J1373" i="4"/>
  <c r="K1373" i="4"/>
  <c r="L1373" i="4"/>
  <c r="M1373" i="4"/>
  <c r="N1373" i="4"/>
  <c r="O1373" i="4"/>
  <c r="P1373" i="4"/>
  <c r="Q1373" i="4"/>
  <c r="J1374" i="4"/>
  <c r="K1374" i="4"/>
  <c r="L1374" i="4"/>
  <c r="M1374" i="4"/>
  <c r="N1374" i="4"/>
  <c r="O1374" i="4"/>
  <c r="P1374" i="4"/>
  <c r="Q1374" i="4"/>
  <c r="J1375" i="4"/>
  <c r="K1375" i="4"/>
  <c r="L1375" i="4"/>
  <c r="M1375" i="4"/>
  <c r="N1375" i="4"/>
  <c r="O1375" i="4"/>
  <c r="P1375" i="4"/>
  <c r="Q1375" i="4"/>
  <c r="J1376" i="4"/>
  <c r="K1376" i="4"/>
  <c r="L1376" i="4"/>
  <c r="M1376" i="4"/>
  <c r="N1376" i="4"/>
  <c r="O1376" i="4"/>
  <c r="P1376" i="4"/>
  <c r="Q1376" i="4"/>
  <c r="J1377" i="4"/>
  <c r="K1377" i="4"/>
  <c r="L1377" i="4"/>
  <c r="M1377" i="4"/>
  <c r="N1377" i="4"/>
  <c r="O1377" i="4"/>
  <c r="P1377" i="4"/>
  <c r="Q1377" i="4"/>
  <c r="J1378" i="4"/>
  <c r="K1378" i="4"/>
  <c r="L1378" i="4"/>
  <c r="M1378" i="4"/>
  <c r="N1378" i="4"/>
  <c r="O1378" i="4"/>
  <c r="P1378" i="4"/>
  <c r="Q1378" i="4"/>
  <c r="J1379" i="4"/>
  <c r="K1379" i="4"/>
  <c r="L1379" i="4"/>
  <c r="M1379" i="4"/>
  <c r="N1379" i="4"/>
  <c r="O1379" i="4"/>
  <c r="P1379" i="4"/>
  <c r="Q1379" i="4"/>
  <c r="J1380" i="4"/>
  <c r="K1380" i="4"/>
  <c r="L1380" i="4"/>
  <c r="M1380" i="4"/>
  <c r="N1380" i="4"/>
  <c r="O1380" i="4"/>
  <c r="P1380" i="4"/>
  <c r="Q1380" i="4"/>
  <c r="J1381" i="4"/>
  <c r="K1381" i="4"/>
  <c r="L1381" i="4"/>
  <c r="M1381" i="4"/>
  <c r="N1381" i="4"/>
  <c r="O1381" i="4"/>
  <c r="P1381" i="4"/>
  <c r="Q1381" i="4"/>
  <c r="J1382" i="4"/>
  <c r="K1382" i="4"/>
  <c r="L1382" i="4"/>
  <c r="M1382" i="4"/>
  <c r="N1382" i="4"/>
  <c r="O1382" i="4"/>
  <c r="P1382" i="4"/>
  <c r="Q1382" i="4"/>
  <c r="J1383" i="4"/>
  <c r="K1383" i="4"/>
  <c r="L1383" i="4"/>
  <c r="M1383" i="4"/>
  <c r="N1383" i="4"/>
  <c r="O1383" i="4"/>
  <c r="P1383" i="4"/>
  <c r="Q1383" i="4"/>
  <c r="J1384" i="4"/>
  <c r="K1384" i="4"/>
  <c r="L1384" i="4"/>
  <c r="M1384" i="4"/>
  <c r="N1384" i="4"/>
  <c r="O1384" i="4"/>
  <c r="P1384" i="4"/>
  <c r="Q1384" i="4"/>
  <c r="J1385" i="4"/>
  <c r="K1385" i="4"/>
  <c r="L1385" i="4"/>
  <c r="M1385" i="4"/>
  <c r="N1385" i="4"/>
  <c r="O1385" i="4"/>
  <c r="P1385" i="4"/>
  <c r="Q1385" i="4"/>
  <c r="J1386" i="4"/>
  <c r="K1386" i="4"/>
  <c r="L1386" i="4"/>
  <c r="M1386" i="4"/>
  <c r="N1386" i="4"/>
  <c r="O1386" i="4"/>
  <c r="P1386" i="4"/>
  <c r="Q1386" i="4"/>
  <c r="J1387" i="4"/>
  <c r="K1387" i="4"/>
  <c r="L1387" i="4"/>
  <c r="M1387" i="4"/>
  <c r="N1387" i="4"/>
  <c r="O1387" i="4"/>
  <c r="P1387" i="4"/>
  <c r="Q1387" i="4"/>
  <c r="J1388" i="4"/>
  <c r="K1388" i="4"/>
  <c r="L1388" i="4"/>
  <c r="M1388" i="4"/>
  <c r="N1388" i="4"/>
  <c r="O1388" i="4"/>
  <c r="P1388" i="4"/>
  <c r="Q1388" i="4"/>
  <c r="J1389" i="4"/>
  <c r="K1389" i="4"/>
  <c r="L1389" i="4"/>
  <c r="M1389" i="4"/>
  <c r="N1389" i="4"/>
  <c r="O1389" i="4"/>
  <c r="P1389" i="4"/>
  <c r="Q1389" i="4"/>
  <c r="J1390" i="4"/>
  <c r="K1390" i="4"/>
  <c r="L1390" i="4"/>
  <c r="M1390" i="4"/>
  <c r="N1390" i="4"/>
  <c r="O1390" i="4"/>
  <c r="P1390" i="4"/>
  <c r="Q1390" i="4"/>
  <c r="J1391" i="4"/>
  <c r="K1391" i="4"/>
  <c r="L1391" i="4"/>
  <c r="M1391" i="4"/>
  <c r="N1391" i="4"/>
  <c r="O1391" i="4"/>
  <c r="P1391" i="4"/>
  <c r="Q1391" i="4"/>
  <c r="J1392" i="4"/>
  <c r="K1392" i="4"/>
  <c r="L1392" i="4"/>
  <c r="M1392" i="4"/>
  <c r="N1392" i="4"/>
  <c r="O1392" i="4"/>
  <c r="P1392" i="4"/>
  <c r="Q1392" i="4"/>
  <c r="J1393" i="4"/>
  <c r="K1393" i="4"/>
  <c r="L1393" i="4"/>
  <c r="M1393" i="4"/>
  <c r="N1393" i="4"/>
  <c r="O1393" i="4"/>
  <c r="P1393" i="4"/>
  <c r="Q1393" i="4"/>
  <c r="J1394" i="4"/>
  <c r="K1394" i="4"/>
  <c r="L1394" i="4"/>
  <c r="M1394" i="4"/>
  <c r="N1394" i="4"/>
  <c r="O1394" i="4"/>
  <c r="P1394" i="4"/>
  <c r="Q1394" i="4"/>
  <c r="J1395" i="4"/>
  <c r="K1395" i="4"/>
  <c r="L1395" i="4"/>
  <c r="M1395" i="4"/>
  <c r="N1395" i="4"/>
  <c r="O1395" i="4"/>
  <c r="P1395" i="4"/>
  <c r="Q1395" i="4"/>
  <c r="J1396" i="4"/>
  <c r="K1396" i="4"/>
  <c r="L1396" i="4"/>
  <c r="M1396" i="4"/>
  <c r="N1396" i="4"/>
  <c r="O1396" i="4"/>
  <c r="P1396" i="4"/>
  <c r="Q1396" i="4"/>
  <c r="J1397" i="4"/>
  <c r="K1397" i="4"/>
  <c r="L1397" i="4"/>
  <c r="M1397" i="4"/>
  <c r="N1397" i="4"/>
  <c r="O1397" i="4"/>
  <c r="P1397" i="4"/>
  <c r="Q1397" i="4"/>
  <c r="J1398" i="4"/>
  <c r="K1398" i="4"/>
  <c r="L1398" i="4"/>
  <c r="M1398" i="4"/>
  <c r="N1398" i="4"/>
  <c r="O1398" i="4"/>
  <c r="P1398" i="4"/>
  <c r="Q1398" i="4"/>
  <c r="J1399" i="4"/>
  <c r="K1399" i="4"/>
  <c r="L1399" i="4"/>
  <c r="M1399" i="4"/>
  <c r="N1399" i="4"/>
  <c r="O1399" i="4"/>
  <c r="P1399" i="4"/>
  <c r="Q1399" i="4"/>
  <c r="J1400" i="4"/>
  <c r="K1400" i="4"/>
  <c r="L1400" i="4"/>
  <c r="M1400" i="4"/>
  <c r="N1400" i="4"/>
  <c r="O1400" i="4"/>
  <c r="P1400" i="4"/>
  <c r="Q1400" i="4"/>
  <c r="J1401" i="4"/>
  <c r="K1401" i="4"/>
  <c r="L1401" i="4"/>
  <c r="M1401" i="4"/>
  <c r="N1401" i="4"/>
  <c r="O1401" i="4"/>
  <c r="P1401" i="4"/>
  <c r="Q1401" i="4"/>
  <c r="J1402" i="4"/>
  <c r="K1402" i="4"/>
  <c r="L1402" i="4"/>
  <c r="M1402" i="4"/>
  <c r="N1402" i="4"/>
  <c r="O1402" i="4"/>
  <c r="P1402" i="4"/>
  <c r="Q1402" i="4"/>
  <c r="J1403" i="4"/>
  <c r="K1403" i="4"/>
  <c r="L1403" i="4"/>
  <c r="M1403" i="4"/>
  <c r="N1403" i="4"/>
  <c r="O1403" i="4"/>
  <c r="P1403" i="4"/>
  <c r="Q1403" i="4"/>
  <c r="J1404" i="4"/>
  <c r="K1404" i="4"/>
  <c r="L1404" i="4"/>
  <c r="M1404" i="4"/>
  <c r="N1404" i="4"/>
  <c r="O1404" i="4"/>
  <c r="P1404" i="4"/>
  <c r="Q1404" i="4"/>
  <c r="J1405" i="4"/>
  <c r="K1405" i="4"/>
  <c r="L1405" i="4"/>
  <c r="M1405" i="4"/>
  <c r="N1405" i="4"/>
  <c r="O1405" i="4"/>
  <c r="P1405" i="4"/>
  <c r="Q1405" i="4"/>
  <c r="J1406" i="4"/>
  <c r="K1406" i="4"/>
  <c r="L1406" i="4"/>
  <c r="M1406" i="4"/>
  <c r="N1406" i="4"/>
  <c r="O1406" i="4"/>
  <c r="P1406" i="4"/>
  <c r="Q1406" i="4"/>
  <c r="J1407" i="4"/>
  <c r="K1407" i="4"/>
  <c r="L1407" i="4"/>
  <c r="M1407" i="4"/>
  <c r="N1407" i="4"/>
  <c r="O1407" i="4"/>
  <c r="P1407" i="4"/>
  <c r="Q1407" i="4"/>
  <c r="J1408" i="4"/>
  <c r="K1408" i="4"/>
  <c r="L1408" i="4"/>
  <c r="M1408" i="4"/>
  <c r="N1408" i="4"/>
  <c r="O1408" i="4"/>
  <c r="P1408" i="4"/>
  <c r="Q1408" i="4"/>
  <c r="J1409" i="4"/>
  <c r="K1409" i="4"/>
  <c r="L1409" i="4"/>
  <c r="M1409" i="4"/>
  <c r="N1409" i="4"/>
  <c r="O1409" i="4"/>
  <c r="P1409" i="4"/>
  <c r="Q1409" i="4"/>
  <c r="J1410" i="4"/>
  <c r="K1410" i="4"/>
  <c r="L1410" i="4"/>
  <c r="M1410" i="4"/>
  <c r="N1410" i="4"/>
  <c r="O1410" i="4"/>
  <c r="P1410" i="4"/>
  <c r="Q1410" i="4"/>
  <c r="J1411" i="4"/>
  <c r="K1411" i="4"/>
  <c r="L1411" i="4"/>
  <c r="M1411" i="4"/>
  <c r="N1411" i="4"/>
  <c r="O1411" i="4"/>
  <c r="P1411" i="4"/>
  <c r="Q1411" i="4"/>
  <c r="J1412" i="4"/>
  <c r="K1412" i="4"/>
  <c r="L1412" i="4"/>
  <c r="M1412" i="4"/>
  <c r="N1412" i="4"/>
  <c r="O1412" i="4"/>
  <c r="P1412" i="4"/>
  <c r="Q1412" i="4"/>
  <c r="J1413" i="4"/>
  <c r="K1413" i="4"/>
  <c r="L1413" i="4"/>
  <c r="M1413" i="4"/>
  <c r="N1413" i="4"/>
  <c r="O1413" i="4"/>
  <c r="P1413" i="4"/>
  <c r="Q1413" i="4"/>
  <c r="J1414" i="4"/>
  <c r="K1414" i="4"/>
  <c r="L1414" i="4"/>
  <c r="M1414" i="4"/>
  <c r="N1414" i="4"/>
  <c r="O1414" i="4"/>
  <c r="P1414" i="4"/>
  <c r="Q1414" i="4"/>
  <c r="J1415" i="4"/>
  <c r="K1415" i="4"/>
  <c r="L1415" i="4"/>
  <c r="M1415" i="4"/>
  <c r="N1415" i="4"/>
  <c r="O1415" i="4"/>
  <c r="P1415" i="4"/>
  <c r="Q1415" i="4"/>
  <c r="J1416" i="4"/>
  <c r="K1416" i="4"/>
  <c r="L1416" i="4"/>
  <c r="M1416" i="4"/>
  <c r="N1416" i="4"/>
  <c r="O1416" i="4"/>
  <c r="P1416" i="4"/>
  <c r="Q1416" i="4"/>
  <c r="J1417" i="4"/>
  <c r="K1417" i="4"/>
  <c r="L1417" i="4"/>
  <c r="M1417" i="4"/>
  <c r="N1417" i="4"/>
  <c r="O1417" i="4"/>
  <c r="P1417" i="4"/>
  <c r="Q1417" i="4"/>
  <c r="J1418" i="4"/>
  <c r="K1418" i="4"/>
  <c r="L1418" i="4"/>
  <c r="M1418" i="4"/>
  <c r="N1418" i="4"/>
  <c r="O1418" i="4"/>
  <c r="P1418" i="4"/>
  <c r="Q1418" i="4"/>
  <c r="J1419" i="4"/>
  <c r="K1419" i="4"/>
  <c r="L1419" i="4"/>
  <c r="M1419" i="4"/>
  <c r="N1419" i="4"/>
  <c r="O1419" i="4"/>
  <c r="P1419" i="4"/>
  <c r="Q1419" i="4"/>
  <c r="J1420" i="4"/>
  <c r="K1420" i="4"/>
  <c r="L1420" i="4"/>
  <c r="M1420" i="4"/>
  <c r="N1420" i="4"/>
  <c r="O1420" i="4"/>
  <c r="P1420" i="4"/>
  <c r="Q1420" i="4"/>
  <c r="J1421" i="4"/>
  <c r="K1421" i="4"/>
  <c r="L1421" i="4"/>
  <c r="M1421" i="4"/>
  <c r="N1421" i="4"/>
  <c r="O1421" i="4"/>
  <c r="P1421" i="4"/>
  <c r="Q1421" i="4"/>
  <c r="J1422" i="4"/>
  <c r="K1422" i="4"/>
  <c r="L1422" i="4"/>
  <c r="M1422" i="4"/>
  <c r="N1422" i="4"/>
  <c r="O1422" i="4"/>
  <c r="P1422" i="4"/>
  <c r="Q1422" i="4"/>
  <c r="J1423" i="4"/>
  <c r="K1423" i="4"/>
  <c r="L1423" i="4"/>
  <c r="M1423" i="4"/>
  <c r="N1423" i="4"/>
  <c r="O1423" i="4"/>
  <c r="P1423" i="4"/>
  <c r="Q1423" i="4"/>
  <c r="J1424" i="4"/>
  <c r="K1424" i="4"/>
  <c r="L1424" i="4"/>
  <c r="M1424" i="4"/>
  <c r="N1424" i="4"/>
  <c r="O1424" i="4"/>
  <c r="P1424" i="4"/>
  <c r="Q1424" i="4"/>
  <c r="J1425" i="4"/>
  <c r="K1425" i="4"/>
  <c r="L1425" i="4"/>
  <c r="M1425" i="4"/>
  <c r="N1425" i="4"/>
  <c r="O1425" i="4"/>
  <c r="P1425" i="4"/>
  <c r="Q1425" i="4"/>
  <c r="J1426" i="4"/>
  <c r="K1426" i="4"/>
  <c r="L1426" i="4"/>
  <c r="M1426" i="4"/>
  <c r="N1426" i="4"/>
  <c r="O1426" i="4"/>
  <c r="P1426" i="4"/>
  <c r="Q1426" i="4"/>
  <c r="J1427" i="4"/>
  <c r="K1427" i="4"/>
  <c r="L1427" i="4"/>
  <c r="M1427" i="4"/>
  <c r="N1427" i="4"/>
  <c r="O1427" i="4"/>
  <c r="P1427" i="4"/>
  <c r="Q1427" i="4"/>
  <c r="J1428" i="4"/>
  <c r="K1428" i="4"/>
  <c r="L1428" i="4"/>
  <c r="M1428" i="4"/>
  <c r="N1428" i="4"/>
  <c r="O1428" i="4"/>
  <c r="P1428" i="4"/>
  <c r="Q1428" i="4"/>
  <c r="J1429" i="4"/>
  <c r="K1429" i="4"/>
  <c r="L1429" i="4"/>
  <c r="M1429" i="4"/>
  <c r="N1429" i="4"/>
  <c r="O1429" i="4"/>
  <c r="P1429" i="4"/>
  <c r="Q1429" i="4"/>
  <c r="J1430" i="4"/>
  <c r="K1430" i="4"/>
  <c r="L1430" i="4"/>
  <c r="M1430" i="4"/>
  <c r="N1430" i="4"/>
  <c r="O1430" i="4"/>
  <c r="P1430" i="4"/>
  <c r="Q1430" i="4"/>
  <c r="J1431" i="4"/>
  <c r="K1431" i="4"/>
  <c r="L1431" i="4"/>
  <c r="M1431" i="4"/>
  <c r="N1431" i="4"/>
  <c r="O1431" i="4"/>
  <c r="P1431" i="4"/>
  <c r="Q1431" i="4"/>
  <c r="J1432" i="4"/>
  <c r="K1432" i="4"/>
  <c r="L1432" i="4"/>
  <c r="M1432" i="4"/>
  <c r="N1432" i="4"/>
  <c r="O1432" i="4"/>
  <c r="P1432" i="4"/>
  <c r="Q1432" i="4"/>
  <c r="J1433" i="4"/>
  <c r="K1433" i="4"/>
  <c r="L1433" i="4"/>
  <c r="M1433" i="4"/>
  <c r="N1433" i="4"/>
  <c r="O1433" i="4"/>
  <c r="P1433" i="4"/>
  <c r="Q1433" i="4"/>
  <c r="J1434" i="4"/>
  <c r="K1434" i="4"/>
  <c r="L1434" i="4"/>
  <c r="M1434" i="4"/>
  <c r="N1434" i="4"/>
  <c r="O1434" i="4"/>
  <c r="P1434" i="4"/>
  <c r="Q1434" i="4"/>
  <c r="J1435" i="4"/>
  <c r="K1435" i="4"/>
  <c r="L1435" i="4"/>
  <c r="M1435" i="4"/>
  <c r="N1435" i="4"/>
  <c r="O1435" i="4"/>
  <c r="P1435" i="4"/>
  <c r="Q1435" i="4"/>
  <c r="J1436" i="4"/>
  <c r="K1436" i="4"/>
  <c r="L1436" i="4"/>
  <c r="M1436" i="4"/>
  <c r="N1436" i="4"/>
  <c r="O1436" i="4"/>
  <c r="P1436" i="4"/>
  <c r="Q1436" i="4"/>
  <c r="J1437" i="4"/>
  <c r="K1437" i="4"/>
  <c r="L1437" i="4"/>
  <c r="M1437" i="4"/>
  <c r="N1437" i="4"/>
  <c r="O1437" i="4"/>
  <c r="P1437" i="4"/>
  <c r="Q1437" i="4"/>
  <c r="J1438" i="4"/>
  <c r="K1438" i="4"/>
  <c r="L1438" i="4"/>
  <c r="M1438" i="4"/>
  <c r="N1438" i="4"/>
  <c r="O1438" i="4"/>
  <c r="P1438" i="4"/>
  <c r="Q1438" i="4"/>
  <c r="J1439" i="4"/>
  <c r="K1439" i="4"/>
  <c r="L1439" i="4"/>
  <c r="M1439" i="4"/>
  <c r="N1439" i="4"/>
  <c r="O1439" i="4"/>
  <c r="P1439" i="4"/>
  <c r="Q1439" i="4"/>
  <c r="J1440" i="4"/>
  <c r="K1440" i="4"/>
  <c r="L1440" i="4"/>
  <c r="M1440" i="4"/>
  <c r="N1440" i="4"/>
  <c r="O1440" i="4"/>
  <c r="P1440" i="4"/>
  <c r="Q1440" i="4"/>
  <c r="J1441" i="4"/>
  <c r="K1441" i="4"/>
  <c r="L1441" i="4"/>
  <c r="M1441" i="4"/>
  <c r="N1441" i="4"/>
  <c r="O1441" i="4"/>
  <c r="P1441" i="4"/>
  <c r="Q1441" i="4"/>
  <c r="J1442" i="4"/>
  <c r="K1442" i="4"/>
  <c r="L1442" i="4"/>
  <c r="M1442" i="4"/>
  <c r="N1442" i="4"/>
  <c r="O1442" i="4"/>
  <c r="P1442" i="4"/>
  <c r="Q1442" i="4"/>
  <c r="J1443" i="4"/>
  <c r="K1443" i="4"/>
  <c r="L1443" i="4"/>
  <c r="M1443" i="4"/>
  <c r="N1443" i="4"/>
  <c r="O1443" i="4"/>
  <c r="P1443" i="4"/>
  <c r="Q1443" i="4"/>
  <c r="J1444" i="4"/>
  <c r="K1444" i="4"/>
  <c r="L1444" i="4"/>
  <c r="M1444" i="4"/>
  <c r="N1444" i="4"/>
  <c r="O1444" i="4"/>
  <c r="P1444" i="4"/>
  <c r="Q1444" i="4"/>
  <c r="J1445" i="4"/>
  <c r="K1445" i="4"/>
  <c r="L1445" i="4"/>
  <c r="M1445" i="4"/>
  <c r="N1445" i="4"/>
  <c r="O1445" i="4"/>
  <c r="P1445" i="4"/>
  <c r="Q1445" i="4"/>
  <c r="J1446" i="4"/>
  <c r="K1446" i="4"/>
  <c r="L1446" i="4"/>
  <c r="M1446" i="4"/>
  <c r="N1446" i="4"/>
  <c r="O1446" i="4"/>
  <c r="P1446" i="4"/>
  <c r="Q1446" i="4"/>
  <c r="J1447" i="4"/>
  <c r="K1447" i="4"/>
  <c r="L1447" i="4"/>
  <c r="M1447" i="4"/>
  <c r="N1447" i="4"/>
  <c r="O1447" i="4"/>
  <c r="P1447" i="4"/>
  <c r="Q1447" i="4"/>
  <c r="J1448" i="4"/>
  <c r="K1448" i="4"/>
  <c r="L1448" i="4"/>
  <c r="M1448" i="4"/>
  <c r="N1448" i="4"/>
  <c r="O1448" i="4"/>
  <c r="P1448" i="4"/>
  <c r="Q1448" i="4"/>
  <c r="J1449" i="4"/>
  <c r="K1449" i="4"/>
  <c r="L1449" i="4"/>
  <c r="M1449" i="4"/>
  <c r="N1449" i="4"/>
  <c r="O1449" i="4"/>
  <c r="P1449" i="4"/>
  <c r="Q1449" i="4"/>
  <c r="J1450" i="4"/>
  <c r="K1450" i="4"/>
  <c r="L1450" i="4"/>
  <c r="M1450" i="4"/>
  <c r="N1450" i="4"/>
  <c r="O1450" i="4"/>
  <c r="P1450" i="4"/>
  <c r="Q1450" i="4"/>
  <c r="J1451" i="4"/>
  <c r="K1451" i="4"/>
  <c r="L1451" i="4"/>
  <c r="M1451" i="4"/>
  <c r="N1451" i="4"/>
  <c r="O1451" i="4"/>
  <c r="P1451" i="4"/>
  <c r="Q1451" i="4"/>
  <c r="J1452" i="4"/>
  <c r="K1452" i="4"/>
  <c r="L1452" i="4"/>
  <c r="M1452" i="4"/>
  <c r="N1452" i="4"/>
  <c r="O1452" i="4"/>
  <c r="P1452" i="4"/>
  <c r="Q1452" i="4"/>
  <c r="J1453" i="4"/>
  <c r="K1453" i="4"/>
  <c r="L1453" i="4"/>
  <c r="M1453" i="4"/>
  <c r="N1453" i="4"/>
  <c r="O1453" i="4"/>
  <c r="P1453" i="4"/>
  <c r="Q1453" i="4"/>
  <c r="J1454" i="4"/>
  <c r="K1454" i="4"/>
  <c r="L1454" i="4"/>
  <c r="M1454" i="4"/>
  <c r="N1454" i="4"/>
  <c r="O1454" i="4"/>
  <c r="P1454" i="4"/>
  <c r="Q1454" i="4"/>
  <c r="J1455" i="4"/>
  <c r="K1455" i="4"/>
  <c r="L1455" i="4"/>
  <c r="M1455" i="4"/>
  <c r="N1455" i="4"/>
  <c r="O1455" i="4"/>
  <c r="P1455" i="4"/>
  <c r="Q1455" i="4"/>
  <c r="J1456" i="4"/>
  <c r="K1456" i="4"/>
  <c r="L1456" i="4"/>
  <c r="M1456" i="4"/>
  <c r="N1456" i="4"/>
  <c r="O1456" i="4"/>
  <c r="P1456" i="4"/>
  <c r="Q1456" i="4"/>
  <c r="J1457" i="4"/>
  <c r="K1457" i="4"/>
  <c r="L1457" i="4"/>
  <c r="M1457" i="4"/>
  <c r="N1457" i="4"/>
  <c r="O1457" i="4"/>
  <c r="P1457" i="4"/>
  <c r="Q1457" i="4"/>
  <c r="J1458" i="4"/>
  <c r="K1458" i="4"/>
  <c r="L1458" i="4"/>
  <c r="M1458" i="4"/>
  <c r="N1458" i="4"/>
  <c r="O1458" i="4"/>
  <c r="P1458" i="4"/>
  <c r="Q1458" i="4"/>
  <c r="J1459" i="4"/>
  <c r="K1459" i="4"/>
  <c r="L1459" i="4"/>
  <c r="M1459" i="4"/>
  <c r="N1459" i="4"/>
  <c r="O1459" i="4"/>
  <c r="P1459" i="4"/>
  <c r="Q1459" i="4"/>
  <c r="J1460" i="4"/>
  <c r="K1460" i="4"/>
  <c r="L1460" i="4"/>
  <c r="M1460" i="4"/>
  <c r="N1460" i="4"/>
  <c r="O1460" i="4"/>
  <c r="P1460" i="4"/>
  <c r="Q1460" i="4"/>
  <c r="J1461" i="4"/>
  <c r="K1461" i="4"/>
  <c r="L1461" i="4"/>
  <c r="M1461" i="4"/>
  <c r="N1461" i="4"/>
  <c r="O1461" i="4"/>
  <c r="P1461" i="4"/>
  <c r="Q1461" i="4"/>
  <c r="J1462" i="4"/>
  <c r="K1462" i="4"/>
  <c r="L1462" i="4"/>
  <c r="M1462" i="4"/>
  <c r="N1462" i="4"/>
  <c r="O1462" i="4"/>
  <c r="P1462" i="4"/>
  <c r="Q1462" i="4"/>
  <c r="J1463" i="4"/>
  <c r="K1463" i="4"/>
  <c r="L1463" i="4"/>
  <c r="M1463" i="4"/>
  <c r="N1463" i="4"/>
  <c r="O1463" i="4"/>
  <c r="P1463" i="4"/>
  <c r="Q1463" i="4"/>
  <c r="J1464" i="4"/>
  <c r="K1464" i="4"/>
  <c r="L1464" i="4"/>
  <c r="M1464" i="4"/>
  <c r="N1464" i="4"/>
  <c r="O1464" i="4"/>
  <c r="P1464" i="4"/>
  <c r="Q1464" i="4"/>
  <c r="J1465" i="4"/>
  <c r="K1465" i="4"/>
  <c r="L1465" i="4"/>
  <c r="M1465" i="4"/>
  <c r="N1465" i="4"/>
  <c r="O1465" i="4"/>
  <c r="P1465" i="4"/>
  <c r="Q1465" i="4"/>
  <c r="J1466" i="4"/>
  <c r="K1466" i="4"/>
  <c r="L1466" i="4"/>
  <c r="M1466" i="4"/>
  <c r="N1466" i="4"/>
  <c r="O1466" i="4"/>
  <c r="P1466" i="4"/>
  <c r="Q1466" i="4"/>
  <c r="J1467" i="4"/>
  <c r="K1467" i="4"/>
  <c r="L1467" i="4"/>
  <c r="M1467" i="4"/>
  <c r="N1467" i="4"/>
  <c r="O1467" i="4"/>
  <c r="P1467" i="4"/>
  <c r="Q1467" i="4"/>
  <c r="J1468" i="4"/>
  <c r="K1468" i="4"/>
  <c r="L1468" i="4"/>
  <c r="M1468" i="4"/>
  <c r="N1468" i="4"/>
  <c r="O1468" i="4"/>
  <c r="P1468" i="4"/>
  <c r="Q1468" i="4"/>
  <c r="J1469" i="4"/>
  <c r="K1469" i="4"/>
  <c r="L1469" i="4"/>
  <c r="M1469" i="4"/>
  <c r="N1469" i="4"/>
  <c r="O1469" i="4"/>
  <c r="P1469" i="4"/>
  <c r="Q1469" i="4"/>
  <c r="J1470" i="4"/>
  <c r="K1470" i="4"/>
  <c r="L1470" i="4"/>
  <c r="M1470" i="4"/>
  <c r="N1470" i="4"/>
  <c r="O1470" i="4"/>
  <c r="P1470" i="4"/>
  <c r="Q1470" i="4"/>
  <c r="J1471" i="4"/>
  <c r="K1471" i="4"/>
  <c r="L1471" i="4"/>
  <c r="M1471" i="4"/>
  <c r="N1471" i="4"/>
  <c r="O1471" i="4"/>
  <c r="P1471" i="4"/>
  <c r="Q1471" i="4"/>
  <c r="J1472" i="4"/>
  <c r="K1472" i="4"/>
  <c r="L1472" i="4"/>
  <c r="M1472" i="4"/>
  <c r="N1472" i="4"/>
  <c r="O1472" i="4"/>
  <c r="P1472" i="4"/>
  <c r="Q1472" i="4"/>
  <c r="J1473" i="4"/>
  <c r="K1473" i="4"/>
  <c r="L1473" i="4"/>
  <c r="M1473" i="4"/>
  <c r="N1473" i="4"/>
  <c r="O1473" i="4"/>
  <c r="P1473" i="4"/>
  <c r="Q1473" i="4"/>
  <c r="J1474" i="4"/>
  <c r="K1474" i="4"/>
  <c r="L1474" i="4"/>
  <c r="M1474" i="4"/>
  <c r="N1474" i="4"/>
  <c r="O1474" i="4"/>
  <c r="P1474" i="4"/>
  <c r="Q1474" i="4"/>
  <c r="J1475" i="4"/>
  <c r="K1475" i="4"/>
  <c r="L1475" i="4"/>
  <c r="M1475" i="4"/>
  <c r="N1475" i="4"/>
  <c r="O1475" i="4"/>
  <c r="P1475" i="4"/>
  <c r="Q1475" i="4"/>
  <c r="J1476" i="4"/>
  <c r="K1476" i="4"/>
  <c r="L1476" i="4"/>
  <c r="M1476" i="4"/>
  <c r="N1476" i="4"/>
  <c r="O1476" i="4"/>
  <c r="P1476" i="4"/>
  <c r="Q1476" i="4"/>
  <c r="J1477" i="4"/>
  <c r="K1477" i="4"/>
  <c r="L1477" i="4"/>
  <c r="M1477" i="4"/>
  <c r="N1477" i="4"/>
  <c r="O1477" i="4"/>
  <c r="P1477" i="4"/>
  <c r="Q1477" i="4"/>
  <c r="J1478" i="4"/>
  <c r="K1478" i="4"/>
  <c r="L1478" i="4"/>
  <c r="M1478" i="4"/>
  <c r="N1478" i="4"/>
  <c r="O1478" i="4"/>
  <c r="P1478" i="4"/>
  <c r="Q1478" i="4"/>
  <c r="J1479" i="4"/>
  <c r="K1479" i="4"/>
  <c r="L1479" i="4"/>
  <c r="M1479" i="4"/>
  <c r="N1479" i="4"/>
  <c r="O1479" i="4"/>
  <c r="P1479" i="4"/>
  <c r="Q1479" i="4"/>
  <c r="J1480" i="4"/>
  <c r="K1480" i="4"/>
  <c r="L1480" i="4"/>
  <c r="M1480" i="4"/>
  <c r="N1480" i="4"/>
  <c r="O1480" i="4"/>
  <c r="P1480" i="4"/>
  <c r="Q1480" i="4"/>
  <c r="J1481" i="4"/>
  <c r="K1481" i="4"/>
  <c r="L1481" i="4"/>
  <c r="M1481" i="4"/>
  <c r="N1481" i="4"/>
  <c r="O1481" i="4"/>
  <c r="P1481" i="4"/>
  <c r="Q1481" i="4"/>
  <c r="J1482" i="4"/>
  <c r="K1482" i="4"/>
  <c r="L1482" i="4"/>
  <c r="M1482" i="4"/>
  <c r="N1482" i="4"/>
  <c r="O1482" i="4"/>
  <c r="P1482" i="4"/>
  <c r="Q1482" i="4"/>
  <c r="J1483" i="4"/>
  <c r="K1483" i="4"/>
  <c r="L1483" i="4"/>
  <c r="M1483" i="4"/>
  <c r="N1483" i="4"/>
  <c r="O1483" i="4"/>
  <c r="P1483" i="4"/>
  <c r="Q1483" i="4"/>
  <c r="J1484" i="4"/>
  <c r="K1484" i="4"/>
  <c r="L1484" i="4"/>
  <c r="M1484" i="4"/>
  <c r="N1484" i="4"/>
  <c r="O1484" i="4"/>
  <c r="P1484" i="4"/>
  <c r="Q1484" i="4"/>
  <c r="J1485" i="4"/>
  <c r="K1485" i="4"/>
  <c r="L1485" i="4"/>
  <c r="M1485" i="4"/>
  <c r="N1485" i="4"/>
  <c r="O1485" i="4"/>
  <c r="P1485" i="4"/>
  <c r="Q1485" i="4"/>
  <c r="J1486" i="4"/>
  <c r="K1486" i="4"/>
  <c r="L1486" i="4"/>
  <c r="M1486" i="4"/>
  <c r="N1486" i="4"/>
  <c r="O1486" i="4"/>
  <c r="P1486" i="4"/>
  <c r="Q1486" i="4"/>
  <c r="J1487" i="4"/>
  <c r="K1487" i="4"/>
  <c r="L1487" i="4"/>
  <c r="M1487" i="4"/>
  <c r="N1487" i="4"/>
  <c r="O1487" i="4"/>
  <c r="P1487" i="4"/>
  <c r="Q1487" i="4"/>
  <c r="J1488" i="4"/>
  <c r="K1488" i="4"/>
  <c r="L1488" i="4"/>
  <c r="M1488" i="4"/>
  <c r="N1488" i="4"/>
  <c r="O1488" i="4"/>
  <c r="P1488" i="4"/>
  <c r="Q1488" i="4"/>
  <c r="J1489" i="4"/>
  <c r="K1489" i="4"/>
  <c r="L1489" i="4"/>
  <c r="M1489" i="4"/>
  <c r="N1489" i="4"/>
  <c r="O1489" i="4"/>
  <c r="P1489" i="4"/>
  <c r="Q1489" i="4"/>
  <c r="J1490" i="4"/>
  <c r="K1490" i="4"/>
  <c r="L1490" i="4"/>
  <c r="M1490" i="4"/>
  <c r="N1490" i="4"/>
  <c r="O1490" i="4"/>
  <c r="P1490" i="4"/>
  <c r="Q1490" i="4"/>
  <c r="J1491" i="4"/>
  <c r="K1491" i="4"/>
  <c r="L1491" i="4"/>
  <c r="M1491" i="4"/>
  <c r="N1491" i="4"/>
  <c r="O1491" i="4"/>
  <c r="P1491" i="4"/>
  <c r="Q1491" i="4"/>
  <c r="J1492" i="4"/>
  <c r="K1492" i="4"/>
  <c r="L1492" i="4"/>
  <c r="M1492" i="4"/>
  <c r="N1492" i="4"/>
  <c r="O1492" i="4"/>
  <c r="P1492" i="4"/>
  <c r="Q1492" i="4"/>
  <c r="J1493" i="4"/>
  <c r="K1493" i="4"/>
  <c r="L1493" i="4"/>
  <c r="M1493" i="4"/>
  <c r="N1493" i="4"/>
  <c r="O1493" i="4"/>
  <c r="P1493" i="4"/>
  <c r="Q1493" i="4"/>
  <c r="J1494" i="4"/>
  <c r="K1494" i="4"/>
  <c r="L1494" i="4"/>
  <c r="M1494" i="4"/>
  <c r="N1494" i="4"/>
  <c r="O1494" i="4"/>
  <c r="P1494" i="4"/>
  <c r="Q1494" i="4"/>
  <c r="J1495" i="4"/>
  <c r="K1495" i="4"/>
  <c r="L1495" i="4"/>
  <c r="M1495" i="4"/>
  <c r="N1495" i="4"/>
  <c r="O1495" i="4"/>
  <c r="P1495" i="4"/>
  <c r="Q1495" i="4"/>
  <c r="J1496" i="4"/>
  <c r="K1496" i="4"/>
  <c r="L1496" i="4"/>
  <c r="M1496" i="4"/>
  <c r="N1496" i="4"/>
  <c r="O1496" i="4"/>
  <c r="P1496" i="4"/>
  <c r="Q1496" i="4"/>
  <c r="J1497" i="4"/>
  <c r="K1497" i="4"/>
  <c r="L1497" i="4"/>
  <c r="M1497" i="4"/>
  <c r="N1497" i="4"/>
  <c r="O1497" i="4"/>
  <c r="P1497" i="4"/>
  <c r="Q1497" i="4"/>
  <c r="J1498" i="4"/>
  <c r="K1498" i="4"/>
  <c r="L1498" i="4"/>
  <c r="M1498" i="4"/>
  <c r="N1498" i="4"/>
  <c r="O1498" i="4"/>
  <c r="P1498" i="4"/>
  <c r="Q1498" i="4"/>
  <c r="J1499" i="4"/>
  <c r="K1499" i="4"/>
  <c r="L1499" i="4"/>
  <c r="M1499" i="4"/>
  <c r="N1499" i="4"/>
  <c r="O1499" i="4"/>
  <c r="P1499" i="4"/>
  <c r="Q1499" i="4"/>
  <c r="J1500" i="4"/>
  <c r="K1500" i="4"/>
  <c r="L1500" i="4"/>
  <c r="M1500" i="4"/>
  <c r="N1500" i="4"/>
  <c r="O1500" i="4"/>
  <c r="P1500" i="4"/>
  <c r="Q1500" i="4"/>
  <c r="J1501" i="4"/>
  <c r="K1501" i="4"/>
  <c r="L1501" i="4"/>
  <c r="M1501" i="4"/>
  <c r="N1501" i="4"/>
  <c r="O1501" i="4"/>
  <c r="P1501" i="4"/>
  <c r="Q1501" i="4"/>
  <c r="J1502" i="4"/>
  <c r="K1502" i="4"/>
  <c r="L1502" i="4"/>
  <c r="M1502" i="4"/>
  <c r="N1502" i="4"/>
  <c r="O1502" i="4"/>
  <c r="P1502" i="4"/>
  <c r="Q1502" i="4"/>
  <c r="J1503" i="4"/>
  <c r="K1503" i="4"/>
  <c r="L1503" i="4"/>
  <c r="M1503" i="4"/>
  <c r="N1503" i="4"/>
  <c r="O1503" i="4"/>
  <c r="P1503" i="4"/>
  <c r="Q1503" i="4"/>
  <c r="J1504" i="4"/>
  <c r="K1504" i="4"/>
  <c r="L1504" i="4"/>
  <c r="M1504" i="4"/>
  <c r="N1504" i="4"/>
  <c r="O1504" i="4"/>
  <c r="P1504" i="4"/>
  <c r="Q1504" i="4"/>
  <c r="J1505" i="4"/>
  <c r="K1505" i="4"/>
  <c r="L1505" i="4"/>
  <c r="M1505" i="4"/>
  <c r="N1505" i="4"/>
  <c r="O1505" i="4"/>
  <c r="P1505" i="4"/>
  <c r="Q1505" i="4"/>
  <c r="J1506" i="4"/>
  <c r="K1506" i="4"/>
  <c r="L1506" i="4"/>
  <c r="M1506" i="4"/>
  <c r="N1506" i="4"/>
  <c r="O1506" i="4"/>
  <c r="P1506" i="4"/>
  <c r="Q1506" i="4"/>
  <c r="J1507" i="4"/>
  <c r="K1507" i="4"/>
  <c r="L1507" i="4"/>
  <c r="M1507" i="4"/>
  <c r="N1507" i="4"/>
  <c r="O1507" i="4"/>
  <c r="P1507" i="4"/>
  <c r="Q1507" i="4"/>
  <c r="J1508" i="4"/>
  <c r="K1508" i="4"/>
  <c r="L1508" i="4"/>
  <c r="M1508" i="4"/>
  <c r="N1508" i="4"/>
  <c r="O1508" i="4"/>
  <c r="P1508" i="4"/>
  <c r="Q1508" i="4"/>
  <c r="J1509" i="4"/>
  <c r="K1509" i="4"/>
  <c r="L1509" i="4"/>
  <c r="M1509" i="4"/>
  <c r="N1509" i="4"/>
  <c r="O1509" i="4"/>
  <c r="P1509" i="4"/>
  <c r="Q1509" i="4"/>
  <c r="J1510" i="4"/>
  <c r="K1510" i="4"/>
  <c r="L1510" i="4"/>
  <c r="M1510" i="4"/>
  <c r="N1510" i="4"/>
  <c r="O1510" i="4"/>
  <c r="P1510" i="4"/>
  <c r="Q1510" i="4"/>
  <c r="J1511" i="4"/>
  <c r="K1511" i="4"/>
  <c r="L1511" i="4"/>
  <c r="M1511" i="4"/>
  <c r="N1511" i="4"/>
  <c r="O1511" i="4"/>
  <c r="P1511" i="4"/>
  <c r="Q1511" i="4"/>
  <c r="J1512" i="4"/>
  <c r="K1512" i="4"/>
  <c r="L1512" i="4"/>
  <c r="M1512" i="4"/>
  <c r="N1512" i="4"/>
  <c r="O1512" i="4"/>
  <c r="P1512" i="4"/>
  <c r="Q1512" i="4"/>
  <c r="J1513" i="4"/>
  <c r="K1513" i="4"/>
  <c r="L1513" i="4"/>
  <c r="M1513" i="4"/>
  <c r="N1513" i="4"/>
  <c r="O1513" i="4"/>
  <c r="P1513" i="4"/>
  <c r="Q1513" i="4"/>
  <c r="J1514" i="4"/>
  <c r="K1514" i="4"/>
  <c r="L1514" i="4"/>
  <c r="M1514" i="4"/>
  <c r="N1514" i="4"/>
  <c r="O1514" i="4"/>
  <c r="P1514" i="4"/>
  <c r="Q1514" i="4"/>
  <c r="J1515" i="4"/>
  <c r="K1515" i="4"/>
  <c r="L1515" i="4"/>
  <c r="M1515" i="4"/>
  <c r="N1515" i="4"/>
  <c r="O1515" i="4"/>
  <c r="P1515" i="4"/>
  <c r="Q1515" i="4"/>
  <c r="J1516" i="4"/>
  <c r="K1516" i="4"/>
  <c r="L1516" i="4"/>
  <c r="M1516" i="4"/>
  <c r="N1516" i="4"/>
  <c r="O1516" i="4"/>
  <c r="P1516" i="4"/>
  <c r="Q1516" i="4"/>
  <c r="J1517" i="4"/>
  <c r="K1517" i="4"/>
  <c r="L1517" i="4"/>
  <c r="M1517" i="4"/>
  <c r="N1517" i="4"/>
  <c r="O1517" i="4"/>
  <c r="P1517" i="4"/>
  <c r="Q1517" i="4"/>
  <c r="J1518" i="4"/>
  <c r="K1518" i="4"/>
  <c r="L1518" i="4"/>
  <c r="M1518" i="4"/>
  <c r="N1518" i="4"/>
  <c r="O1518" i="4"/>
  <c r="P1518" i="4"/>
  <c r="Q1518" i="4"/>
  <c r="J1519" i="4"/>
  <c r="K1519" i="4"/>
  <c r="L1519" i="4"/>
  <c r="M1519" i="4"/>
  <c r="N1519" i="4"/>
  <c r="O1519" i="4"/>
  <c r="P1519" i="4"/>
  <c r="Q1519" i="4"/>
  <c r="J1520" i="4"/>
  <c r="K1520" i="4"/>
  <c r="L1520" i="4"/>
  <c r="M1520" i="4"/>
  <c r="N1520" i="4"/>
  <c r="O1520" i="4"/>
  <c r="P1520" i="4"/>
  <c r="Q1520" i="4"/>
  <c r="J1521" i="4"/>
  <c r="K1521" i="4"/>
  <c r="L1521" i="4"/>
  <c r="M1521" i="4"/>
  <c r="N1521" i="4"/>
  <c r="O1521" i="4"/>
  <c r="P1521" i="4"/>
  <c r="Q1521" i="4"/>
  <c r="J1522" i="4"/>
  <c r="K1522" i="4"/>
  <c r="L1522" i="4"/>
  <c r="M1522" i="4"/>
  <c r="N1522" i="4"/>
  <c r="O1522" i="4"/>
  <c r="P1522" i="4"/>
  <c r="Q1522" i="4"/>
  <c r="J1523" i="4"/>
  <c r="K1523" i="4"/>
  <c r="L1523" i="4"/>
  <c r="M1523" i="4"/>
  <c r="N1523" i="4"/>
  <c r="O1523" i="4"/>
  <c r="P1523" i="4"/>
  <c r="Q1523" i="4"/>
  <c r="J1524" i="4"/>
  <c r="K1524" i="4"/>
  <c r="L1524" i="4"/>
  <c r="M1524" i="4"/>
  <c r="N1524" i="4"/>
  <c r="O1524" i="4"/>
  <c r="P1524" i="4"/>
  <c r="Q1524" i="4"/>
  <c r="J1525" i="4"/>
  <c r="K1525" i="4"/>
  <c r="L1525" i="4"/>
  <c r="M1525" i="4"/>
  <c r="N1525" i="4"/>
  <c r="O1525" i="4"/>
  <c r="P1525" i="4"/>
  <c r="Q1525" i="4"/>
  <c r="J1526" i="4"/>
  <c r="K1526" i="4"/>
  <c r="L1526" i="4"/>
  <c r="M1526" i="4"/>
  <c r="N1526" i="4"/>
  <c r="O1526" i="4"/>
  <c r="P1526" i="4"/>
  <c r="Q1526" i="4"/>
  <c r="J1527" i="4"/>
  <c r="K1527" i="4"/>
  <c r="L1527" i="4"/>
  <c r="M1527" i="4"/>
  <c r="N1527" i="4"/>
  <c r="O1527" i="4"/>
  <c r="P1527" i="4"/>
  <c r="Q1527" i="4"/>
  <c r="J1528" i="4"/>
  <c r="K1528" i="4"/>
  <c r="L1528" i="4"/>
  <c r="M1528" i="4"/>
  <c r="N1528" i="4"/>
  <c r="O1528" i="4"/>
  <c r="P1528" i="4"/>
  <c r="Q1528" i="4"/>
  <c r="J1529" i="4"/>
  <c r="K1529" i="4"/>
  <c r="L1529" i="4"/>
  <c r="M1529" i="4"/>
  <c r="N1529" i="4"/>
  <c r="O1529" i="4"/>
  <c r="P1529" i="4"/>
  <c r="Q1529" i="4"/>
  <c r="J1530" i="4"/>
  <c r="K1530" i="4"/>
  <c r="L1530" i="4"/>
  <c r="M1530" i="4"/>
  <c r="N1530" i="4"/>
  <c r="O1530" i="4"/>
  <c r="P1530" i="4"/>
  <c r="Q1530" i="4"/>
  <c r="J1531" i="4"/>
  <c r="K1531" i="4"/>
  <c r="L1531" i="4"/>
  <c r="M1531" i="4"/>
  <c r="N1531" i="4"/>
  <c r="O1531" i="4"/>
  <c r="P1531" i="4"/>
  <c r="Q1531" i="4"/>
  <c r="J1532" i="4"/>
  <c r="K1532" i="4"/>
  <c r="L1532" i="4"/>
  <c r="M1532" i="4"/>
  <c r="N1532" i="4"/>
  <c r="O1532" i="4"/>
  <c r="P1532" i="4"/>
  <c r="Q1532" i="4"/>
  <c r="J1533" i="4"/>
  <c r="K1533" i="4"/>
  <c r="L1533" i="4"/>
  <c r="M1533" i="4"/>
  <c r="N1533" i="4"/>
  <c r="O1533" i="4"/>
  <c r="P1533" i="4"/>
  <c r="Q1533" i="4"/>
  <c r="J1534" i="4"/>
  <c r="K1534" i="4"/>
  <c r="L1534" i="4"/>
  <c r="M1534" i="4"/>
  <c r="N1534" i="4"/>
  <c r="O1534" i="4"/>
  <c r="P1534" i="4"/>
  <c r="Q1534" i="4"/>
  <c r="J1535" i="4"/>
  <c r="K1535" i="4"/>
  <c r="L1535" i="4"/>
  <c r="M1535" i="4"/>
  <c r="N1535" i="4"/>
  <c r="O1535" i="4"/>
  <c r="P1535" i="4"/>
  <c r="Q1535" i="4"/>
  <c r="J1536" i="4"/>
  <c r="K1536" i="4"/>
  <c r="L1536" i="4"/>
  <c r="M1536" i="4"/>
  <c r="N1536" i="4"/>
  <c r="O1536" i="4"/>
  <c r="P1536" i="4"/>
  <c r="Q1536" i="4"/>
  <c r="J1537" i="4"/>
  <c r="K1537" i="4"/>
  <c r="L1537" i="4"/>
  <c r="M1537" i="4"/>
  <c r="N1537" i="4"/>
  <c r="O1537" i="4"/>
  <c r="P1537" i="4"/>
  <c r="Q1537" i="4"/>
  <c r="J1538" i="4"/>
  <c r="K1538" i="4"/>
  <c r="L1538" i="4"/>
  <c r="M1538" i="4"/>
  <c r="N1538" i="4"/>
  <c r="O1538" i="4"/>
  <c r="P1538" i="4"/>
  <c r="Q1538" i="4"/>
  <c r="J1539" i="4"/>
  <c r="K1539" i="4"/>
  <c r="L1539" i="4"/>
  <c r="M1539" i="4"/>
  <c r="N1539" i="4"/>
  <c r="O1539" i="4"/>
  <c r="P1539" i="4"/>
  <c r="Q1539" i="4"/>
  <c r="J1540" i="4"/>
  <c r="K1540" i="4"/>
  <c r="L1540" i="4"/>
  <c r="M1540" i="4"/>
  <c r="N1540" i="4"/>
  <c r="O1540" i="4"/>
  <c r="P1540" i="4"/>
  <c r="Q1540" i="4"/>
  <c r="J1541" i="4"/>
  <c r="K1541" i="4"/>
  <c r="L1541" i="4"/>
  <c r="M1541" i="4"/>
  <c r="N1541" i="4"/>
  <c r="O1541" i="4"/>
  <c r="P1541" i="4"/>
  <c r="Q1541" i="4"/>
  <c r="J1542" i="4"/>
  <c r="K1542" i="4"/>
  <c r="L1542" i="4"/>
  <c r="M1542" i="4"/>
  <c r="N1542" i="4"/>
  <c r="O1542" i="4"/>
  <c r="P1542" i="4"/>
  <c r="Q1542" i="4"/>
  <c r="J1543" i="4"/>
  <c r="K1543" i="4"/>
  <c r="L1543" i="4"/>
  <c r="M1543" i="4"/>
  <c r="N1543" i="4"/>
  <c r="O1543" i="4"/>
  <c r="P1543" i="4"/>
  <c r="Q1543" i="4"/>
  <c r="J1544" i="4"/>
  <c r="K1544" i="4"/>
  <c r="L1544" i="4"/>
  <c r="M1544" i="4"/>
  <c r="N1544" i="4"/>
  <c r="O1544" i="4"/>
  <c r="P1544" i="4"/>
  <c r="Q1544" i="4"/>
  <c r="J1545" i="4"/>
  <c r="K1545" i="4"/>
  <c r="L1545" i="4"/>
  <c r="M1545" i="4"/>
  <c r="N1545" i="4"/>
  <c r="O1545" i="4"/>
  <c r="P1545" i="4"/>
  <c r="Q1545" i="4"/>
  <c r="J1546" i="4"/>
  <c r="K1546" i="4"/>
  <c r="L1546" i="4"/>
  <c r="M1546" i="4"/>
  <c r="N1546" i="4"/>
  <c r="O1546" i="4"/>
  <c r="P1546" i="4"/>
  <c r="Q1546" i="4"/>
  <c r="J1547" i="4"/>
  <c r="K1547" i="4"/>
  <c r="L1547" i="4"/>
  <c r="M1547" i="4"/>
  <c r="N1547" i="4"/>
  <c r="O1547" i="4"/>
  <c r="P1547" i="4"/>
  <c r="Q1547" i="4"/>
  <c r="J1548" i="4"/>
  <c r="K1548" i="4"/>
  <c r="L1548" i="4"/>
  <c r="M1548" i="4"/>
  <c r="N1548" i="4"/>
  <c r="O1548" i="4"/>
  <c r="P1548" i="4"/>
  <c r="Q1548" i="4"/>
  <c r="J1549" i="4"/>
  <c r="K1549" i="4"/>
  <c r="L1549" i="4"/>
  <c r="M1549" i="4"/>
  <c r="N1549" i="4"/>
  <c r="O1549" i="4"/>
  <c r="P1549" i="4"/>
  <c r="Q1549" i="4"/>
  <c r="J1550" i="4"/>
  <c r="K1550" i="4"/>
  <c r="L1550" i="4"/>
  <c r="M1550" i="4"/>
  <c r="N1550" i="4"/>
  <c r="O1550" i="4"/>
  <c r="P1550" i="4"/>
  <c r="Q1550" i="4"/>
  <c r="J1551" i="4"/>
  <c r="K1551" i="4"/>
  <c r="L1551" i="4"/>
  <c r="M1551" i="4"/>
  <c r="N1551" i="4"/>
  <c r="O1551" i="4"/>
  <c r="P1551" i="4"/>
  <c r="Q1551" i="4"/>
  <c r="J1552" i="4"/>
  <c r="K1552" i="4"/>
  <c r="L1552" i="4"/>
  <c r="M1552" i="4"/>
  <c r="N1552" i="4"/>
  <c r="O1552" i="4"/>
  <c r="P1552" i="4"/>
  <c r="Q1552" i="4"/>
  <c r="J1553" i="4"/>
  <c r="K1553" i="4"/>
  <c r="L1553" i="4"/>
  <c r="M1553" i="4"/>
  <c r="N1553" i="4"/>
  <c r="O1553" i="4"/>
  <c r="P1553" i="4"/>
  <c r="Q1553" i="4"/>
  <c r="J1554" i="4"/>
  <c r="K1554" i="4"/>
  <c r="L1554" i="4"/>
  <c r="M1554" i="4"/>
  <c r="N1554" i="4"/>
  <c r="O1554" i="4"/>
  <c r="P1554" i="4"/>
  <c r="Q1554" i="4"/>
  <c r="J1555" i="4"/>
  <c r="K1555" i="4"/>
  <c r="L1555" i="4"/>
  <c r="M1555" i="4"/>
  <c r="N1555" i="4"/>
  <c r="O1555" i="4"/>
  <c r="P1555" i="4"/>
  <c r="Q1555" i="4"/>
  <c r="J1556" i="4"/>
  <c r="K1556" i="4"/>
  <c r="L1556" i="4"/>
  <c r="M1556" i="4"/>
  <c r="N1556" i="4"/>
  <c r="O1556" i="4"/>
  <c r="P1556" i="4"/>
  <c r="Q1556" i="4"/>
  <c r="J1557" i="4"/>
  <c r="K1557" i="4"/>
  <c r="L1557" i="4"/>
  <c r="M1557" i="4"/>
  <c r="N1557" i="4"/>
  <c r="O1557" i="4"/>
  <c r="P1557" i="4"/>
  <c r="Q1557" i="4"/>
  <c r="J1558" i="4"/>
  <c r="K1558" i="4"/>
  <c r="L1558" i="4"/>
  <c r="M1558" i="4"/>
  <c r="N1558" i="4"/>
  <c r="O1558" i="4"/>
  <c r="P1558" i="4"/>
  <c r="Q1558" i="4"/>
  <c r="J1559" i="4"/>
  <c r="K1559" i="4"/>
  <c r="L1559" i="4"/>
  <c r="M1559" i="4"/>
  <c r="N1559" i="4"/>
  <c r="O1559" i="4"/>
  <c r="P1559" i="4"/>
  <c r="Q1559" i="4"/>
  <c r="J1560" i="4"/>
  <c r="K1560" i="4"/>
  <c r="L1560" i="4"/>
  <c r="M1560" i="4"/>
  <c r="N1560" i="4"/>
  <c r="O1560" i="4"/>
  <c r="P1560" i="4"/>
  <c r="Q1560" i="4"/>
  <c r="J1561" i="4"/>
  <c r="K1561" i="4"/>
  <c r="L1561" i="4"/>
  <c r="M1561" i="4"/>
  <c r="N1561" i="4"/>
  <c r="O1561" i="4"/>
  <c r="P1561" i="4"/>
  <c r="Q1561" i="4"/>
  <c r="J1562" i="4"/>
  <c r="K1562" i="4"/>
  <c r="L1562" i="4"/>
  <c r="M1562" i="4"/>
  <c r="N1562" i="4"/>
  <c r="O1562" i="4"/>
  <c r="P1562" i="4"/>
  <c r="Q1562" i="4"/>
  <c r="J1563" i="4"/>
  <c r="K1563" i="4"/>
  <c r="L1563" i="4"/>
  <c r="M1563" i="4"/>
  <c r="N1563" i="4"/>
  <c r="O1563" i="4"/>
  <c r="P1563" i="4"/>
  <c r="Q1563" i="4"/>
  <c r="J1564" i="4"/>
  <c r="K1564" i="4"/>
  <c r="L1564" i="4"/>
  <c r="M1564" i="4"/>
  <c r="N1564" i="4"/>
  <c r="O1564" i="4"/>
  <c r="P1564" i="4"/>
  <c r="Q1564" i="4"/>
  <c r="J1565" i="4"/>
  <c r="K1565" i="4"/>
  <c r="L1565" i="4"/>
  <c r="M1565" i="4"/>
  <c r="N1565" i="4"/>
  <c r="O1565" i="4"/>
  <c r="P1565" i="4"/>
  <c r="Q1565" i="4"/>
  <c r="J1566" i="4"/>
  <c r="K1566" i="4"/>
  <c r="L1566" i="4"/>
  <c r="M1566" i="4"/>
  <c r="N1566" i="4"/>
  <c r="O1566" i="4"/>
  <c r="P1566" i="4"/>
  <c r="Q1566" i="4"/>
  <c r="J1567" i="4"/>
  <c r="K1567" i="4"/>
  <c r="L1567" i="4"/>
  <c r="M1567" i="4"/>
  <c r="N1567" i="4"/>
  <c r="O1567" i="4"/>
  <c r="P1567" i="4"/>
  <c r="Q1567" i="4"/>
  <c r="J1568" i="4"/>
  <c r="K1568" i="4"/>
  <c r="L1568" i="4"/>
  <c r="M1568" i="4"/>
  <c r="N1568" i="4"/>
  <c r="O1568" i="4"/>
  <c r="P1568" i="4"/>
  <c r="Q1568" i="4"/>
  <c r="J1569" i="4"/>
  <c r="K1569" i="4"/>
  <c r="L1569" i="4"/>
  <c r="M1569" i="4"/>
  <c r="N1569" i="4"/>
  <c r="O1569" i="4"/>
  <c r="P1569" i="4"/>
  <c r="Q1569" i="4"/>
  <c r="J1570" i="4"/>
  <c r="K1570" i="4"/>
  <c r="L1570" i="4"/>
  <c r="M1570" i="4"/>
  <c r="N1570" i="4"/>
  <c r="O1570" i="4"/>
  <c r="P1570" i="4"/>
  <c r="Q1570" i="4"/>
  <c r="J1571" i="4"/>
  <c r="K1571" i="4"/>
  <c r="L1571" i="4"/>
  <c r="M1571" i="4"/>
  <c r="N1571" i="4"/>
  <c r="O1571" i="4"/>
  <c r="P1571" i="4"/>
  <c r="Q1571" i="4"/>
  <c r="J1572" i="4"/>
  <c r="K1572" i="4"/>
  <c r="L1572" i="4"/>
  <c r="M1572" i="4"/>
  <c r="N1572" i="4"/>
  <c r="O1572" i="4"/>
  <c r="P1572" i="4"/>
  <c r="Q1572" i="4"/>
  <c r="J1573" i="4"/>
  <c r="K1573" i="4"/>
  <c r="L1573" i="4"/>
  <c r="M1573" i="4"/>
  <c r="N1573" i="4"/>
  <c r="O1573" i="4"/>
  <c r="P1573" i="4"/>
  <c r="Q1573" i="4"/>
  <c r="J1574" i="4"/>
  <c r="K1574" i="4"/>
  <c r="L1574" i="4"/>
  <c r="M1574" i="4"/>
  <c r="N1574" i="4"/>
  <c r="O1574" i="4"/>
  <c r="P1574" i="4"/>
  <c r="Q1574" i="4"/>
  <c r="J1575" i="4"/>
  <c r="K1575" i="4"/>
  <c r="L1575" i="4"/>
  <c r="M1575" i="4"/>
  <c r="N1575" i="4"/>
  <c r="O1575" i="4"/>
  <c r="P1575" i="4"/>
  <c r="Q1575" i="4"/>
  <c r="J1576" i="4"/>
  <c r="K1576" i="4"/>
  <c r="L1576" i="4"/>
  <c r="M1576" i="4"/>
  <c r="N1576" i="4"/>
  <c r="O1576" i="4"/>
  <c r="P1576" i="4"/>
  <c r="Q1576" i="4"/>
  <c r="J1577" i="4"/>
  <c r="K1577" i="4"/>
  <c r="L1577" i="4"/>
  <c r="M1577" i="4"/>
  <c r="N1577" i="4"/>
  <c r="O1577" i="4"/>
  <c r="P1577" i="4"/>
  <c r="Q1577" i="4"/>
  <c r="J1578" i="4"/>
  <c r="K1578" i="4"/>
  <c r="L1578" i="4"/>
  <c r="M1578" i="4"/>
  <c r="N1578" i="4"/>
  <c r="O1578" i="4"/>
  <c r="P1578" i="4"/>
  <c r="Q1578" i="4"/>
  <c r="J1579" i="4"/>
  <c r="K1579" i="4"/>
  <c r="L1579" i="4"/>
  <c r="M1579" i="4"/>
  <c r="N1579" i="4"/>
  <c r="O1579" i="4"/>
  <c r="P1579" i="4"/>
  <c r="Q1579" i="4"/>
  <c r="J1580" i="4"/>
  <c r="K1580" i="4"/>
  <c r="L1580" i="4"/>
  <c r="M1580" i="4"/>
  <c r="N1580" i="4"/>
  <c r="O1580" i="4"/>
  <c r="P1580" i="4"/>
  <c r="Q1580" i="4"/>
  <c r="J1581" i="4"/>
  <c r="K1581" i="4"/>
  <c r="L1581" i="4"/>
  <c r="M1581" i="4"/>
  <c r="N1581" i="4"/>
  <c r="O1581" i="4"/>
  <c r="P1581" i="4"/>
  <c r="Q1581" i="4"/>
  <c r="J1582" i="4"/>
  <c r="K1582" i="4"/>
  <c r="L1582" i="4"/>
  <c r="M1582" i="4"/>
  <c r="N1582" i="4"/>
  <c r="O1582" i="4"/>
  <c r="P1582" i="4"/>
  <c r="Q1582" i="4"/>
  <c r="J1583" i="4"/>
  <c r="K1583" i="4"/>
  <c r="L1583" i="4"/>
  <c r="M1583" i="4"/>
  <c r="N1583" i="4"/>
  <c r="O1583" i="4"/>
  <c r="P1583" i="4"/>
  <c r="Q1583" i="4"/>
  <c r="J1584" i="4"/>
  <c r="K1584" i="4"/>
  <c r="L1584" i="4"/>
  <c r="M1584" i="4"/>
  <c r="N1584" i="4"/>
  <c r="O1584" i="4"/>
  <c r="P1584" i="4"/>
  <c r="Q1584" i="4"/>
  <c r="J1585" i="4"/>
  <c r="K1585" i="4"/>
  <c r="L1585" i="4"/>
  <c r="M1585" i="4"/>
  <c r="N1585" i="4"/>
  <c r="O1585" i="4"/>
  <c r="P1585" i="4"/>
  <c r="Q1585" i="4"/>
  <c r="J1586" i="4"/>
  <c r="K1586" i="4"/>
  <c r="L1586" i="4"/>
  <c r="M1586" i="4"/>
  <c r="N1586" i="4"/>
  <c r="O1586" i="4"/>
  <c r="P1586" i="4"/>
  <c r="Q1586" i="4"/>
  <c r="J1587" i="4"/>
  <c r="K1587" i="4"/>
  <c r="L1587" i="4"/>
  <c r="M1587" i="4"/>
  <c r="N1587" i="4"/>
  <c r="O1587" i="4"/>
  <c r="P1587" i="4"/>
  <c r="Q1587" i="4"/>
  <c r="J1588" i="4"/>
  <c r="K1588" i="4"/>
  <c r="L1588" i="4"/>
  <c r="M1588" i="4"/>
  <c r="N1588" i="4"/>
  <c r="O1588" i="4"/>
  <c r="P1588" i="4"/>
  <c r="Q1588" i="4"/>
  <c r="J1589" i="4"/>
  <c r="K1589" i="4"/>
  <c r="L1589" i="4"/>
  <c r="M1589" i="4"/>
  <c r="N1589" i="4"/>
  <c r="O1589" i="4"/>
  <c r="P1589" i="4"/>
  <c r="Q1589" i="4"/>
  <c r="J1590" i="4"/>
  <c r="K1590" i="4"/>
  <c r="L1590" i="4"/>
  <c r="M1590" i="4"/>
  <c r="N1590" i="4"/>
  <c r="O1590" i="4"/>
  <c r="P1590" i="4"/>
  <c r="Q1590" i="4"/>
  <c r="J1591" i="4"/>
  <c r="K1591" i="4"/>
  <c r="L1591" i="4"/>
  <c r="M1591" i="4"/>
  <c r="N1591" i="4"/>
  <c r="O1591" i="4"/>
  <c r="P1591" i="4"/>
  <c r="Q1591" i="4"/>
  <c r="J1592" i="4"/>
  <c r="K1592" i="4"/>
  <c r="L1592" i="4"/>
  <c r="M1592" i="4"/>
  <c r="N1592" i="4"/>
  <c r="O1592" i="4"/>
  <c r="P1592" i="4"/>
  <c r="Q1592" i="4"/>
  <c r="J1593" i="4"/>
  <c r="K1593" i="4"/>
  <c r="L1593" i="4"/>
  <c r="M1593" i="4"/>
  <c r="N1593" i="4"/>
  <c r="O1593" i="4"/>
  <c r="P1593" i="4"/>
  <c r="Q1593" i="4"/>
  <c r="J1594" i="4"/>
  <c r="K1594" i="4"/>
  <c r="L1594" i="4"/>
  <c r="M1594" i="4"/>
  <c r="N1594" i="4"/>
  <c r="O1594" i="4"/>
  <c r="P1594" i="4"/>
  <c r="Q1594" i="4"/>
  <c r="J1595" i="4"/>
  <c r="K1595" i="4"/>
  <c r="L1595" i="4"/>
  <c r="M1595" i="4"/>
  <c r="N1595" i="4"/>
  <c r="O1595" i="4"/>
  <c r="P1595" i="4"/>
  <c r="Q1595" i="4"/>
  <c r="J1596" i="4"/>
  <c r="K1596" i="4"/>
  <c r="L1596" i="4"/>
  <c r="M1596" i="4"/>
  <c r="N1596" i="4"/>
  <c r="O1596" i="4"/>
  <c r="P1596" i="4"/>
  <c r="Q1596" i="4"/>
  <c r="J1597" i="4"/>
  <c r="K1597" i="4"/>
  <c r="L1597" i="4"/>
  <c r="M1597" i="4"/>
  <c r="N1597" i="4"/>
  <c r="O1597" i="4"/>
  <c r="P1597" i="4"/>
  <c r="Q1597" i="4"/>
  <c r="J1598" i="4"/>
  <c r="K1598" i="4"/>
  <c r="L1598" i="4"/>
  <c r="M1598" i="4"/>
  <c r="N1598" i="4"/>
  <c r="O1598" i="4"/>
  <c r="P1598" i="4"/>
  <c r="Q1598" i="4"/>
  <c r="J1599" i="4"/>
  <c r="K1599" i="4"/>
  <c r="L1599" i="4"/>
  <c r="M1599" i="4"/>
  <c r="N1599" i="4"/>
  <c r="O1599" i="4"/>
  <c r="P1599" i="4"/>
  <c r="Q1599" i="4"/>
  <c r="J1600" i="4"/>
  <c r="K1600" i="4"/>
  <c r="L1600" i="4"/>
  <c r="M1600" i="4"/>
  <c r="N1600" i="4"/>
  <c r="O1600" i="4"/>
  <c r="P1600" i="4"/>
  <c r="Q1600" i="4"/>
  <c r="J1601" i="4"/>
  <c r="K1601" i="4"/>
  <c r="L1601" i="4"/>
  <c r="M1601" i="4"/>
  <c r="N1601" i="4"/>
  <c r="O1601" i="4"/>
  <c r="P1601" i="4"/>
  <c r="Q1601" i="4"/>
  <c r="J1602" i="4"/>
  <c r="K1602" i="4"/>
  <c r="L1602" i="4"/>
  <c r="M1602" i="4"/>
  <c r="N1602" i="4"/>
  <c r="O1602" i="4"/>
  <c r="P1602" i="4"/>
  <c r="Q1602" i="4"/>
  <c r="J1603" i="4"/>
  <c r="K1603" i="4"/>
  <c r="L1603" i="4"/>
  <c r="M1603" i="4"/>
  <c r="N1603" i="4"/>
  <c r="O1603" i="4"/>
  <c r="P1603" i="4"/>
  <c r="Q1603" i="4"/>
  <c r="J1604" i="4"/>
  <c r="K1604" i="4"/>
  <c r="L1604" i="4"/>
  <c r="M1604" i="4"/>
  <c r="N1604" i="4"/>
  <c r="O1604" i="4"/>
  <c r="P1604" i="4"/>
  <c r="Q1604" i="4"/>
  <c r="J1605" i="4"/>
  <c r="K1605" i="4"/>
  <c r="L1605" i="4"/>
  <c r="M1605" i="4"/>
  <c r="N1605" i="4"/>
  <c r="O1605" i="4"/>
  <c r="P1605" i="4"/>
  <c r="Q1605" i="4"/>
  <c r="J1606" i="4"/>
  <c r="K1606" i="4"/>
  <c r="L1606" i="4"/>
  <c r="M1606" i="4"/>
  <c r="N1606" i="4"/>
  <c r="O1606" i="4"/>
  <c r="P1606" i="4"/>
  <c r="Q1606" i="4"/>
  <c r="J1607" i="4"/>
  <c r="K1607" i="4"/>
  <c r="L1607" i="4"/>
  <c r="M1607" i="4"/>
  <c r="N1607" i="4"/>
  <c r="O1607" i="4"/>
  <c r="P1607" i="4"/>
  <c r="Q1607" i="4"/>
  <c r="J1608" i="4"/>
  <c r="K1608" i="4"/>
  <c r="L1608" i="4"/>
  <c r="M1608" i="4"/>
  <c r="N1608" i="4"/>
  <c r="O1608" i="4"/>
  <c r="P1608" i="4"/>
  <c r="Q1608" i="4"/>
  <c r="J1609" i="4"/>
  <c r="K1609" i="4"/>
  <c r="L1609" i="4"/>
  <c r="M1609" i="4"/>
  <c r="N1609" i="4"/>
  <c r="O1609" i="4"/>
  <c r="P1609" i="4"/>
  <c r="Q1609" i="4"/>
  <c r="J1610" i="4"/>
  <c r="K1610" i="4"/>
  <c r="L1610" i="4"/>
  <c r="M1610" i="4"/>
  <c r="N1610" i="4"/>
  <c r="O1610" i="4"/>
  <c r="P1610" i="4"/>
  <c r="Q1610" i="4"/>
  <c r="J1611" i="4"/>
  <c r="K1611" i="4"/>
  <c r="L1611" i="4"/>
  <c r="M1611" i="4"/>
  <c r="N1611" i="4"/>
  <c r="O1611" i="4"/>
  <c r="P1611" i="4"/>
  <c r="Q1611" i="4"/>
  <c r="J1612" i="4"/>
  <c r="K1612" i="4"/>
  <c r="L1612" i="4"/>
  <c r="M1612" i="4"/>
  <c r="N1612" i="4"/>
  <c r="O1612" i="4"/>
  <c r="P1612" i="4"/>
  <c r="Q1612" i="4"/>
  <c r="J1613" i="4"/>
  <c r="K1613" i="4"/>
  <c r="L1613" i="4"/>
  <c r="M1613" i="4"/>
  <c r="N1613" i="4"/>
  <c r="O1613" i="4"/>
  <c r="P1613" i="4"/>
  <c r="Q1613" i="4"/>
  <c r="J1614" i="4"/>
  <c r="K1614" i="4"/>
  <c r="L1614" i="4"/>
  <c r="M1614" i="4"/>
  <c r="N1614" i="4"/>
  <c r="O1614" i="4"/>
  <c r="P1614" i="4"/>
  <c r="Q1614" i="4"/>
  <c r="J1615" i="4"/>
  <c r="K1615" i="4"/>
  <c r="L1615" i="4"/>
  <c r="M1615" i="4"/>
  <c r="N1615" i="4"/>
  <c r="O1615" i="4"/>
  <c r="P1615" i="4"/>
  <c r="Q1615" i="4"/>
  <c r="J1616" i="4"/>
  <c r="K1616" i="4"/>
  <c r="L1616" i="4"/>
  <c r="M1616" i="4"/>
  <c r="N1616" i="4"/>
  <c r="O1616" i="4"/>
  <c r="P1616" i="4"/>
  <c r="Q1616" i="4"/>
  <c r="J1617" i="4"/>
  <c r="K1617" i="4"/>
  <c r="L1617" i="4"/>
  <c r="M1617" i="4"/>
  <c r="N1617" i="4"/>
  <c r="O1617" i="4"/>
  <c r="P1617" i="4"/>
  <c r="Q1617" i="4"/>
  <c r="J1618" i="4"/>
  <c r="K1618" i="4"/>
  <c r="L1618" i="4"/>
  <c r="M1618" i="4"/>
  <c r="N1618" i="4"/>
  <c r="O1618" i="4"/>
  <c r="P1618" i="4"/>
  <c r="Q1618" i="4"/>
  <c r="J1619" i="4"/>
  <c r="K1619" i="4"/>
  <c r="L1619" i="4"/>
  <c r="M1619" i="4"/>
  <c r="N1619" i="4"/>
  <c r="O1619" i="4"/>
  <c r="P1619" i="4"/>
  <c r="Q1619" i="4"/>
  <c r="J1620" i="4"/>
  <c r="K1620" i="4"/>
  <c r="L1620" i="4"/>
  <c r="M1620" i="4"/>
  <c r="N1620" i="4"/>
  <c r="O1620" i="4"/>
  <c r="P1620" i="4"/>
  <c r="Q1620" i="4"/>
  <c r="J1621" i="4"/>
  <c r="K1621" i="4"/>
  <c r="L1621" i="4"/>
  <c r="M1621" i="4"/>
  <c r="N1621" i="4"/>
  <c r="O1621" i="4"/>
  <c r="P1621" i="4"/>
  <c r="Q1621" i="4"/>
  <c r="J1622" i="4"/>
  <c r="K1622" i="4"/>
  <c r="L1622" i="4"/>
  <c r="M1622" i="4"/>
  <c r="N1622" i="4"/>
  <c r="O1622" i="4"/>
  <c r="P1622" i="4"/>
  <c r="Q1622" i="4"/>
  <c r="J1623" i="4"/>
  <c r="K1623" i="4"/>
  <c r="L1623" i="4"/>
  <c r="M1623" i="4"/>
  <c r="N1623" i="4"/>
  <c r="O1623" i="4"/>
  <c r="P1623" i="4"/>
  <c r="Q1623" i="4"/>
  <c r="J1624" i="4"/>
  <c r="K1624" i="4"/>
  <c r="L1624" i="4"/>
  <c r="M1624" i="4"/>
  <c r="N1624" i="4"/>
  <c r="O1624" i="4"/>
  <c r="P1624" i="4"/>
  <c r="Q1624" i="4"/>
  <c r="J1625" i="4"/>
  <c r="K1625" i="4"/>
  <c r="L1625" i="4"/>
  <c r="M1625" i="4"/>
  <c r="N1625" i="4"/>
  <c r="O1625" i="4"/>
  <c r="P1625" i="4"/>
  <c r="Q1625" i="4"/>
  <c r="J1626" i="4"/>
  <c r="K1626" i="4"/>
  <c r="L1626" i="4"/>
  <c r="M1626" i="4"/>
  <c r="N1626" i="4"/>
  <c r="O1626" i="4"/>
  <c r="P1626" i="4"/>
  <c r="Q1626" i="4"/>
  <c r="J1627" i="4"/>
  <c r="K1627" i="4"/>
  <c r="L1627" i="4"/>
  <c r="M1627" i="4"/>
  <c r="N1627" i="4"/>
  <c r="O1627" i="4"/>
  <c r="P1627" i="4"/>
  <c r="Q1627" i="4"/>
  <c r="J1628" i="4"/>
  <c r="K1628" i="4"/>
  <c r="L1628" i="4"/>
  <c r="M1628" i="4"/>
  <c r="N1628" i="4"/>
  <c r="O1628" i="4"/>
  <c r="P1628" i="4"/>
  <c r="Q1628" i="4"/>
  <c r="J1629" i="4"/>
  <c r="K1629" i="4"/>
  <c r="L1629" i="4"/>
  <c r="M1629" i="4"/>
  <c r="N1629" i="4"/>
  <c r="O1629" i="4"/>
  <c r="P1629" i="4"/>
  <c r="Q1629" i="4"/>
  <c r="J1630" i="4"/>
  <c r="K1630" i="4"/>
  <c r="L1630" i="4"/>
  <c r="M1630" i="4"/>
  <c r="N1630" i="4"/>
  <c r="O1630" i="4"/>
  <c r="P1630" i="4"/>
  <c r="Q1630" i="4"/>
  <c r="J1631" i="4"/>
  <c r="K1631" i="4"/>
  <c r="L1631" i="4"/>
  <c r="M1631" i="4"/>
  <c r="N1631" i="4"/>
  <c r="O1631" i="4"/>
  <c r="P1631" i="4"/>
  <c r="Q1631" i="4"/>
  <c r="J1632" i="4"/>
  <c r="K1632" i="4"/>
  <c r="L1632" i="4"/>
  <c r="M1632" i="4"/>
  <c r="N1632" i="4"/>
  <c r="O1632" i="4"/>
  <c r="P1632" i="4"/>
  <c r="Q1632" i="4"/>
  <c r="J1633" i="4"/>
  <c r="K1633" i="4"/>
  <c r="L1633" i="4"/>
  <c r="M1633" i="4"/>
  <c r="N1633" i="4"/>
  <c r="O1633" i="4"/>
  <c r="P1633" i="4"/>
  <c r="Q1633" i="4"/>
  <c r="J1634" i="4"/>
  <c r="K1634" i="4"/>
  <c r="L1634" i="4"/>
  <c r="M1634" i="4"/>
  <c r="N1634" i="4"/>
  <c r="O1634" i="4"/>
  <c r="P1634" i="4"/>
  <c r="Q1634" i="4"/>
  <c r="J1635" i="4"/>
  <c r="K1635" i="4"/>
  <c r="L1635" i="4"/>
  <c r="M1635" i="4"/>
  <c r="N1635" i="4"/>
  <c r="O1635" i="4"/>
  <c r="P1635" i="4"/>
  <c r="Q1635" i="4"/>
  <c r="J1636" i="4"/>
  <c r="K1636" i="4"/>
  <c r="L1636" i="4"/>
  <c r="M1636" i="4"/>
  <c r="N1636" i="4"/>
  <c r="O1636" i="4"/>
  <c r="P1636" i="4"/>
  <c r="Q1636" i="4"/>
  <c r="J1637" i="4"/>
  <c r="K1637" i="4"/>
  <c r="L1637" i="4"/>
  <c r="M1637" i="4"/>
  <c r="N1637" i="4"/>
  <c r="O1637" i="4"/>
  <c r="P1637" i="4"/>
  <c r="Q1637" i="4"/>
  <c r="J1638" i="4"/>
  <c r="K1638" i="4"/>
  <c r="L1638" i="4"/>
  <c r="M1638" i="4"/>
  <c r="N1638" i="4"/>
  <c r="O1638" i="4"/>
  <c r="P1638" i="4"/>
  <c r="Q1638" i="4"/>
  <c r="J1639" i="4"/>
  <c r="K1639" i="4"/>
  <c r="L1639" i="4"/>
  <c r="M1639" i="4"/>
  <c r="N1639" i="4"/>
  <c r="O1639" i="4"/>
  <c r="P1639" i="4"/>
  <c r="Q1639" i="4"/>
  <c r="J1640" i="4"/>
  <c r="K1640" i="4"/>
  <c r="L1640" i="4"/>
  <c r="M1640" i="4"/>
  <c r="N1640" i="4"/>
  <c r="O1640" i="4"/>
  <c r="P1640" i="4"/>
  <c r="Q1640" i="4"/>
  <c r="J1641" i="4"/>
  <c r="K1641" i="4"/>
  <c r="L1641" i="4"/>
  <c r="M1641" i="4"/>
  <c r="N1641" i="4"/>
  <c r="O1641" i="4"/>
  <c r="P1641" i="4"/>
  <c r="Q1641" i="4"/>
  <c r="J1642" i="4"/>
  <c r="K1642" i="4"/>
  <c r="L1642" i="4"/>
  <c r="M1642" i="4"/>
  <c r="N1642" i="4"/>
  <c r="O1642" i="4"/>
  <c r="P1642" i="4"/>
  <c r="Q1642" i="4"/>
  <c r="J1643" i="4"/>
  <c r="K1643" i="4"/>
  <c r="L1643" i="4"/>
  <c r="M1643" i="4"/>
  <c r="N1643" i="4"/>
  <c r="O1643" i="4"/>
  <c r="P1643" i="4"/>
  <c r="Q1643" i="4"/>
  <c r="J1644" i="4"/>
  <c r="K1644" i="4"/>
  <c r="L1644" i="4"/>
  <c r="M1644" i="4"/>
  <c r="N1644" i="4"/>
  <c r="O1644" i="4"/>
  <c r="P1644" i="4"/>
  <c r="Q1644" i="4"/>
  <c r="J1645" i="4"/>
  <c r="K1645" i="4"/>
  <c r="L1645" i="4"/>
  <c r="M1645" i="4"/>
  <c r="N1645" i="4"/>
  <c r="O1645" i="4"/>
  <c r="P1645" i="4"/>
  <c r="Q1645" i="4"/>
  <c r="J1646" i="4"/>
  <c r="K1646" i="4"/>
  <c r="L1646" i="4"/>
  <c r="M1646" i="4"/>
  <c r="N1646" i="4"/>
  <c r="O1646" i="4"/>
  <c r="P1646" i="4"/>
  <c r="Q1646" i="4"/>
  <c r="J1647" i="4"/>
  <c r="K1647" i="4"/>
  <c r="L1647" i="4"/>
  <c r="M1647" i="4"/>
  <c r="N1647" i="4"/>
  <c r="O1647" i="4"/>
  <c r="P1647" i="4"/>
  <c r="Q1647" i="4"/>
  <c r="J1648" i="4"/>
  <c r="K1648" i="4"/>
  <c r="L1648" i="4"/>
  <c r="M1648" i="4"/>
  <c r="N1648" i="4"/>
  <c r="O1648" i="4"/>
  <c r="P1648" i="4"/>
  <c r="Q1648" i="4"/>
  <c r="J1649" i="4"/>
  <c r="K1649" i="4"/>
  <c r="L1649" i="4"/>
  <c r="M1649" i="4"/>
  <c r="N1649" i="4"/>
  <c r="O1649" i="4"/>
  <c r="P1649" i="4"/>
  <c r="Q1649" i="4"/>
  <c r="J1650" i="4"/>
  <c r="K1650" i="4"/>
  <c r="L1650" i="4"/>
  <c r="M1650" i="4"/>
  <c r="N1650" i="4"/>
  <c r="O1650" i="4"/>
  <c r="P1650" i="4"/>
  <c r="Q1650" i="4"/>
  <c r="J1651" i="4"/>
  <c r="K1651" i="4"/>
  <c r="L1651" i="4"/>
  <c r="M1651" i="4"/>
  <c r="N1651" i="4"/>
  <c r="O1651" i="4"/>
  <c r="P1651" i="4"/>
  <c r="Q1651" i="4"/>
  <c r="J1652" i="4"/>
  <c r="K1652" i="4"/>
  <c r="L1652" i="4"/>
  <c r="M1652" i="4"/>
  <c r="N1652" i="4"/>
  <c r="O1652" i="4"/>
  <c r="P1652" i="4"/>
  <c r="Q1652" i="4"/>
  <c r="J1653" i="4"/>
  <c r="K1653" i="4"/>
  <c r="L1653" i="4"/>
  <c r="M1653" i="4"/>
  <c r="N1653" i="4"/>
  <c r="O1653" i="4"/>
  <c r="P1653" i="4"/>
  <c r="Q1653" i="4"/>
  <c r="J1654" i="4"/>
  <c r="K1654" i="4"/>
  <c r="L1654" i="4"/>
  <c r="M1654" i="4"/>
  <c r="N1654" i="4"/>
  <c r="O1654" i="4"/>
  <c r="P1654" i="4"/>
  <c r="Q1654" i="4"/>
  <c r="J1655" i="4"/>
  <c r="K1655" i="4"/>
  <c r="L1655" i="4"/>
  <c r="M1655" i="4"/>
  <c r="N1655" i="4"/>
  <c r="O1655" i="4"/>
  <c r="P1655" i="4"/>
  <c r="Q1655" i="4"/>
  <c r="J1656" i="4"/>
  <c r="K1656" i="4"/>
  <c r="L1656" i="4"/>
  <c r="M1656" i="4"/>
  <c r="N1656" i="4"/>
  <c r="O1656" i="4"/>
  <c r="P1656" i="4"/>
  <c r="Q1656" i="4"/>
  <c r="J1657" i="4"/>
  <c r="K1657" i="4"/>
  <c r="L1657" i="4"/>
  <c r="M1657" i="4"/>
  <c r="N1657" i="4"/>
  <c r="O1657" i="4"/>
  <c r="P1657" i="4"/>
  <c r="Q1657" i="4"/>
  <c r="J1658" i="4"/>
  <c r="K1658" i="4"/>
  <c r="L1658" i="4"/>
  <c r="M1658" i="4"/>
  <c r="N1658" i="4"/>
  <c r="O1658" i="4"/>
  <c r="P1658" i="4"/>
  <c r="Q1658" i="4"/>
  <c r="J1659" i="4"/>
  <c r="K1659" i="4"/>
  <c r="L1659" i="4"/>
  <c r="M1659" i="4"/>
  <c r="N1659" i="4"/>
  <c r="O1659" i="4"/>
  <c r="P1659" i="4"/>
  <c r="Q1659" i="4"/>
  <c r="J1660" i="4"/>
  <c r="K1660" i="4"/>
  <c r="L1660" i="4"/>
  <c r="M1660" i="4"/>
  <c r="N1660" i="4"/>
  <c r="O1660" i="4"/>
  <c r="P1660" i="4"/>
  <c r="Q1660" i="4"/>
  <c r="J1661" i="4"/>
  <c r="K1661" i="4"/>
  <c r="L1661" i="4"/>
  <c r="M1661" i="4"/>
  <c r="N1661" i="4"/>
  <c r="O1661" i="4"/>
  <c r="P1661" i="4"/>
  <c r="Q1661" i="4"/>
  <c r="J1662" i="4"/>
  <c r="K1662" i="4"/>
  <c r="L1662" i="4"/>
  <c r="M1662" i="4"/>
  <c r="N1662" i="4"/>
  <c r="O1662" i="4"/>
  <c r="P1662" i="4"/>
  <c r="Q1662" i="4"/>
  <c r="J1663" i="4"/>
  <c r="K1663" i="4"/>
  <c r="L1663" i="4"/>
  <c r="M1663" i="4"/>
  <c r="N1663" i="4"/>
  <c r="O1663" i="4"/>
  <c r="P1663" i="4"/>
  <c r="Q1663" i="4"/>
  <c r="J1664" i="4"/>
  <c r="K1664" i="4"/>
  <c r="L1664" i="4"/>
  <c r="M1664" i="4"/>
  <c r="N1664" i="4"/>
  <c r="O1664" i="4"/>
  <c r="P1664" i="4"/>
  <c r="Q1664" i="4"/>
  <c r="J1665" i="4"/>
  <c r="K1665" i="4"/>
  <c r="L1665" i="4"/>
  <c r="M1665" i="4"/>
  <c r="N1665" i="4"/>
  <c r="O1665" i="4"/>
  <c r="P1665" i="4"/>
  <c r="Q1665" i="4"/>
  <c r="J1666" i="4"/>
  <c r="K1666" i="4"/>
  <c r="L1666" i="4"/>
  <c r="M1666" i="4"/>
  <c r="N1666" i="4"/>
  <c r="O1666" i="4"/>
  <c r="P1666" i="4"/>
  <c r="Q1666" i="4"/>
  <c r="J1667" i="4"/>
  <c r="K1667" i="4"/>
  <c r="L1667" i="4"/>
  <c r="M1667" i="4"/>
  <c r="N1667" i="4"/>
  <c r="O1667" i="4"/>
  <c r="P1667" i="4"/>
  <c r="Q1667" i="4"/>
  <c r="J1668" i="4"/>
  <c r="K1668" i="4"/>
  <c r="L1668" i="4"/>
  <c r="M1668" i="4"/>
  <c r="N1668" i="4"/>
  <c r="O1668" i="4"/>
  <c r="P1668" i="4"/>
  <c r="Q1668" i="4"/>
  <c r="J1669" i="4"/>
  <c r="K1669" i="4"/>
  <c r="L1669" i="4"/>
  <c r="M1669" i="4"/>
  <c r="N1669" i="4"/>
  <c r="O1669" i="4"/>
  <c r="P1669" i="4"/>
  <c r="Q1669" i="4"/>
  <c r="J1670" i="4"/>
  <c r="K1670" i="4"/>
  <c r="L1670" i="4"/>
  <c r="M1670" i="4"/>
  <c r="N1670" i="4"/>
  <c r="O1670" i="4"/>
  <c r="P1670" i="4"/>
  <c r="Q1670" i="4"/>
  <c r="J1671" i="4"/>
  <c r="K1671" i="4"/>
  <c r="L1671" i="4"/>
  <c r="M1671" i="4"/>
  <c r="N1671" i="4"/>
  <c r="O1671" i="4"/>
  <c r="P1671" i="4"/>
  <c r="Q1671" i="4"/>
  <c r="J1672" i="4"/>
  <c r="K1672" i="4"/>
  <c r="L1672" i="4"/>
  <c r="M1672" i="4"/>
  <c r="N1672" i="4"/>
  <c r="O1672" i="4"/>
  <c r="P1672" i="4"/>
  <c r="Q1672" i="4"/>
  <c r="J1673" i="4"/>
  <c r="K1673" i="4"/>
  <c r="L1673" i="4"/>
  <c r="M1673" i="4"/>
  <c r="N1673" i="4"/>
  <c r="O1673" i="4"/>
  <c r="P1673" i="4"/>
  <c r="Q1673" i="4"/>
  <c r="J1674" i="4"/>
  <c r="K1674" i="4"/>
  <c r="L1674" i="4"/>
  <c r="M1674" i="4"/>
  <c r="N1674" i="4"/>
  <c r="O1674" i="4"/>
  <c r="P1674" i="4"/>
  <c r="Q1674" i="4"/>
  <c r="J1675" i="4"/>
  <c r="K1675" i="4"/>
  <c r="L1675" i="4"/>
  <c r="M1675" i="4"/>
  <c r="N1675" i="4"/>
  <c r="O1675" i="4"/>
  <c r="P1675" i="4"/>
  <c r="Q1675" i="4"/>
  <c r="J1676" i="4"/>
  <c r="K1676" i="4"/>
  <c r="L1676" i="4"/>
  <c r="M1676" i="4"/>
  <c r="N1676" i="4"/>
  <c r="O1676" i="4"/>
  <c r="P1676" i="4"/>
  <c r="Q1676" i="4"/>
  <c r="J1677" i="4"/>
  <c r="K1677" i="4"/>
  <c r="L1677" i="4"/>
  <c r="M1677" i="4"/>
  <c r="N1677" i="4"/>
  <c r="O1677" i="4"/>
  <c r="P1677" i="4"/>
  <c r="Q1677" i="4"/>
  <c r="J1678" i="4"/>
  <c r="K1678" i="4"/>
  <c r="L1678" i="4"/>
  <c r="M1678" i="4"/>
  <c r="N1678" i="4"/>
  <c r="O1678" i="4"/>
  <c r="P1678" i="4"/>
  <c r="Q1678" i="4"/>
  <c r="J1679" i="4"/>
  <c r="K1679" i="4"/>
  <c r="L1679" i="4"/>
  <c r="M1679" i="4"/>
  <c r="N1679" i="4"/>
  <c r="O1679" i="4"/>
  <c r="P1679" i="4"/>
  <c r="Q1679" i="4"/>
  <c r="J1680" i="4"/>
  <c r="K1680" i="4"/>
  <c r="L1680" i="4"/>
  <c r="M1680" i="4"/>
  <c r="N1680" i="4"/>
  <c r="O1680" i="4"/>
  <c r="P1680" i="4"/>
  <c r="Q1680" i="4"/>
  <c r="J1681" i="4"/>
  <c r="K1681" i="4"/>
  <c r="L1681" i="4"/>
  <c r="M1681" i="4"/>
  <c r="N1681" i="4"/>
  <c r="O1681" i="4"/>
  <c r="P1681" i="4"/>
  <c r="Q1681" i="4"/>
  <c r="J1682" i="4"/>
  <c r="K1682" i="4"/>
  <c r="L1682" i="4"/>
  <c r="M1682" i="4"/>
  <c r="N1682" i="4"/>
  <c r="O1682" i="4"/>
  <c r="P1682" i="4"/>
  <c r="Q1682" i="4"/>
  <c r="J1683" i="4"/>
  <c r="K1683" i="4"/>
  <c r="L1683" i="4"/>
  <c r="M1683" i="4"/>
  <c r="N1683" i="4"/>
  <c r="O1683" i="4"/>
  <c r="P1683" i="4"/>
  <c r="Q1683" i="4"/>
  <c r="J1684" i="4"/>
  <c r="K1684" i="4"/>
  <c r="L1684" i="4"/>
  <c r="M1684" i="4"/>
  <c r="N1684" i="4"/>
  <c r="O1684" i="4"/>
  <c r="P1684" i="4"/>
  <c r="Q1684" i="4"/>
  <c r="J1685" i="4"/>
  <c r="K1685" i="4"/>
  <c r="L1685" i="4"/>
  <c r="M1685" i="4"/>
  <c r="N1685" i="4"/>
  <c r="O1685" i="4"/>
  <c r="P1685" i="4"/>
  <c r="Q1685" i="4"/>
  <c r="J1686" i="4"/>
  <c r="K1686" i="4"/>
  <c r="L1686" i="4"/>
  <c r="M1686" i="4"/>
  <c r="N1686" i="4"/>
  <c r="O1686" i="4"/>
  <c r="P1686" i="4"/>
  <c r="Q1686" i="4"/>
  <c r="J1687" i="4"/>
  <c r="K1687" i="4"/>
  <c r="L1687" i="4"/>
  <c r="M1687" i="4"/>
  <c r="N1687" i="4"/>
  <c r="O1687" i="4"/>
  <c r="P1687" i="4"/>
  <c r="Q1687" i="4"/>
  <c r="J1688" i="4"/>
  <c r="K1688" i="4"/>
  <c r="L1688" i="4"/>
  <c r="M1688" i="4"/>
  <c r="N1688" i="4"/>
  <c r="O1688" i="4"/>
  <c r="P1688" i="4"/>
  <c r="Q1688" i="4"/>
  <c r="J1689" i="4"/>
  <c r="K1689" i="4"/>
  <c r="L1689" i="4"/>
  <c r="M1689" i="4"/>
  <c r="N1689" i="4"/>
  <c r="O1689" i="4"/>
  <c r="P1689" i="4"/>
  <c r="Q1689" i="4"/>
  <c r="J1690" i="4"/>
  <c r="K1690" i="4"/>
  <c r="L1690" i="4"/>
  <c r="M1690" i="4"/>
  <c r="N1690" i="4"/>
  <c r="O1690" i="4"/>
  <c r="P1690" i="4"/>
  <c r="Q1690" i="4"/>
  <c r="J1691" i="4"/>
  <c r="K1691" i="4"/>
  <c r="L1691" i="4"/>
  <c r="M1691" i="4"/>
  <c r="N1691" i="4"/>
  <c r="O1691" i="4"/>
  <c r="P1691" i="4"/>
  <c r="Q1691" i="4"/>
  <c r="J1692" i="4"/>
  <c r="K1692" i="4"/>
  <c r="L1692" i="4"/>
  <c r="M1692" i="4"/>
  <c r="N1692" i="4"/>
  <c r="O1692" i="4"/>
  <c r="P1692" i="4"/>
  <c r="Q1692" i="4"/>
  <c r="J1693" i="4"/>
  <c r="K1693" i="4"/>
  <c r="L1693" i="4"/>
  <c r="M1693" i="4"/>
  <c r="N1693" i="4"/>
  <c r="O1693" i="4"/>
  <c r="P1693" i="4"/>
  <c r="Q1693" i="4"/>
  <c r="J1694" i="4"/>
  <c r="K1694" i="4"/>
  <c r="L1694" i="4"/>
  <c r="M1694" i="4"/>
  <c r="N1694" i="4"/>
  <c r="O1694" i="4"/>
  <c r="P1694" i="4"/>
  <c r="Q1694" i="4"/>
  <c r="J1695" i="4"/>
  <c r="K1695" i="4"/>
  <c r="L1695" i="4"/>
  <c r="M1695" i="4"/>
  <c r="N1695" i="4"/>
  <c r="O1695" i="4"/>
  <c r="P1695" i="4"/>
  <c r="Q1695" i="4"/>
  <c r="J1696" i="4"/>
  <c r="K1696" i="4"/>
  <c r="L1696" i="4"/>
  <c r="M1696" i="4"/>
  <c r="N1696" i="4"/>
  <c r="O1696" i="4"/>
  <c r="P1696" i="4"/>
  <c r="Q1696" i="4"/>
  <c r="J1697" i="4"/>
  <c r="K1697" i="4"/>
  <c r="L1697" i="4"/>
  <c r="M1697" i="4"/>
  <c r="N1697" i="4"/>
  <c r="O1697" i="4"/>
  <c r="P1697" i="4"/>
  <c r="Q1697" i="4"/>
  <c r="J1698" i="4"/>
  <c r="K1698" i="4"/>
  <c r="L1698" i="4"/>
  <c r="M1698" i="4"/>
  <c r="N1698" i="4"/>
  <c r="O1698" i="4"/>
  <c r="P1698" i="4"/>
  <c r="Q1698" i="4"/>
  <c r="J1699" i="4"/>
  <c r="K1699" i="4"/>
  <c r="L1699" i="4"/>
  <c r="M1699" i="4"/>
  <c r="N1699" i="4"/>
  <c r="O1699" i="4"/>
  <c r="P1699" i="4"/>
  <c r="Q1699" i="4"/>
  <c r="J1700" i="4"/>
  <c r="K1700" i="4"/>
  <c r="L1700" i="4"/>
  <c r="M1700" i="4"/>
  <c r="N1700" i="4"/>
  <c r="O1700" i="4"/>
  <c r="P1700" i="4"/>
  <c r="Q1700" i="4"/>
  <c r="J1701" i="4"/>
  <c r="K1701" i="4"/>
  <c r="L1701" i="4"/>
  <c r="M1701" i="4"/>
  <c r="N1701" i="4"/>
  <c r="O1701" i="4"/>
  <c r="P1701" i="4"/>
  <c r="Q1701" i="4"/>
  <c r="J1702" i="4"/>
  <c r="K1702" i="4"/>
  <c r="L1702" i="4"/>
  <c r="M1702" i="4"/>
  <c r="N1702" i="4"/>
  <c r="O1702" i="4"/>
  <c r="P1702" i="4"/>
  <c r="Q1702" i="4"/>
  <c r="J1703" i="4"/>
  <c r="K1703" i="4"/>
  <c r="L1703" i="4"/>
  <c r="M1703" i="4"/>
  <c r="N1703" i="4"/>
  <c r="O1703" i="4"/>
  <c r="P1703" i="4"/>
  <c r="Q1703" i="4"/>
  <c r="J1704" i="4"/>
  <c r="K1704" i="4"/>
  <c r="L1704" i="4"/>
  <c r="M1704" i="4"/>
  <c r="N1704" i="4"/>
  <c r="O1704" i="4"/>
  <c r="P1704" i="4"/>
  <c r="Q1704" i="4"/>
  <c r="J1705" i="4"/>
  <c r="K1705" i="4"/>
  <c r="L1705" i="4"/>
  <c r="M1705" i="4"/>
  <c r="N1705" i="4"/>
  <c r="O1705" i="4"/>
  <c r="P1705" i="4"/>
  <c r="Q1705" i="4"/>
  <c r="J1706" i="4"/>
  <c r="K1706" i="4"/>
  <c r="L1706" i="4"/>
  <c r="M1706" i="4"/>
  <c r="N1706" i="4"/>
  <c r="O1706" i="4"/>
  <c r="P1706" i="4"/>
  <c r="Q1706" i="4"/>
  <c r="J1707" i="4"/>
  <c r="K1707" i="4"/>
  <c r="L1707" i="4"/>
  <c r="M1707" i="4"/>
  <c r="N1707" i="4"/>
  <c r="O1707" i="4"/>
  <c r="P1707" i="4"/>
  <c r="Q1707" i="4"/>
  <c r="J1708" i="4"/>
  <c r="K1708" i="4"/>
  <c r="L1708" i="4"/>
  <c r="M1708" i="4"/>
  <c r="N1708" i="4"/>
  <c r="O1708" i="4"/>
  <c r="P1708" i="4"/>
  <c r="Q1708" i="4"/>
  <c r="J1709" i="4"/>
  <c r="K1709" i="4"/>
  <c r="L1709" i="4"/>
  <c r="M1709" i="4"/>
  <c r="N1709" i="4"/>
  <c r="O1709" i="4"/>
  <c r="P1709" i="4"/>
  <c r="Q1709" i="4"/>
  <c r="J1710" i="4"/>
  <c r="K1710" i="4"/>
  <c r="L1710" i="4"/>
  <c r="M1710" i="4"/>
  <c r="N1710" i="4"/>
  <c r="O1710" i="4"/>
  <c r="P1710" i="4"/>
  <c r="Q1710" i="4"/>
  <c r="J1711" i="4"/>
  <c r="K1711" i="4"/>
  <c r="L1711" i="4"/>
  <c r="M1711" i="4"/>
  <c r="N1711" i="4"/>
  <c r="O1711" i="4"/>
  <c r="P1711" i="4"/>
  <c r="Q1711" i="4"/>
  <c r="J1712" i="4"/>
  <c r="K1712" i="4"/>
  <c r="L1712" i="4"/>
  <c r="M1712" i="4"/>
  <c r="N1712" i="4"/>
  <c r="O1712" i="4"/>
  <c r="P1712" i="4"/>
  <c r="Q1712" i="4"/>
  <c r="J1713" i="4"/>
  <c r="K1713" i="4"/>
  <c r="L1713" i="4"/>
  <c r="M1713" i="4"/>
  <c r="N1713" i="4"/>
  <c r="O1713" i="4"/>
  <c r="P1713" i="4"/>
  <c r="Q1713" i="4"/>
  <c r="J1714" i="4"/>
  <c r="K1714" i="4"/>
  <c r="L1714" i="4"/>
  <c r="M1714" i="4"/>
  <c r="N1714" i="4"/>
  <c r="O1714" i="4"/>
  <c r="P1714" i="4"/>
  <c r="Q1714" i="4"/>
  <c r="J1715" i="4"/>
  <c r="K1715" i="4"/>
  <c r="L1715" i="4"/>
  <c r="M1715" i="4"/>
  <c r="N1715" i="4"/>
  <c r="O1715" i="4"/>
  <c r="P1715" i="4"/>
  <c r="Q1715" i="4"/>
  <c r="J1716" i="4"/>
  <c r="K1716" i="4"/>
  <c r="L1716" i="4"/>
  <c r="M1716" i="4"/>
  <c r="N1716" i="4"/>
  <c r="O1716" i="4"/>
  <c r="P1716" i="4"/>
  <c r="Q1716" i="4"/>
  <c r="J1717" i="4"/>
  <c r="K1717" i="4"/>
  <c r="L1717" i="4"/>
  <c r="M1717" i="4"/>
  <c r="N1717" i="4"/>
  <c r="O1717" i="4"/>
  <c r="P1717" i="4"/>
  <c r="Q1717" i="4"/>
  <c r="J1718" i="4"/>
  <c r="K1718" i="4"/>
  <c r="L1718" i="4"/>
  <c r="M1718" i="4"/>
  <c r="N1718" i="4"/>
  <c r="O1718" i="4"/>
  <c r="P1718" i="4"/>
  <c r="Q1718" i="4"/>
  <c r="J1719" i="4"/>
  <c r="K1719" i="4"/>
  <c r="L1719" i="4"/>
  <c r="M1719" i="4"/>
  <c r="N1719" i="4"/>
  <c r="O1719" i="4"/>
  <c r="P1719" i="4"/>
  <c r="Q1719" i="4"/>
  <c r="J1720" i="4"/>
  <c r="K1720" i="4"/>
  <c r="L1720" i="4"/>
  <c r="M1720" i="4"/>
  <c r="N1720" i="4"/>
  <c r="O1720" i="4"/>
  <c r="P1720" i="4"/>
  <c r="Q1720" i="4"/>
  <c r="J1721" i="4"/>
  <c r="K1721" i="4"/>
  <c r="L1721" i="4"/>
  <c r="M1721" i="4"/>
  <c r="N1721" i="4"/>
  <c r="O1721" i="4"/>
  <c r="P1721" i="4"/>
  <c r="Q1721" i="4"/>
  <c r="J1722" i="4"/>
  <c r="K1722" i="4"/>
  <c r="L1722" i="4"/>
  <c r="M1722" i="4"/>
  <c r="N1722" i="4"/>
  <c r="O1722" i="4"/>
  <c r="P1722" i="4"/>
  <c r="Q1722" i="4"/>
  <c r="J1723" i="4"/>
  <c r="K1723" i="4"/>
  <c r="L1723" i="4"/>
  <c r="M1723" i="4"/>
  <c r="N1723" i="4"/>
  <c r="O1723" i="4"/>
  <c r="P1723" i="4"/>
  <c r="Q1723" i="4"/>
  <c r="J1724" i="4"/>
  <c r="K1724" i="4"/>
  <c r="L1724" i="4"/>
  <c r="M1724" i="4"/>
  <c r="N1724" i="4"/>
  <c r="O1724" i="4"/>
  <c r="P1724" i="4"/>
  <c r="Q1724" i="4"/>
  <c r="J1725" i="4"/>
  <c r="K1725" i="4"/>
  <c r="L1725" i="4"/>
  <c r="M1725" i="4"/>
  <c r="N1725" i="4"/>
  <c r="O1725" i="4"/>
  <c r="P1725" i="4"/>
  <c r="Q1725" i="4"/>
  <c r="J1726" i="4"/>
  <c r="K1726" i="4"/>
  <c r="L1726" i="4"/>
  <c r="M1726" i="4"/>
  <c r="N1726" i="4"/>
  <c r="O1726" i="4"/>
  <c r="P1726" i="4"/>
  <c r="Q1726" i="4"/>
  <c r="J1727" i="4"/>
  <c r="K1727" i="4"/>
  <c r="L1727" i="4"/>
  <c r="M1727" i="4"/>
  <c r="N1727" i="4"/>
  <c r="O1727" i="4"/>
  <c r="P1727" i="4"/>
  <c r="Q1727" i="4"/>
  <c r="J1728" i="4"/>
  <c r="K1728" i="4"/>
  <c r="L1728" i="4"/>
  <c r="M1728" i="4"/>
  <c r="N1728" i="4"/>
  <c r="O1728" i="4"/>
  <c r="P1728" i="4"/>
  <c r="Q1728" i="4"/>
  <c r="J1729" i="4"/>
  <c r="K1729" i="4"/>
  <c r="L1729" i="4"/>
  <c r="M1729" i="4"/>
  <c r="N1729" i="4"/>
  <c r="O1729" i="4"/>
  <c r="P1729" i="4"/>
  <c r="Q1729" i="4"/>
  <c r="J1730" i="4"/>
  <c r="K1730" i="4"/>
  <c r="L1730" i="4"/>
  <c r="M1730" i="4"/>
  <c r="N1730" i="4"/>
  <c r="O1730" i="4"/>
  <c r="P1730" i="4"/>
  <c r="Q1730" i="4"/>
  <c r="J1731" i="4"/>
  <c r="K1731" i="4"/>
  <c r="L1731" i="4"/>
  <c r="M1731" i="4"/>
  <c r="N1731" i="4"/>
  <c r="O1731" i="4"/>
  <c r="P1731" i="4"/>
  <c r="Q1731" i="4"/>
  <c r="J1732" i="4"/>
  <c r="K1732" i="4"/>
  <c r="L1732" i="4"/>
  <c r="M1732" i="4"/>
  <c r="N1732" i="4"/>
  <c r="O1732" i="4"/>
  <c r="P1732" i="4"/>
  <c r="Q1732" i="4"/>
  <c r="J1733" i="4"/>
  <c r="K1733" i="4"/>
  <c r="L1733" i="4"/>
  <c r="M1733" i="4"/>
  <c r="N1733" i="4"/>
  <c r="O1733" i="4"/>
  <c r="P1733" i="4"/>
  <c r="Q1733" i="4"/>
  <c r="J1734" i="4"/>
  <c r="K1734" i="4"/>
  <c r="L1734" i="4"/>
  <c r="M1734" i="4"/>
  <c r="N1734" i="4"/>
  <c r="O1734" i="4"/>
  <c r="P1734" i="4"/>
  <c r="Q1734" i="4"/>
  <c r="J1735" i="4"/>
  <c r="K1735" i="4"/>
  <c r="L1735" i="4"/>
  <c r="M1735" i="4"/>
  <c r="N1735" i="4"/>
  <c r="O1735" i="4"/>
  <c r="P1735" i="4"/>
  <c r="Q1735" i="4"/>
  <c r="J1736" i="4"/>
  <c r="K1736" i="4"/>
  <c r="L1736" i="4"/>
  <c r="M1736" i="4"/>
  <c r="N1736" i="4"/>
  <c r="O1736" i="4"/>
  <c r="P1736" i="4"/>
  <c r="Q1736" i="4"/>
  <c r="J1737" i="4"/>
  <c r="K1737" i="4"/>
  <c r="L1737" i="4"/>
  <c r="M1737" i="4"/>
  <c r="N1737" i="4"/>
  <c r="O1737" i="4"/>
  <c r="P1737" i="4"/>
  <c r="Q1737" i="4"/>
  <c r="J1738" i="4"/>
  <c r="K1738" i="4"/>
  <c r="L1738" i="4"/>
  <c r="M1738" i="4"/>
  <c r="N1738" i="4"/>
  <c r="O1738" i="4"/>
  <c r="P1738" i="4"/>
  <c r="Q1738" i="4"/>
  <c r="J1739" i="4"/>
  <c r="K1739" i="4"/>
  <c r="L1739" i="4"/>
  <c r="M1739" i="4"/>
  <c r="N1739" i="4"/>
  <c r="O1739" i="4"/>
  <c r="P1739" i="4"/>
  <c r="Q1739" i="4"/>
  <c r="J1740" i="4"/>
  <c r="K1740" i="4"/>
  <c r="L1740" i="4"/>
  <c r="M1740" i="4"/>
  <c r="N1740" i="4"/>
  <c r="O1740" i="4"/>
  <c r="P1740" i="4"/>
  <c r="Q1740" i="4"/>
  <c r="J1741" i="4"/>
  <c r="K1741" i="4"/>
  <c r="L1741" i="4"/>
  <c r="M1741" i="4"/>
  <c r="N1741" i="4"/>
  <c r="O1741" i="4"/>
  <c r="P1741" i="4"/>
  <c r="Q1741" i="4"/>
  <c r="J1742" i="4"/>
  <c r="K1742" i="4"/>
  <c r="L1742" i="4"/>
  <c r="M1742" i="4"/>
  <c r="N1742" i="4"/>
  <c r="O1742" i="4"/>
  <c r="P1742" i="4"/>
  <c r="Q1742" i="4"/>
  <c r="J1743" i="4"/>
  <c r="K1743" i="4"/>
  <c r="L1743" i="4"/>
  <c r="M1743" i="4"/>
  <c r="N1743" i="4"/>
  <c r="O1743" i="4"/>
  <c r="P1743" i="4"/>
  <c r="Q1743" i="4"/>
  <c r="J1744" i="4"/>
  <c r="K1744" i="4"/>
  <c r="L1744" i="4"/>
  <c r="M1744" i="4"/>
  <c r="N1744" i="4"/>
  <c r="O1744" i="4"/>
  <c r="P1744" i="4"/>
  <c r="Q1744" i="4"/>
  <c r="J1745" i="4"/>
  <c r="K1745" i="4"/>
  <c r="L1745" i="4"/>
  <c r="M1745" i="4"/>
  <c r="N1745" i="4"/>
  <c r="O1745" i="4"/>
  <c r="P1745" i="4"/>
  <c r="Q1745" i="4"/>
  <c r="J1746" i="4"/>
  <c r="K1746" i="4"/>
  <c r="L1746" i="4"/>
  <c r="M1746" i="4"/>
  <c r="N1746" i="4"/>
  <c r="O1746" i="4"/>
  <c r="P1746" i="4"/>
  <c r="Q1746" i="4"/>
  <c r="J1747" i="4"/>
  <c r="K1747" i="4"/>
  <c r="L1747" i="4"/>
  <c r="M1747" i="4"/>
  <c r="N1747" i="4"/>
  <c r="O1747" i="4"/>
  <c r="P1747" i="4"/>
  <c r="Q1747" i="4"/>
  <c r="J1748" i="4"/>
  <c r="K1748" i="4"/>
  <c r="L1748" i="4"/>
  <c r="M1748" i="4"/>
  <c r="N1748" i="4"/>
  <c r="O1748" i="4"/>
  <c r="P1748" i="4"/>
  <c r="Q1748" i="4"/>
  <c r="J1749" i="4"/>
  <c r="K1749" i="4"/>
  <c r="L1749" i="4"/>
  <c r="M1749" i="4"/>
  <c r="N1749" i="4"/>
  <c r="O1749" i="4"/>
  <c r="P1749" i="4"/>
  <c r="Q1749" i="4"/>
  <c r="J1750" i="4"/>
  <c r="K1750" i="4"/>
  <c r="L1750" i="4"/>
  <c r="M1750" i="4"/>
  <c r="N1750" i="4"/>
  <c r="O1750" i="4"/>
  <c r="P1750" i="4"/>
  <c r="Q1750" i="4"/>
  <c r="J1751" i="4"/>
  <c r="K1751" i="4"/>
  <c r="L1751" i="4"/>
  <c r="M1751" i="4"/>
  <c r="N1751" i="4"/>
  <c r="O1751" i="4"/>
  <c r="P1751" i="4"/>
  <c r="Q1751" i="4"/>
  <c r="J1752" i="4"/>
  <c r="K1752" i="4"/>
  <c r="L1752" i="4"/>
  <c r="M1752" i="4"/>
  <c r="N1752" i="4"/>
  <c r="O1752" i="4"/>
  <c r="P1752" i="4"/>
  <c r="Q1752" i="4"/>
  <c r="J1753" i="4"/>
  <c r="K1753" i="4"/>
  <c r="L1753" i="4"/>
  <c r="M1753" i="4"/>
  <c r="N1753" i="4"/>
  <c r="O1753" i="4"/>
  <c r="P1753" i="4"/>
  <c r="Q1753" i="4"/>
  <c r="J1754" i="4"/>
  <c r="K1754" i="4"/>
  <c r="L1754" i="4"/>
  <c r="M1754" i="4"/>
  <c r="N1754" i="4"/>
  <c r="O1754" i="4"/>
  <c r="P1754" i="4"/>
  <c r="Q1754" i="4"/>
  <c r="J1755" i="4"/>
  <c r="K1755" i="4"/>
  <c r="L1755" i="4"/>
  <c r="M1755" i="4"/>
  <c r="N1755" i="4"/>
  <c r="O1755" i="4"/>
  <c r="P1755" i="4"/>
  <c r="Q1755" i="4"/>
  <c r="J1756" i="4"/>
  <c r="K1756" i="4"/>
  <c r="L1756" i="4"/>
  <c r="M1756" i="4"/>
  <c r="N1756" i="4"/>
  <c r="O1756" i="4"/>
  <c r="P1756" i="4"/>
  <c r="Q1756" i="4"/>
  <c r="J1757" i="4"/>
  <c r="K1757" i="4"/>
  <c r="L1757" i="4"/>
  <c r="M1757" i="4"/>
  <c r="N1757" i="4"/>
  <c r="O1757" i="4"/>
  <c r="P1757" i="4"/>
  <c r="Q1757" i="4"/>
  <c r="J1758" i="4"/>
  <c r="K1758" i="4"/>
  <c r="L1758" i="4"/>
  <c r="M1758" i="4"/>
  <c r="N1758" i="4"/>
  <c r="O1758" i="4"/>
  <c r="P1758" i="4"/>
  <c r="Q1758" i="4"/>
  <c r="J1759" i="4"/>
  <c r="K1759" i="4"/>
  <c r="L1759" i="4"/>
  <c r="M1759" i="4"/>
  <c r="N1759" i="4"/>
  <c r="O1759" i="4"/>
  <c r="P1759" i="4"/>
  <c r="Q1759" i="4"/>
  <c r="J1760" i="4"/>
  <c r="K1760" i="4"/>
  <c r="L1760" i="4"/>
  <c r="M1760" i="4"/>
  <c r="N1760" i="4"/>
  <c r="O1760" i="4"/>
  <c r="P1760" i="4"/>
  <c r="Q1760" i="4"/>
  <c r="J1761" i="4"/>
  <c r="K1761" i="4"/>
  <c r="L1761" i="4"/>
  <c r="M1761" i="4"/>
  <c r="N1761" i="4"/>
  <c r="O1761" i="4"/>
  <c r="P1761" i="4"/>
  <c r="Q1761" i="4"/>
  <c r="J1762" i="4"/>
  <c r="K1762" i="4"/>
  <c r="L1762" i="4"/>
  <c r="M1762" i="4"/>
  <c r="N1762" i="4"/>
  <c r="O1762" i="4"/>
  <c r="P1762" i="4"/>
  <c r="Q1762" i="4"/>
  <c r="J1763" i="4"/>
  <c r="K1763" i="4"/>
  <c r="L1763" i="4"/>
  <c r="M1763" i="4"/>
  <c r="N1763" i="4"/>
  <c r="O1763" i="4"/>
  <c r="P1763" i="4"/>
  <c r="Q1763" i="4"/>
  <c r="J1764" i="4"/>
  <c r="K1764" i="4"/>
  <c r="L1764" i="4"/>
  <c r="M1764" i="4"/>
  <c r="N1764" i="4"/>
  <c r="O1764" i="4"/>
  <c r="P1764" i="4"/>
  <c r="Q1764" i="4"/>
  <c r="J1765" i="4"/>
  <c r="K1765" i="4"/>
  <c r="L1765" i="4"/>
  <c r="M1765" i="4"/>
  <c r="N1765" i="4"/>
  <c r="O1765" i="4"/>
  <c r="P1765" i="4"/>
  <c r="Q1765" i="4"/>
  <c r="J1766" i="4"/>
  <c r="K1766" i="4"/>
  <c r="L1766" i="4"/>
  <c r="M1766" i="4"/>
  <c r="N1766" i="4"/>
  <c r="O1766" i="4"/>
  <c r="P1766" i="4"/>
  <c r="Q1766" i="4"/>
  <c r="J1767" i="4"/>
  <c r="K1767" i="4"/>
  <c r="L1767" i="4"/>
  <c r="M1767" i="4"/>
  <c r="N1767" i="4"/>
  <c r="O1767" i="4"/>
  <c r="P1767" i="4"/>
  <c r="Q1767" i="4"/>
  <c r="J1768" i="4"/>
  <c r="K1768" i="4"/>
  <c r="L1768" i="4"/>
  <c r="M1768" i="4"/>
  <c r="N1768" i="4"/>
  <c r="O1768" i="4"/>
  <c r="P1768" i="4"/>
  <c r="Q1768" i="4"/>
  <c r="J1769" i="4"/>
  <c r="K1769" i="4"/>
  <c r="L1769" i="4"/>
  <c r="M1769" i="4"/>
  <c r="N1769" i="4"/>
  <c r="O1769" i="4"/>
  <c r="P1769" i="4"/>
  <c r="Q1769" i="4"/>
  <c r="J1770" i="4"/>
  <c r="K1770" i="4"/>
  <c r="L1770" i="4"/>
  <c r="M1770" i="4"/>
  <c r="N1770" i="4"/>
  <c r="O1770" i="4"/>
  <c r="P1770" i="4"/>
  <c r="Q1770" i="4"/>
  <c r="J1771" i="4"/>
  <c r="K1771" i="4"/>
  <c r="L1771" i="4"/>
  <c r="M1771" i="4"/>
  <c r="N1771" i="4"/>
  <c r="O1771" i="4"/>
  <c r="P1771" i="4"/>
  <c r="Q1771" i="4"/>
  <c r="J1772" i="4"/>
  <c r="K1772" i="4"/>
  <c r="L1772" i="4"/>
  <c r="M1772" i="4"/>
  <c r="N1772" i="4"/>
  <c r="O1772" i="4"/>
  <c r="P1772" i="4"/>
  <c r="Q1772" i="4"/>
  <c r="J1773" i="4"/>
  <c r="K1773" i="4"/>
  <c r="L1773" i="4"/>
  <c r="M1773" i="4"/>
  <c r="N1773" i="4"/>
  <c r="O1773" i="4"/>
  <c r="P1773" i="4"/>
  <c r="Q1773" i="4"/>
  <c r="J1774" i="4"/>
  <c r="K1774" i="4"/>
  <c r="L1774" i="4"/>
  <c r="M1774" i="4"/>
  <c r="N1774" i="4"/>
  <c r="O1774" i="4"/>
  <c r="P1774" i="4"/>
  <c r="Q1774" i="4"/>
  <c r="J1775" i="4"/>
  <c r="K1775" i="4"/>
  <c r="L1775" i="4"/>
  <c r="M1775" i="4"/>
  <c r="N1775" i="4"/>
  <c r="O1775" i="4"/>
  <c r="P1775" i="4"/>
  <c r="Q1775" i="4"/>
  <c r="J1776" i="4"/>
  <c r="K1776" i="4"/>
  <c r="L1776" i="4"/>
  <c r="M1776" i="4"/>
  <c r="N1776" i="4"/>
  <c r="O1776" i="4"/>
  <c r="P1776" i="4"/>
  <c r="Q1776" i="4"/>
  <c r="J1777" i="4"/>
  <c r="K1777" i="4"/>
  <c r="L1777" i="4"/>
  <c r="M1777" i="4"/>
  <c r="N1777" i="4"/>
  <c r="O1777" i="4"/>
  <c r="P1777" i="4"/>
  <c r="Q1777" i="4"/>
  <c r="J1778" i="4"/>
  <c r="K1778" i="4"/>
  <c r="L1778" i="4"/>
  <c r="M1778" i="4"/>
  <c r="N1778" i="4"/>
  <c r="O1778" i="4"/>
  <c r="P1778" i="4"/>
  <c r="Q1778" i="4"/>
  <c r="J1779" i="4"/>
  <c r="K1779" i="4"/>
  <c r="L1779" i="4"/>
  <c r="M1779" i="4"/>
  <c r="N1779" i="4"/>
  <c r="O1779" i="4"/>
  <c r="P1779" i="4"/>
  <c r="Q1779" i="4"/>
  <c r="J1780" i="4"/>
  <c r="K1780" i="4"/>
  <c r="L1780" i="4"/>
  <c r="M1780" i="4"/>
  <c r="N1780" i="4"/>
  <c r="O1780" i="4"/>
  <c r="P1780" i="4"/>
  <c r="Q1780" i="4"/>
  <c r="J1781" i="4"/>
  <c r="K1781" i="4"/>
  <c r="L1781" i="4"/>
  <c r="M1781" i="4"/>
  <c r="N1781" i="4"/>
  <c r="O1781" i="4"/>
  <c r="P1781" i="4"/>
  <c r="Q1781" i="4"/>
  <c r="J1782" i="4"/>
  <c r="K1782" i="4"/>
  <c r="L1782" i="4"/>
  <c r="M1782" i="4"/>
  <c r="N1782" i="4"/>
  <c r="O1782" i="4"/>
  <c r="P1782" i="4"/>
  <c r="Q1782" i="4"/>
  <c r="J1783" i="4"/>
  <c r="K1783" i="4"/>
  <c r="L1783" i="4"/>
  <c r="M1783" i="4"/>
  <c r="N1783" i="4"/>
  <c r="O1783" i="4"/>
  <c r="P1783" i="4"/>
  <c r="Q1783" i="4"/>
  <c r="J1784" i="4"/>
  <c r="K1784" i="4"/>
  <c r="L1784" i="4"/>
  <c r="M1784" i="4"/>
  <c r="N1784" i="4"/>
  <c r="O1784" i="4"/>
  <c r="P1784" i="4"/>
  <c r="Q1784" i="4"/>
  <c r="J1785" i="4"/>
  <c r="K1785" i="4"/>
  <c r="L1785" i="4"/>
  <c r="M1785" i="4"/>
  <c r="N1785" i="4"/>
  <c r="O1785" i="4"/>
  <c r="P1785" i="4"/>
  <c r="Q1785" i="4"/>
  <c r="J1786" i="4"/>
  <c r="K1786" i="4"/>
  <c r="L1786" i="4"/>
  <c r="M1786" i="4"/>
  <c r="N1786" i="4"/>
  <c r="O1786" i="4"/>
  <c r="P1786" i="4"/>
  <c r="Q1786" i="4"/>
  <c r="J1787" i="4"/>
  <c r="K1787" i="4"/>
  <c r="L1787" i="4"/>
  <c r="M1787" i="4"/>
  <c r="N1787" i="4"/>
  <c r="O1787" i="4"/>
  <c r="P1787" i="4"/>
  <c r="Q1787" i="4"/>
  <c r="J1788" i="4"/>
  <c r="K1788" i="4"/>
  <c r="L1788" i="4"/>
  <c r="M1788" i="4"/>
  <c r="N1788" i="4"/>
  <c r="O1788" i="4"/>
  <c r="P1788" i="4"/>
  <c r="Q1788" i="4"/>
  <c r="J1789" i="4"/>
  <c r="K1789" i="4"/>
  <c r="L1789" i="4"/>
  <c r="M1789" i="4"/>
  <c r="N1789" i="4"/>
  <c r="O1789" i="4"/>
  <c r="P1789" i="4"/>
  <c r="Q1789" i="4"/>
  <c r="J1790" i="4"/>
  <c r="K1790" i="4"/>
  <c r="L1790" i="4"/>
  <c r="M1790" i="4"/>
  <c r="N1790" i="4"/>
  <c r="O1790" i="4"/>
  <c r="P1790" i="4"/>
  <c r="Q1790" i="4"/>
  <c r="J1791" i="4"/>
  <c r="K1791" i="4"/>
  <c r="L1791" i="4"/>
  <c r="M1791" i="4"/>
  <c r="N1791" i="4"/>
  <c r="O1791" i="4"/>
  <c r="P1791" i="4"/>
  <c r="Q1791" i="4"/>
  <c r="J1792" i="4"/>
  <c r="K1792" i="4"/>
  <c r="L1792" i="4"/>
  <c r="M1792" i="4"/>
  <c r="N1792" i="4"/>
  <c r="O1792" i="4"/>
  <c r="P1792" i="4"/>
  <c r="Q1792" i="4"/>
  <c r="J1793" i="4"/>
  <c r="K1793" i="4"/>
  <c r="L1793" i="4"/>
  <c r="M1793" i="4"/>
  <c r="N1793" i="4"/>
  <c r="O1793" i="4"/>
  <c r="P1793" i="4"/>
  <c r="Q1793" i="4"/>
  <c r="J1794" i="4"/>
  <c r="K1794" i="4"/>
  <c r="L1794" i="4"/>
  <c r="M1794" i="4"/>
  <c r="N1794" i="4"/>
  <c r="O1794" i="4"/>
  <c r="P1794" i="4"/>
  <c r="Q1794" i="4"/>
  <c r="J1795" i="4"/>
  <c r="K1795" i="4"/>
  <c r="L1795" i="4"/>
  <c r="M1795" i="4"/>
  <c r="N1795" i="4"/>
  <c r="O1795" i="4"/>
  <c r="P1795" i="4"/>
  <c r="Q1795" i="4"/>
  <c r="J1796" i="4"/>
  <c r="K1796" i="4"/>
  <c r="L1796" i="4"/>
  <c r="M1796" i="4"/>
  <c r="N1796" i="4"/>
  <c r="O1796" i="4"/>
  <c r="P1796" i="4"/>
  <c r="Q1796" i="4"/>
  <c r="J1797" i="4"/>
  <c r="K1797" i="4"/>
  <c r="L1797" i="4"/>
  <c r="M1797" i="4"/>
  <c r="N1797" i="4"/>
  <c r="O1797" i="4"/>
  <c r="P1797" i="4"/>
  <c r="Q1797" i="4"/>
  <c r="J1798" i="4"/>
  <c r="K1798" i="4"/>
  <c r="L1798" i="4"/>
  <c r="M1798" i="4"/>
  <c r="N1798" i="4"/>
  <c r="O1798" i="4"/>
  <c r="P1798" i="4"/>
  <c r="Q1798" i="4"/>
  <c r="J1799" i="4"/>
  <c r="K1799" i="4"/>
  <c r="L1799" i="4"/>
  <c r="M1799" i="4"/>
  <c r="N1799" i="4"/>
  <c r="O1799" i="4"/>
  <c r="P1799" i="4"/>
  <c r="Q1799" i="4"/>
  <c r="J1800" i="4"/>
  <c r="K1800" i="4"/>
  <c r="L1800" i="4"/>
  <c r="M1800" i="4"/>
  <c r="N1800" i="4"/>
  <c r="O1800" i="4"/>
  <c r="P1800" i="4"/>
  <c r="Q1800" i="4"/>
  <c r="J1801" i="4"/>
  <c r="K1801" i="4"/>
  <c r="L1801" i="4"/>
  <c r="M1801" i="4"/>
  <c r="N1801" i="4"/>
  <c r="O1801" i="4"/>
  <c r="P1801" i="4"/>
  <c r="Q1801" i="4"/>
  <c r="J1802" i="4"/>
  <c r="K1802" i="4"/>
  <c r="L1802" i="4"/>
  <c r="M1802" i="4"/>
  <c r="N1802" i="4"/>
  <c r="O1802" i="4"/>
  <c r="P1802" i="4"/>
  <c r="Q1802" i="4"/>
  <c r="J1803" i="4"/>
  <c r="K1803" i="4"/>
  <c r="L1803" i="4"/>
  <c r="M1803" i="4"/>
  <c r="N1803" i="4"/>
  <c r="O1803" i="4"/>
  <c r="P1803" i="4"/>
  <c r="Q1803" i="4"/>
  <c r="J1804" i="4"/>
  <c r="K1804" i="4"/>
  <c r="L1804" i="4"/>
  <c r="M1804" i="4"/>
  <c r="N1804" i="4"/>
  <c r="O1804" i="4"/>
  <c r="P1804" i="4"/>
  <c r="Q1804" i="4"/>
  <c r="J1805" i="4"/>
  <c r="K1805" i="4"/>
  <c r="L1805" i="4"/>
  <c r="M1805" i="4"/>
  <c r="N1805" i="4"/>
  <c r="O1805" i="4"/>
  <c r="P1805" i="4"/>
  <c r="Q1805" i="4"/>
  <c r="J1806" i="4"/>
  <c r="K1806" i="4"/>
  <c r="L1806" i="4"/>
  <c r="M1806" i="4"/>
  <c r="N1806" i="4"/>
  <c r="O1806" i="4"/>
  <c r="P1806" i="4"/>
  <c r="Q1806" i="4"/>
  <c r="J1807" i="4"/>
  <c r="K1807" i="4"/>
  <c r="L1807" i="4"/>
  <c r="M1807" i="4"/>
  <c r="N1807" i="4"/>
  <c r="O1807" i="4"/>
  <c r="P1807" i="4"/>
  <c r="Q1807" i="4"/>
  <c r="J1808" i="4"/>
  <c r="K1808" i="4"/>
  <c r="L1808" i="4"/>
  <c r="M1808" i="4"/>
  <c r="N1808" i="4"/>
  <c r="O1808" i="4"/>
  <c r="P1808" i="4"/>
  <c r="Q1808" i="4"/>
  <c r="J1809" i="4"/>
  <c r="K1809" i="4"/>
  <c r="L1809" i="4"/>
  <c r="M1809" i="4"/>
  <c r="N1809" i="4"/>
  <c r="O1809" i="4"/>
  <c r="P1809" i="4"/>
  <c r="Q1809" i="4"/>
  <c r="J1810" i="4"/>
  <c r="K1810" i="4"/>
  <c r="L1810" i="4"/>
  <c r="M1810" i="4"/>
  <c r="N1810" i="4"/>
  <c r="O1810" i="4"/>
  <c r="P1810" i="4"/>
  <c r="Q1810" i="4"/>
  <c r="J1811" i="4"/>
  <c r="K1811" i="4"/>
  <c r="L1811" i="4"/>
  <c r="M1811" i="4"/>
  <c r="N1811" i="4"/>
  <c r="O1811" i="4"/>
  <c r="P1811" i="4"/>
  <c r="Q1811" i="4"/>
  <c r="J1812" i="4"/>
  <c r="K1812" i="4"/>
  <c r="L1812" i="4"/>
  <c r="M1812" i="4"/>
  <c r="N1812" i="4"/>
  <c r="O1812" i="4"/>
  <c r="P1812" i="4"/>
  <c r="Q1812" i="4"/>
  <c r="J1813" i="4"/>
  <c r="K1813" i="4"/>
  <c r="L1813" i="4"/>
  <c r="M1813" i="4"/>
  <c r="N1813" i="4"/>
  <c r="O1813" i="4"/>
  <c r="P1813" i="4"/>
  <c r="Q1813" i="4"/>
  <c r="J1814" i="4"/>
  <c r="K1814" i="4"/>
  <c r="L1814" i="4"/>
  <c r="M1814" i="4"/>
  <c r="N1814" i="4"/>
  <c r="O1814" i="4"/>
  <c r="P1814" i="4"/>
  <c r="Q1814" i="4"/>
  <c r="J1815" i="4"/>
  <c r="K1815" i="4"/>
  <c r="L1815" i="4"/>
  <c r="M1815" i="4"/>
  <c r="N1815" i="4"/>
  <c r="O1815" i="4"/>
  <c r="P1815" i="4"/>
  <c r="Q1815" i="4"/>
  <c r="J1816" i="4"/>
  <c r="K1816" i="4"/>
  <c r="L1816" i="4"/>
  <c r="M1816" i="4"/>
  <c r="N1816" i="4"/>
  <c r="O1816" i="4"/>
  <c r="P1816" i="4"/>
  <c r="Q1816" i="4"/>
  <c r="J1817" i="4"/>
  <c r="K1817" i="4"/>
  <c r="L1817" i="4"/>
  <c r="M1817" i="4"/>
  <c r="N1817" i="4"/>
  <c r="O1817" i="4"/>
  <c r="P1817" i="4"/>
  <c r="Q1817" i="4"/>
  <c r="J1818" i="4"/>
  <c r="K1818" i="4"/>
  <c r="L1818" i="4"/>
  <c r="M1818" i="4"/>
  <c r="N1818" i="4"/>
  <c r="O1818" i="4"/>
  <c r="P1818" i="4"/>
  <c r="Q1818" i="4"/>
  <c r="J1819" i="4"/>
  <c r="K1819" i="4"/>
  <c r="L1819" i="4"/>
  <c r="M1819" i="4"/>
  <c r="N1819" i="4"/>
  <c r="O1819" i="4"/>
  <c r="P1819" i="4"/>
  <c r="Q1819" i="4"/>
  <c r="J1820" i="4"/>
  <c r="K1820" i="4"/>
  <c r="L1820" i="4"/>
  <c r="M1820" i="4"/>
  <c r="N1820" i="4"/>
  <c r="O1820" i="4"/>
  <c r="P1820" i="4"/>
  <c r="Q1820" i="4"/>
  <c r="J1821" i="4"/>
  <c r="K1821" i="4"/>
  <c r="L1821" i="4"/>
  <c r="M1821" i="4"/>
  <c r="N1821" i="4"/>
  <c r="O1821" i="4"/>
  <c r="P1821" i="4"/>
  <c r="Q1821" i="4"/>
  <c r="J1822" i="4"/>
  <c r="K1822" i="4"/>
  <c r="L1822" i="4"/>
  <c r="M1822" i="4"/>
  <c r="N1822" i="4"/>
  <c r="O1822" i="4"/>
  <c r="P1822" i="4"/>
  <c r="Q1822" i="4"/>
  <c r="J1823" i="4"/>
  <c r="K1823" i="4"/>
  <c r="L1823" i="4"/>
  <c r="M1823" i="4"/>
  <c r="N1823" i="4"/>
  <c r="O1823" i="4"/>
  <c r="P1823" i="4"/>
  <c r="Q1823" i="4"/>
  <c r="J1824" i="4"/>
  <c r="K1824" i="4"/>
  <c r="L1824" i="4"/>
  <c r="M1824" i="4"/>
  <c r="N1824" i="4"/>
  <c r="O1824" i="4"/>
  <c r="P1824" i="4"/>
  <c r="Q1824" i="4"/>
  <c r="J1825" i="4"/>
  <c r="K1825" i="4"/>
  <c r="L1825" i="4"/>
  <c r="M1825" i="4"/>
  <c r="N1825" i="4"/>
  <c r="O1825" i="4"/>
  <c r="P1825" i="4"/>
  <c r="Q1825" i="4"/>
  <c r="J1826" i="4"/>
  <c r="K1826" i="4"/>
  <c r="L1826" i="4"/>
  <c r="M1826" i="4"/>
  <c r="N1826" i="4"/>
  <c r="O1826" i="4"/>
  <c r="P1826" i="4"/>
  <c r="Q1826" i="4"/>
  <c r="J1827" i="4"/>
  <c r="K1827" i="4"/>
  <c r="L1827" i="4"/>
  <c r="M1827" i="4"/>
  <c r="N1827" i="4"/>
  <c r="O1827" i="4"/>
  <c r="P1827" i="4"/>
  <c r="Q1827" i="4"/>
  <c r="J1828" i="4"/>
  <c r="K1828" i="4"/>
  <c r="L1828" i="4"/>
  <c r="M1828" i="4"/>
  <c r="N1828" i="4"/>
  <c r="O1828" i="4"/>
  <c r="P1828" i="4"/>
  <c r="Q1828" i="4"/>
  <c r="J1829" i="4"/>
  <c r="K1829" i="4"/>
  <c r="L1829" i="4"/>
  <c r="M1829" i="4"/>
  <c r="N1829" i="4"/>
  <c r="O1829" i="4"/>
  <c r="P1829" i="4"/>
  <c r="Q1829" i="4"/>
  <c r="J1830" i="4"/>
  <c r="K1830" i="4"/>
  <c r="L1830" i="4"/>
  <c r="M1830" i="4"/>
  <c r="N1830" i="4"/>
  <c r="O1830" i="4"/>
  <c r="P1830" i="4"/>
  <c r="Q1830" i="4"/>
  <c r="J1831" i="4"/>
  <c r="K1831" i="4"/>
  <c r="L1831" i="4"/>
  <c r="M1831" i="4"/>
  <c r="N1831" i="4"/>
  <c r="O1831" i="4"/>
  <c r="P1831" i="4"/>
  <c r="Q1831" i="4"/>
  <c r="J1832" i="4"/>
  <c r="K1832" i="4"/>
  <c r="L1832" i="4"/>
  <c r="M1832" i="4"/>
  <c r="N1832" i="4"/>
  <c r="O1832" i="4"/>
  <c r="P1832" i="4"/>
  <c r="Q1832" i="4"/>
  <c r="J1833" i="4"/>
  <c r="K1833" i="4"/>
  <c r="L1833" i="4"/>
  <c r="M1833" i="4"/>
  <c r="N1833" i="4"/>
  <c r="O1833" i="4"/>
  <c r="P1833" i="4"/>
  <c r="Q1833" i="4"/>
  <c r="J1834" i="4"/>
  <c r="K1834" i="4"/>
  <c r="L1834" i="4"/>
  <c r="M1834" i="4"/>
  <c r="N1834" i="4"/>
  <c r="O1834" i="4"/>
  <c r="P1834" i="4"/>
  <c r="Q1834" i="4"/>
  <c r="J1835" i="4"/>
  <c r="K1835" i="4"/>
  <c r="L1835" i="4"/>
  <c r="M1835" i="4"/>
  <c r="N1835" i="4"/>
  <c r="O1835" i="4"/>
  <c r="P1835" i="4"/>
  <c r="Q1835" i="4"/>
  <c r="J1836" i="4"/>
  <c r="K1836" i="4"/>
  <c r="L1836" i="4"/>
  <c r="M1836" i="4"/>
  <c r="N1836" i="4"/>
  <c r="O1836" i="4"/>
  <c r="P1836" i="4"/>
  <c r="Q1836" i="4"/>
  <c r="J1837" i="4"/>
  <c r="K1837" i="4"/>
  <c r="L1837" i="4"/>
  <c r="M1837" i="4"/>
  <c r="N1837" i="4"/>
  <c r="O1837" i="4"/>
  <c r="P1837" i="4"/>
  <c r="Q1837" i="4"/>
  <c r="J1838" i="4"/>
  <c r="K1838" i="4"/>
  <c r="L1838" i="4"/>
  <c r="M1838" i="4"/>
  <c r="N1838" i="4"/>
  <c r="O1838" i="4"/>
  <c r="P1838" i="4"/>
  <c r="Q1838" i="4"/>
  <c r="J1839" i="4"/>
  <c r="K1839" i="4"/>
  <c r="L1839" i="4"/>
  <c r="M1839" i="4"/>
  <c r="N1839" i="4"/>
  <c r="O1839" i="4"/>
  <c r="P1839" i="4"/>
  <c r="Q1839" i="4"/>
  <c r="J1840" i="4"/>
  <c r="K1840" i="4"/>
  <c r="L1840" i="4"/>
  <c r="M1840" i="4"/>
  <c r="N1840" i="4"/>
  <c r="O1840" i="4"/>
  <c r="P1840" i="4"/>
  <c r="Q1840" i="4"/>
  <c r="J1841" i="4"/>
  <c r="K1841" i="4"/>
  <c r="L1841" i="4"/>
  <c r="M1841" i="4"/>
  <c r="N1841" i="4"/>
  <c r="O1841" i="4"/>
  <c r="P1841" i="4"/>
  <c r="Q1841" i="4"/>
  <c r="J1842" i="4"/>
  <c r="K1842" i="4"/>
  <c r="L1842" i="4"/>
  <c r="M1842" i="4"/>
  <c r="N1842" i="4"/>
  <c r="O1842" i="4"/>
  <c r="P1842" i="4"/>
  <c r="Q1842" i="4"/>
  <c r="J1843" i="4"/>
  <c r="K1843" i="4"/>
  <c r="L1843" i="4"/>
  <c r="M1843" i="4"/>
  <c r="N1843" i="4"/>
  <c r="O1843" i="4"/>
  <c r="P1843" i="4"/>
  <c r="Q1843" i="4"/>
  <c r="J1844" i="4"/>
  <c r="K1844" i="4"/>
  <c r="L1844" i="4"/>
  <c r="M1844" i="4"/>
  <c r="N1844" i="4"/>
  <c r="O1844" i="4"/>
  <c r="P1844" i="4"/>
  <c r="Q1844" i="4"/>
  <c r="J1845" i="4"/>
  <c r="K1845" i="4"/>
  <c r="L1845" i="4"/>
  <c r="M1845" i="4"/>
  <c r="N1845" i="4"/>
  <c r="O1845" i="4"/>
  <c r="P1845" i="4"/>
  <c r="Q1845" i="4"/>
  <c r="J1846" i="4"/>
  <c r="K1846" i="4"/>
  <c r="L1846" i="4"/>
  <c r="M1846" i="4"/>
  <c r="N1846" i="4"/>
  <c r="O1846" i="4"/>
  <c r="P1846" i="4"/>
  <c r="Q1846" i="4"/>
  <c r="J1847" i="4"/>
  <c r="K1847" i="4"/>
  <c r="L1847" i="4"/>
  <c r="M1847" i="4"/>
  <c r="N1847" i="4"/>
  <c r="O1847" i="4"/>
  <c r="P1847" i="4"/>
  <c r="Q1847" i="4"/>
  <c r="J1848" i="4"/>
  <c r="K1848" i="4"/>
  <c r="L1848" i="4"/>
  <c r="M1848" i="4"/>
  <c r="N1848" i="4"/>
  <c r="O1848" i="4"/>
  <c r="P1848" i="4"/>
  <c r="Q1848" i="4"/>
  <c r="J1849" i="4"/>
  <c r="K1849" i="4"/>
  <c r="L1849" i="4"/>
  <c r="M1849" i="4"/>
  <c r="N1849" i="4"/>
  <c r="O1849" i="4"/>
  <c r="P1849" i="4"/>
  <c r="Q1849" i="4"/>
  <c r="J1850" i="4"/>
  <c r="K1850" i="4"/>
  <c r="L1850" i="4"/>
  <c r="M1850" i="4"/>
  <c r="N1850" i="4"/>
  <c r="O1850" i="4"/>
  <c r="P1850" i="4"/>
  <c r="Q1850" i="4"/>
  <c r="J1851" i="4"/>
  <c r="K1851" i="4"/>
  <c r="L1851" i="4"/>
  <c r="M1851" i="4"/>
  <c r="N1851" i="4"/>
  <c r="O1851" i="4"/>
  <c r="P1851" i="4"/>
  <c r="Q1851" i="4"/>
  <c r="J1852" i="4"/>
  <c r="K1852" i="4"/>
  <c r="L1852" i="4"/>
  <c r="M1852" i="4"/>
  <c r="N1852" i="4"/>
  <c r="O1852" i="4"/>
  <c r="P1852" i="4"/>
  <c r="Q1852" i="4"/>
  <c r="J1853" i="4"/>
  <c r="K1853" i="4"/>
  <c r="L1853" i="4"/>
  <c r="M1853" i="4"/>
  <c r="N1853" i="4"/>
  <c r="O1853" i="4"/>
  <c r="P1853" i="4"/>
  <c r="Q1853" i="4"/>
  <c r="J1854" i="4"/>
  <c r="K1854" i="4"/>
  <c r="L1854" i="4"/>
  <c r="M1854" i="4"/>
  <c r="N1854" i="4"/>
  <c r="O1854" i="4"/>
  <c r="P1854" i="4"/>
  <c r="Q1854" i="4"/>
  <c r="J1855" i="4"/>
  <c r="K1855" i="4"/>
  <c r="L1855" i="4"/>
  <c r="M1855" i="4"/>
  <c r="N1855" i="4"/>
  <c r="O1855" i="4"/>
  <c r="P1855" i="4"/>
  <c r="Q1855" i="4"/>
  <c r="J1856" i="4"/>
  <c r="K1856" i="4"/>
  <c r="L1856" i="4"/>
  <c r="M1856" i="4"/>
  <c r="N1856" i="4"/>
  <c r="O1856" i="4"/>
  <c r="P1856" i="4"/>
  <c r="Q1856" i="4"/>
  <c r="J1857" i="4"/>
  <c r="K1857" i="4"/>
  <c r="L1857" i="4"/>
  <c r="M1857" i="4"/>
  <c r="N1857" i="4"/>
  <c r="O1857" i="4"/>
  <c r="P1857" i="4"/>
  <c r="Q1857" i="4"/>
  <c r="J1858" i="4"/>
  <c r="K1858" i="4"/>
  <c r="L1858" i="4"/>
  <c r="M1858" i="4"/>
  <c r="N1858" i="4"/>
  <c r="O1858" i="4"/>
  <c r="P1858" i="4"/>
  <c r="Q1858" i="4"/>
  <c r="J1859" i="4"/>
  <c r="K1859" i="4"/>
  <c r="L1859" i="4"/>
  <c r="M1859" i="4"/>
  <c r="N1859" i="4"/>
  <c r="O1859" i="4"/>
  <c r="P1859" i="4"/>
  <c r="Q1859" i="4"/>
  <c r="J1860" i="4"/>
  <c r="K1860" i="4"/>
  <c r="L1860" i="4"/>
  <c r="M1860" i="4"/>
  <c r="N1860" i="4"/>
  <c r="O1860" i="4"/>
  <c r="P1860" i="4"/>
  <c r="Q1860" i="4"/>
  <c r="J1861" i="4"/>
  <c r="K1861" i="4"/>
  <c r="L1861" i="4"/>
  <c r="M1861" i="4"/>
  <c r="N1861" i="4"/>
  <c r="O1861" i="4"/>
  <c r="P1861" i="4"/>
  <c r="Q1861" i="4"/>
  <c r="J1862" i="4"/>
  <c r="K1862" i="4"/>
  <c r="L1862" i="4"/>
  <c r="M1862" i="4"/>
  <c r="N1862" i="4"/>
  <c r="O1862" i="4"/>
  <c r="P1862" i="4"/>
  <c r="Q1862" i="4"/>
  <c r="J1863" i="4"/>
  <c r="K1863" i="4"/>
  <c r="L1863" i="4"/>
  <c r="M1863" i="4"/>
  <c r="N1863" i="4"/>
  <c r="O1863" i="4"/>
  <c r="P1863" i="4"/>
  <c r="Q1863" i="4"/>
  <c r="J1864" i="4"/>
  <c r="K1864" i="4"/>
  <c r="L1864" i="4"/>
  <c r="M1864" i="4"/>
  <c r="N1864" i="4"/>
  <c r="O1864" i="4"/>
  <c r="P1864" i="4"/>
  <c r="Q1864" i="4"/>
  <c r="J1865" i="4"/>
  <c r="K1865" i="4"/>
  <c r="L1865" i="4"/>
  <c r="M1865" i="4"/>
  <c r="N1865" i="4"/>
  <c r="O1865" i="4"/>
  <c r="P1865" i="4"/>
  <c r="Q1865" i="4"/>
  <c r="J1866" i="4"/>
  <c r="K1866" i="4"/>
  <c r="L1866" i="4"/>
  <c r="M1866" i="4"/>
  <c r="N1866" i="4"/>
  <c r="O1866" i="4"/>
  <c r="P1866" i="4"/>
  <c r="Q1866" i="4"/>
  <c r="J1867" i="4"/>
  <c r="K1867" i="4"/>
  <c r="L1867" i="4"/>
  <c r="M1867" i="4"/>
  <c r="N1867" i="4"/>
  <c r="O1867" i="4"/>
  <c r="P1867" i="4"/>
  <c r="Q1867" i="4"/>
  <c r="J1868" i="4"/>
  <c r="K1868" i="4"/>
  <c r="L1868" i="4"/>
  <c r="M1868" i="4"/>
  <c r="N1868" i="4"/>
  <c r="O1868" i="4"/>
  <c r="P1868" i="4"/>
  <c r="Q1868" i="4"/>
  <c r="J1869" i="4"/>
  <c r="K1869" i="4"/>
  <c r="L1869" i="4"/>
  <c r="M1869" i="4"/>
  <c r="N1869" i="4"/>
  <c r="O1869" i="4"/>
  <c r="P1869" i="4"/>
  <c r="Q1869" i="4"/>
  <c r="J1870" i="4"/>
  <c r="K1870" i="4"/>
  <c r="L1870" i="4"/>
  <c r="M1870" i="4"/>
  <c r="N1870" i="4"/>
  <c r="O1870" i="4"/>
  <c r="P1870" i="4"/>
  <c r="Q1870" i="4"/>
  <c r="J1871" i="4"/>
  <c r="K1871" i="4"/>
  <c r="L1871" i="4"/>
  <c r="M1871" i="4"/>
  <c r="N1871" i="4"/>
  <c r="O1871" i="4"/>
  <c r="P1871" i="4"/>
  <c r="Q1871" i="4"/>
  <c r="J1872" i="4"/>
  <c r="K1872" i="4"/>
  <c r="L1872" i="4"/>
  <c r="M1872" i="4"/>
  <c r="N1872" i="4"/>
  <c r="O1872" i="4"/>
  <c r="P1872" i="4"/>
  <c r="Q1872" i="4"/>
  <c r="J1873" i="4"/>
  <c r="K1873" i="4"/>
  <c r="L1873" i="4"/>
  <c r="M1873" i="4"/>
  <c r="N1873" i="4"/>
  <c r="O1873" i="4"/>
  <c r="P1873" i="4"/>
  <c r="Q1873" i="4"/>
  <c r="J1874" i="4"/>
  <c r="K1874" i="4"/>
  <c r="L1874" i="4"/>
  <c r="M1874" i="4"/>
  <c r="N1874" i="4"/>
  <c r="O1874" i="4"/>
  <c r="P1874" i="4"/>
  <c r="Q1874" i="4"/>
  <c r="J1875" i="4"/>
  <c r="K1875" i="4"/>
  <c r="L1875" i="4"/>
  <c r="M1875" i="4"/>
  <c r="N1875" i="4"/>
  <c r="O1875" i="4"/>
  <c r="P1875" i="4"/>
  <c r="Q1875" i="4"/>
  <c r="J1876" i="4"/>
  <c r="K1876" i="4"/>
  <c r="L1876" i="4"/>
  <c r="M1876" i="4"/>
  <c r="N1876" i="4"/>
  <c r="O1876" i="4"/>
  <c r="P1876" i="4"/>
  <c r="Q1876" i="4"/>
  <c r="J1877" i="4"/>
  <c r="K1877" i="4"/>
  <c r="L1877" i="4"/>
  <c r="M1877" i="4"/>
  <c r="N1877" i="4"/>
  <c r="O1877" i="4"/>
  <c r="P1877" i="4"/>
  <c r="Q1877" i="4"/>
  <c r="J1878" i="4"/>
  <c r="K1878" i="4"/>
  <c r="L1878" i="4"/>
  <c r="M1878" i="4"/>
  <c r="N1878" i="4"/>
  <c r="O1878" i="4"/>
  <c r="P1878" i="4"/>
  <c r="Q1878" i="4"/>
  <c r="J1879" i="4"/>
  <c r="K1879" i="4"/>
  <c r="L1879" i="4"/>
  <c r="M1879" i="4"/>
  <c r="N1879" i="4"/>
  <c r="O1879" i="4"/>
  <c r="P1879" i="4"/>
  <c r="Q1879" i="4"/>
  <c r="J1880" i="4"/>
  <c r="K1880" i="4"/>
  <c r="L1880" i="4"/>
  <c r="M1880" i="4"/>
  <c r="N1880" i="4"/>
  <c r="O1880" i="4"/>
  <c r="P1880" i="4"/>
  <c r="Q1880" i="4"/>
  <c r="J1881" i="4"/>
  <c r="K1881" i="4"/>
  <c r="L1881" i="4"/>
  <c r="M1881" i="4"/>
  <c r="N1881" i="4"/>
  <c r="O1881" i="4"/>
  <c r="P1881" i="4"/>
  <c r="Q1881" i="4"/>
  <c r="J1882" i="4"/>
  <c r="K1882" i="4"/>
  <c r="L1882" i="4"/>
  <c r="M1882" i="4"/>
  <c r="N1882" i="4"/>
  <c r="O1882" i="4"/>
  <c r="P1882" i="4"/>
  <c r="Q1882" i="4"/>
  <c r="J1883" i="4"/>
  <c r="K1883" i="4"/>
  <c r="L1883" i="4"/>
  <c r="M1883" i="4"/>
  <c r="N1883" i="4"/>
  <c r="O1883" i="4"/>
  <c r="P1883" i="4"/>
  <c r="Q1883" i="4"/>
  <c r="J1884" i="4"/>
  <c r="K1884" i="4"/>
  <c r="L1884" i="4"/>
  <c r="M1884" i="4"/>
  <c r="N1884" i="4"/>
  <c r="O1884" i="4"/>
  <c r="P1884" i="4"/>
  <c r="Q1884" i="4"/>
  <c r="J1885" i="4"/>
  <c r="K1885" i="4"/>
  <c r="L1885" i="4"/>
  <c r="M1885" i="4"/>
  <c r="N1885" i="4"/>
  <c r="O1885" i="4"/>
  <c r="P1885" i="4"/>
  <c r="Q1885" i="4"/>
  <c r="J1886" i="4"/>
  <c r="K1886" i="4"/>
  <c r="L1886" i="4"/>
  <c r="M1886" i="4"/>
  <c r="N1886" i="4"/>
  <c r="O1886" i="4"/>
  <c r="P1886" i="4"/>
  <c r="Q1886" i="4"/>
  <c r="J1887" i="4"/>
  <c r="K1887" i="4"/>
  <c r="L1887" i="4"/>
  <c r="M1887" i="4"/>
  <c r="N1887" i="4"/>
  <c r="O1887" i="4"/>
  <c r="P1887" i="4"/>
  <c r="Q1887" i="4"/>
  <c r="J1888" i="4"/>
  <c r="K1888" i="4"/>
  <c r="L1888" i="4"/>
  <c r="M1888" i="4"/>
  <c r="N1888" i="4"/>
  <c r="O1888" i="4"/>
  <c r="P1888" i="4"/>
  <c r="Q1888" i="4"/>
  <c r="J1889" i="4"/>
  <c r="K1889" i="4"/>
  <c r="L1889" i="4"/>
  <c r="M1889" i="4"/>
  <c r="N1889" i="4"/>
  <c r="O1889" i="4"/>
  <c r="P1889" i="4"/>
  <c r="Q1889" i="4"/>
  <c r="J1890" i="4"/>
  <c r="K1890" i="4"/>
  <c r="L1890" i="4"/>
  <c r="M1890" i="4"/>
  <c r="N1890" i="4"/>
  <c r="O1890" i="4"/>
  <c r="P1890" i="4"/>
  <c r="Q1890" i="4"/>
  <c r="J1891" i="4"/>
  <c r="K1891" i="4"/>
  <c r="L1891" i="4"/>
  <c r="M1891" i="4"/>
  <c r="N1891" i="4"/>
  <c r="O1891" i="4"/>
  <c r="P1891" i="4"/>
  <c r="Q1891" i="4"/>
  <c r="J1892" i="4"/>
  <c r="K1892" i="4"/>
  <c r="L1892" i="4"/>
  <c r="M1892" i="4"/>
  <c r="N1892" i="4"/>
  <c r="O1892" i="4"/>
  <c r="P1892" i="4"/>
  <c r="Q1892" i="4"/>
  <c r="J1893" i="4"/>
  <c r="K1893" i="4"/>
  <c r="L1893" i="4"/>
  <c r="M1893" i="4"/>
  <c r="N1893" i="4"/>
  <c r="O1893" i="4"/>
  <c r="P1893" i="4"/>
  <c r="Q1893" i="4"/>
  <c r="J1894" i="4"/>
  <c r="K1894" i="4"/>
  <c r="L1894" i="4"/>
  <c r="M1894" i="4"/>
  <c r="N1894" i="4"/>
  <c r="O1894" i="4"/>
  <c r="P1894" i="4"/>
  <c r="Q1894" i="4"/>
  <c r="J1895" i="4"/>
  <c r="K1895" i="4"/>
  <c r="L1895" i="4"/>
  <c r="M1895" i="4"/>
  <c r="N1895" i="4"/>
  <c r="O1895" i="4"/>
  <c r="P1895" i="4"/>
  <c r="Q1895" i="4"/>
  <c r="J1896" i="4"/>
  <c r="K1896" i="4"/>
  <c r="L1896" i="4"/>
  <c r="M1896" i="4"/>
  <c r="N1896" i="4"/>
  <c r="O1896" i="4"/>
  <c r="P1896" i="4"/>
  <c r="Q1896" i="4"/>
  <c r="J1897" i="4"/>
  <c r="K1897" i="4"/>
  <c r="L1897" i="4"/>
  <c r="M1897" i="4"/>
  <c r="N1897" i="4"/>
  <c r="O1897" i="4"/>
  <c r="P1897" i="4"/>
  <c r="Q1897" i="4"/>
  <c r="J1898" i="4"/>
  <c r="K1898" i="4"/>
  <c r="L1898" i="4"/>
  <c r="M1898" i="4"/>
  <c r="N1898" i="4"/>
  <c r="O1898" i="4"/>
  <c r="P1898" i="4"/>
  <c r="Q1898" i="4"/>
  <c r="J1899" i="4"/>
  <c r="K1899" i="4"/>
  <c r="L1899" i="4"/>
  <c r="M1899" i="4"/>
  <c r="N1899" i="4"/>
  <c r="O1899" i="4"/>
  <c r="P1899" i="4"/>
  <c r="Q1899" i="4"/>
  <c r="J1900" i="4"/>
  <c r="K1900" i="4"/>
  <c r="L1900" i="4"/>
  <c r="M1900" i="4"/>
  <c r="N1900" i="4"/>
  <c r="O1900" i="4"/>
  <c r="P1900" i="4"/>
  <c r="Q1900" i="4"/>
  <c r="J1901" i="4"/>
  <c r="K1901" i="4"/>
  <c r="L1901" i="4"/>
  <c r="M1901" i="4"/>
  <c r="N1901" i="4"/>
  <c r="O1901" i="4"/>
  <c r="P1901" i="4"/>
  <c r="Q1901" i="4"/>
  <c r="J1902" i="4"/>
  <c r="K1902" i="4"/>
  <c r="L1902" i="4"/>
  <c r="M1902" i="4"/>
  <c r="N1902" i="4"/>
  <c r="O1902" i="4"/>
  <c r="P1902" i="4"/>
  <c r="Q1902" i="4"/>
  <c r="J1903" i="4"/>
  <c r="K1903" i="4"/>
  <c r="L1903" i="4"/>
  <c r="M1903" i="4"/>
  <c r="N1903" i="4"/>
  <c r="O1903" i="4"/>
  <c r="P1903" i="4"/>
  <c r="Q1903" i="4"/>
  <c r="J1904" i="4"/>
  <c r="K1904" i="4"/>
  <c r="L1904" i="4"/>
  <c r="M1904" i="4"/>
  <c r="N1904" i="4"/>
  <c r="O1904" i="4"/>
  <c r="P1904" i="4"/>
  <c r="Q1904" i="4"/>
  <c r="J1905" i="4"/>
  <c r="K1905" i="4"/>
  <c r="L1905" i="4"/>
  <c r="M1905" i="4"/>
  <c r="N1905" i="4"/>
  <c r="O1905" i="4"/>
  <c r="P1905" i="4"/>
  <c r="Q1905" i="4"/>
  <c r="J1906" i="4"/>
  <c r="K1906" i="4"/>
  <c r="L1906" i="4"/>
  <c r="M1906" i="4"/>
  <c r="N1906" i="4"/>
  <c r="O1906" i="4"/>
  <c r="P1906" i="4"/>
  <c r="Q1906" i="4"/>
  <c r="J1907" i="4"/>
  <c r="K1907" i="4"/>
  <c r="L1907" i="4"/>
  <c r="M1907" i="4"/>
  <c r="N1907" i="4"/>
  <c r="O1907" i="4"/>
  <c r="P1907" i="4"/>
  <c r="Q1907" i="4"/>
  <c r="J1908" i="4"/>
  <c r="K1908" i="4"/>
  <c r="L1908" i="4"/>
  <c r="M1908" i="4"/>
  <c r="N1908" i="4"/>
  <c r="O1908" i="4"/>
  <c r="P1908" i="4"/>
  <c r="Q1908" i="4"/>
  <c r="J1909" i="4"/>
  <c r="K1909" i="4"/>
  <c r="L1909" i="4"/>
  <c r="M1909" i="4"/>
  <c r="N1909" i="4"/>
  <c r="O1909" i="4"/>
  <c r="P1909" i="4"/>
  <c r="Q1909" i="4"/>
  <c r="J1910" i="4"/>
  <c r="K1910" i="4"/>
  <c r="L1910" i="4"/>
  <c r="M1910" i="4"/>
  <c r="N1910" i="4"/>
  <c r="O1910" i="4"/>
  <c r="P1910" i="4"/>
  <c r="Q1910" i="4"/>
  <c r="J1911" i="4"/>
  <c r="K1911" i="4"/>
  <c r="L1911" i="4"/>
  <c r="M1911" i="4"/>
  <c r="N1911" i="4"/>
  <c r="O1911" i="4"/>
  <c r="P1911" i="4"/>
  <c r="Q1911" i="4"/>
  <c r="J1912" i="4"/>
  <c r="K1912" i="4"/>
  <c r="L1912" i="4"/>
  <c r="M1912" i="4"/>
  <c r="N1912" i="4"/>
  <c r="O1912" i="4"/>
  <c r="P1912" i="4"/>
  <c r="Q1912" i="4"/>
  <c r="J1913" i="4"/>
  <c r="K1913" i="4"/>
  <c r="L1913" i="4"/>
  <c r="M1913" i="4"/>
  <c r="N1913" i="4"/>
  <c r="O1913" i="4"/>
  <c r="P1913" i="4"/>
  <c r="Q1913" i="4"/>
  <c r="J1914" i="4"/>
  <c r="K1914" i="4"/>
  <c r="L1914" i="4"/>
  <c r="M1914" i="4"/>
  <c r="N1914" i="4"/>
  <c r="O1914" i="4"/>
  <c r="P1914" i="4"/>
  <c r="Q1914" i="4"/>
  <c r="J1915" i="4"/>
  <c r="K1915" i="4"/>
  <c r="L1915" i="4"/>
  <c r="M1915" i="4"/>
  <c r="N1915" i="4"/>
  <c r="O1915" i="4"/>
  <c r="P1915" i="4"/>
  <c r="Q1915" i="4"/>
  <c r="J1916" i="4"/>
  <c r="K1916" i="4"/>
  <c r="L1916" i="4"/>
  <c r="M1916" i="4"/>
  <c r="N1916" i="4"/>
  <c r="O1916" i="4"/>
  <c r="P1916" i="4"/>
  <c r="Q1916" i="4"/>
  <c r="J1917" i="4"/>
  <c r="K1917" i="4"/>
  <c r="L1917" i="4"/>
  <c r="M1917" i="4"/>
  <c r="N1917" i="4"/>
  <c r="O1917" i="4"/>
  <c r="P1917" i="4"/>
  <c r="Q1917" i="4"/>
  <c r="J1918" i="4"/>
  <c r="K1918" i="4"/>
  <c r="L1918" i="4"/>
  <c r="M1918" i="4"/>
  <c r="N1918" i="4"/>
  <c r="O1918" i="4"/>
  <c r="P1918" i="4"/>
  <c r="Q1918" i="4"/>
  <c r="J1919" i="4"/>
  <c r="K1919" i="4"/>
  <c r="L1919" i="4"/>
  <c r="M1919" i="4"/>
  <c r="N1919" i="4"/>
  <c r="O1919" i="4"/>
  <c r="P1919" i="4"/>
  <c r="Q1919" i="4"/>
  <c r="J1920" i="4"/>
  <c r="K1920" i="4"/>
  <c r="L1920" i="4"/>
  <c r="M1920" i="4"/>
  <c r="N1920" i="4"/>
  <c r="O1920" i="4"/>
  <c r="P1920" i="4"/>
  <c r="Q1920" i="4"/>
  <c r="J1921" i="4"/>
  <c r="K1921" i="4"/>
  <c r="L1921" i="4"/>
  <c r="M1921" i="4"/>
  <c r="N1921" i="4"/>
  <c r="O1921" i="4"/>
  <c r="P1921" i="4"/>
  <c r="Q1921" i="4"/>
  <c r="J1922" i="4"/>
  <c r="K1922" i="4"/>
  <c r="L1922" i="4"/>
  <c r="M1922" i="4"/>
  <c r="N1922" i="4"/>
  <c r="O1922" i="4"/>
  <c r="P1922" i="4"/>
  <c r="Q1922" i="4"/>
  <c r="J1923" i="4"/>
  <c r="K1923" i="4"/>
  <c r="L1923" i="4"/>
  <c r="M1923" i="4"/>
  <c r="N1923" i="4"/>
  <c r="O1923" i="4"/>
  <c r="P1923" i="4"/>
  <c r="Q1923" i="4"/>
  <c r="J1924" i="4"/>
  <c r="K1924" i="4"/>
  <c r="L1924" i="4"/>
  <c r="M1924" i="4"/>
  <c r="N1924" i="4"/>
  <c r="O1924" i="4"/>
  <c r="P1924" i="4"/>
  <c r="Q1924" i="4"/>
  <c r="J1925" i="4"/>
  <c r="K1925" i="4"/>
  <c r="L1925" i="4"/>
  <c r="M1925" i="4"/>
  <c r="N1925" i="4"/>
  <c r="O1925" i="4"/>
  <c r="P1925" i="4"/>
  <c r="Q1925" i="4"/>
  <c r="J1926" i="4"/>
  <c r="K1926" i="4"/>
  <c r="L1926" i="4"/>
  <c r="M1926" i="4"/>
  <c r="N1926" i="4"/>
  <c r="O1926" i="4"/>
  <c r="P1926" i="4"/>
  <c r="Q1926" i="4"/>
  <c r="J1927" i="4"/>
  <c r="K1927" i="4"/>
  <c r="L1927" i="4"/>
  <c r="M1927" i="4"/>
  <c r="N1927" i="4"/>
  <c r="O1927" i="4"/>
  <c r="P1927" i="4"/>
  <c r="Q1927" i="4"/>
  <c r="J1928" i="4"/>
  <c r="K1928" i="4"/>
  <c r="L1928" i="4"/>
  <c r="M1928" i="4"/>
  <c r="N1928" i="4"/>
  <c r="O1928" i="4"/>
  <c r="P1928" i="4"/>
  <c r="Q1928" i="4"/>
  <c r="J1929" i="4"/>
  <c r="K1929" i="4"/>
  <c r="L1929" i="4"/>
  <c r="M1929" i="4"/>
  <c r="N1929" i="4"/>
  <c r="O1929" i="4"/>
  <c r="P1929" i="4"/>
  <c r="Q1929" i="4"/>
  <c r="J1930" i="4"/>
  <c r="K1930" i="4"/>
  <c r="L1930" i="4"/>
  <c r="M1930" i="4"/>
  <c r="N1930" i="4"/>
  <c r="O1930" i="4"/>
  <c r="P1930" i="4"/>
  <c r="Q1930" i="4"/>
  <c r="J1931" i="4"/>
  <c r="K1931" i="4"/>
  <c r="L1931" i="4"/>
  <c r="M1931" i="4"/>
  <c r="N1931" i="4"/>
  <c r="O1931" i="4"/>
  <c r="P1931" i="4"/>
  <c r="Q1931" i="4"/>
  <c r="J1932" i="4"/>
  <c r="K1932" i="4"/>
  <c r="L1932" i="4"/>
  <c r="M1932" i="4"/>
  <c r="N1932" i="4"/>
  <c r="O1932" i="4"/>
  <c r="P1932" i="4"/>
  <c r="Q1932" i="4"/>
  <c r="J1933" i="4"/>
  <c r="K1933" i="4"/>
  <c r="L1933" i="4"/>
  <c r="M1933" i="4"/>
  <c r="N1933" i="4"/>
  <c r="O1933" i="4"/>
  <c r="P1933" i="4"/>
  <c r="Q1933" i="4"/>
  <c r="J1934" i="4"/>
  <c r="K1934" i="4"/>
  <c r="L1934" i="4"/>
  <c r="M1934" i="4"/>
  <c r="N1934" i="4"/>
  <c r="O1934" i="4"/>
  <c r="P1934" i="4"/>
  <c r="Q1934" i="4"/>
  <c r="J1935" i="4"/>
  <c r="K1935" i="4"/>
  <c r="L1935" i="4"/>
  <c r="M1935" i="4"/>
  <c r="N1935" i="4"/>
  <c r="O1935" i="4"/>
  <c r="P1935" i="4"/>
  <c r="Q1935" i="4"/>
  <c r="J1936" i="4"/>
  <c r="K1936" i="4"/>
  <c r="L1936" i="4"/>
  <c r="M1936" i="4"/>
  <c r="N1936" i="4"/>
  <c r="O1936" i="4"/>
  <c r="P1936" i="4"/>
  <c r="Q1936" i="4"/>
  <c r="J1937" i="4"/>
  <c r="K1937" i="4"/>
  <c r="L1937" i="4"/>
  <c r="M1937" i="4"/>
  <c r="N1937" i="4"/>
  <c r="O1937" i="4"/>
  <c r="P1937" i="4"/>
  <c r="Q1937" i="4"/>
  <c r="J1938" i="4"/>
  <c r="K1938" i="4"/>
  <c r="L1938" i="4"/>
  <c r="M1938" i="4"/>
  <c r="N1938" i="4"/>
  <c r="O1938" i="4"/>
  <c r="P1938" i="4"/>
  <c r="Q1938" i="4"/>
  <c r="J1939" i="4"/>
  <c r="K1939" i="4"/>
  <c r="L1939" i="4"/>
  <c r="M1939" i="4"/>
  <c r="N1939" i="4"/>
  <c r="O1939" i="4"/>
  <c r="P1939" i="4"/>
  <c r="Q1939" i="4"/>
  <c r="J1940" i="4"/>
  <c r="K1940" i="4"/>
  <c r="L1940" i="4"/>
  <c r="M1940" i="4"/>
  <c r="N1940" i="4"/>
  <c r="O1940" i="4"/>
  <c r="P1940" i="4"/>
  <c r="Q1940" i="4"/>
  <c r="J1941" i="4"/>
  <c r="K1941" i="4"/>
  <c r="L1941" i="4"/>
  <c r="M1941" i="4"/>
  <c r="N1941" i="4"/>
  <c r="O1941" i="4"/>
  <c r="P1941" i="4"/>
  <c r="Q1941" i="4"/>
  <c r="J1942" i="4"/>
  <c r="K1942" i="4"/>
  <c r="L1942" i="4"/>
  <c r="M1942" i="4"/>
  <c r="N1942" i="4"/>
  <c r="O1942" i="4"/>
  <c r="P1942" i="4"/>
  <c r="Q1942" i="4"/>
  <c r="J1943" i="4"/>
  <c r="K1943" i="4"/>
  <c r="L1943" i="4"/>
  <c r="M1943" i="4"/>
  <c r="N1943" i="4"/>
  <c r="O1943" i="4"/>
  <c r="P1943" i="4"/>
  <c r="Q1943" i="4"/>
  <c r="J1944" i="4"/>
  <c r="K1944" i="4"/>
  <c r="L1944" i="4"/>
  <c r="M1944" i="4"/>
  <c r="N1944" i="4"/>
  <c r="O1944" i="4"/>
  <c r="P1944" i="4"/>
  <c r="Q1944" i="4"/>
  <c r="J1945" i="4"/>
  <c r="K1945" i="4"/>
  <c r="L1945" i="4"/>
  <c r="M1945" i="4"/>
  <c r="N1945" i="4"/>
  <c r="O1945" i="4"/>
  <c r="P1945" i="4"/>
  <c r="Q1945" i="4"/>
  <c r="J1946" i="4"/>
  <c r="K1946" i="4"/>
  <c r="L1946" i="4"/>
  <c r="M1946" i="4"/>
  <c r="N1946" i="4"/>
  <c r="O1946" i="4"/>
  <c r="P1946" i="4"/>
  <c r="Q1946" i="4"/>
  <c r="J1947" i="4"/>
  <c r="K1947" i="4"/>
  <c r="L1947" i="4"/>
  <c r="M1947" i="4"/>
  <c r="N1947" i="4"/>
  <c r="O1947" i="4"/>
  <c r="P1947" i="4"/>
  <c r="Q1947" i="4"/>
  <c r="J1948" i="4"/>
  <c r="K1948" i="4"/>
  <c r="L1948" i="4"/>
  <c r="M1948" i="4"/>
  <c r="N1948" i="4"/>
  <c r="O1948" i="4"/>
  <c r="P1948" i="4"/>
  <c r="Q1948" i="4"/>
  <c r="J1949" i="4"/>
  <c r="K1949" i="4"/>
  <c r="L1949" i="4"/>
  <c r="M1949" i="4"/>
  <c r="N1949" i="4"/>
  <c r="O1949" i="4"/>
  <c r="P1949" i="4"/>
  <c r="Q1949" i="4"/>
  <c r="J1950" i="4"/>
  <c r="K1950" i="4"/>
  <c r="L1950" i="4"/>
  <c r="M1950" i="4"/>
  <c r="N1950" i="4"/>
  <c r="O1950" i="4"/>
  <c r="P1950" i="4"/>
  <c r="Q1950" i="4"/>
  <c r="J1951" i="4"/>
  <c r="K1951" i="4"/>
  <c r="L1951" i="4"/>
  <c r="M1951" i="4"/>
  <c r="N1951" i="4"/>
  <c r="O1951" i="4"/>
  <c r="P1951" i="4"/>
  <c r="Q1951" i="4"/>
  <c r="J1952" i="4"/>
  <c r="K1952" i="4"/>
  <c r="L1952" i="4"/>
  <c r="M1952" i="4"/>
  <c r="N1952" i="4"/>
  <c r="O1952" i="4"/>
  <c r="P1952" i="4"/>
  <c r="Q1952" i="4"/>
  <c r="J1953" i="4"/>
  <c r="K1953" i="4"/>
  <c r="L1953" i="4"/>
  <c r="M1953" i="4"/>
  <c r="N1953" i="4"/>
  <c r="O1953" i="4"/>
  <c r="P1953" i="4"/>
  <c r="Q1953" i="4"/>
  <c r="J1954" i="4"/>
  <c r="K1954" i="4"/>
  <c r="L1954" i="4"/>
  <c r="M1954" i="4"/>
  <c r="N1954" i="4"/>
  <c r="O1954" i="4"/>
  <c r="P1954" i="4"/>
  <c r="Q1954" i="4"/>
  <c r="J1955" i="4"/>
  <c r="K1955" i="4"/>
  <c r="L1955" i="4"/>
  <c r="M1955" i="4"/>
  <c r="N1955" i="4"/>
  <c r="O1955" i="4"/>
  <c r="P1955" i="4"/>
  <c r="Q1955" i="4"/>
  <c r="J1956" i="4"/>
  <c r="K1956" i="4"/>
  <c r="L1956" i="4"/>
  <c r="M1956" i="4"/>
  <c r="N1956" i="4"/>
  <c r="O1956" i="4"/>
  <c r="P1956" i="4"/>
  <c r="Q1956" i="4"/>
  <c r="J1957" i="4"/>
  <c r="K1957" i="4"/>
  <c r="L1957" i="4"/>
  <c r="M1957" i="4"/>
  <c r="N1957" i="4"/>
  <c r="O1957" i="4"/>
  <c r="P1957" i="4"/>
  <c r="Q1957" i="4"/>
  <c r="J1958" i="4"/>
  <c r="K1958" i="4"/>
  <c r="L1958" i="4"/>
  <c r="M1958" i="4"/>
  <c r="N1958" i="4"/>
  <c r="O1958" i="4"/>
  <c r="P1958" i="4"/>
  <c r="Q1958" i="4"/>
  <c r="J1959" i="4"/>
  <c r="K1959" i="4"/>
  <c r="L1959" i="4"/>
  <c r="M1959" i="4"/>
  <c r="N1959" i="4"/>
  <c r="O1959" i="4"/>
  <c r="P1959" i="4"/>
  <c r="Q1959" i="4"/>
  <c r="J1960" i="4"/>
  <c r="K1960" i="4"/>
  <c r="L1960" i="4"/>
  <c r="M1960" i="4"/>
  <c r="N1960" i="4"/>
  <c r="O1960" i="4"/>
  <c r="P1960" i="4"/>
  <c r="Q1960" i="4"/>
  <c r="J1961" i="4"/>
  <c r="K1961" i="4"/>
  <c r="L1961" i="4"/>
  <c r="M1961" i="4"/>
  <c r="N1961" i="4"/>
  <c r="O1961" i="4"/>
  <c r="P1961" i="4"/>
  <c r="Q1961" i="4"/>
  <c r="J1962" i="4"/>
  <c r="K1962" i="4"/>
  <c r="L1962" i="4"/>
  <c r="M1962" i="4"/>
  <c r="N1962" i="4"/>
  <c r="O1962" i="4"/>
  <c r="P1962" i="4"/>
  <c r="Q1962" i="4"/>
  <c r="J1963" i="4"/>
  <c r="K1963" i="4"/>
  <c r="L1963" i="4"/>
  <c r="M1963" i="4"/>
  <c r="N1963" i="4"/>
  <c r="O1963" i="4"/>
  <c r="P1963" i="4"/>
  <c r="Q1963" i="4"/>
  <c r="J1964" i="4"/>
  <c r="K1964" i="4"/>
  <c r="L1964" i="4"/>
  <c r="M1964" i="4"/>
  <c r="N1964" i="4"/>
  <c r="O1964" i="4"/>
  <c r="P1964" i="4"/>
  <c r="Q1964" i="4"/>
  <c r="J1965" i="4"/>
  <c r="K1965" i="4"/>
  <c r="L1965" i="4"/>
  <c r="M1965" i="4"/>
  <c r="N1965" i="4"/>
  <c r="O1965" i="4"/>
  <c r="P1965" i="4"/>
  <c r="Q1965" i="4"/>
  <c r="J1966" i="4"/>
  <c r="K1966" i="4"/>
  <c r="L1966" i="4"/>
  <c r="M1966" i="4"/>
  <c r="N1966" i="4"/>
  <c r="O1966" i="4"/>
  <c r="P1966" i="4"/>
  <c r="Q1966" i="4"/>
  <c r="J1967" i="4"/>
  <c r="K1967" i="4"/>
  <c r="L1967" i="4"/>
  <c r="M1967" i="4"/>
  <c r="N1967" i="4"/>
  <c r="O1967" i="4"/>
  <c r="P1967" i="4"/>
  <c r="Q1967" i="4"/>
  <c r="J1968" i="4"/>
  <c r="K1968" i="4"/>
  <c r="L1968" i="4"/>
  <c r="M1968" i="4"/>
  <c r="N1968" i="4"/>
  <c r="O1968" i="4"/>
  <c r="P1968" i="4"/>
  <c r="Q1968" i="4"/>
  <c r="J1969" i="4"/>
  <c r="K1969" i="4"/>
  <c r="L1969" i="4"/>
  <c r="M1969" i="4"/>
  <c r="N1969" i="4"/>
  <c r="O1969" i="4"/>
  <c r="P1969" i="4"/>
  <c r="Q1969" i="4"/>
  <c r="J1970" i="4"/>
  <c r="K1970" i="4"/>
  <c r="L1970" i="4"/>
  <c r="M1970" i="4"/>
  <c r="N1970" i="4"/>
  <c r="O1970" i="4"/>
  <c r="P1970" i="4"/>
  <c r="Q1970" i="4"/>
  <c r="J1971" i="4"/>
  <c r="K1971" i="4"/>
  <c r="L1971" i="4"/>
  <c r="M1971" i="4"/>
  <c r="N1971" i="4"/>
  <c r="O1971" i="4"/>
  <c r="P1971" i="4"/>
  <c r="Q1971" i="4"/>
  <c r="J1972" i="4"/>
  <c r="K1972" i="4"/>
  <c r="L1972" i="4"/>
  <c r="M1972" i="4"/>
  <c r="N1972" i="4"/>
  <c r="O1972" i="4"/>
  <c r="P1972" i="4"/>
  <c r="Q1972" i="4"/>
  <c r="J1973" i="4"/>
  <c r="K1973" i="4"/>
  <c r="L1973" i="4"/>
  <c r="M1973" i="4"/>
  <c r="N1973" i="4"/>
  <c r="O1973" i="4"/>
  <c r="P1973" i="4"/>
  <c r="Q1973" i="4"/>
  <c r="J1974" i="4"/>
  <c r="K1974" i="4"/>
  <c r="L1974" i="4"/>
  <c r="M1974" i="4"/>
  <c r="N1974" i="4"/>
  <c r="O1974" i="4"/>
  <c r="P1974" i="4"/>
  <c r="Q1974" i="4"/>
  <c r="J1975" i="4"/>
  <c r="K1975" i="4"/>
  <c r="L1975" i="4"/>
  <c r="M1975" i="4"/>
  <c r="N1975" i="4"/>
  <c r="O1975" i="4"/>
  <c r="P1975" i="4"/>
  <c r="Q1975" i="4"/>
  <c r="J1976" i="4"/>
  <c r="K1976" i="4"/>
  <c r="L1976" i="4"/>
  <c r="M1976" i="4"/>
  <c r="N1976" i="4"/>
  <c r="O1976" i="4"/>
  <c r="P1976" i="4"/>
  <c r="Q1976" i="4"/>
  <c r="J1977" i="4"/>
  <c r="K1977" i="4"/>
  <c r="L1977" i="4"/>
  <c r="M1977" i="4"/>
  <c r="N1977" i="4"/>
  <c r="O1977" i="4"/>
  <c r="P1977" i="4"/>
  <c r="Q1977" i="4"/>
  <c r="J1978" i="4"/>
  <c r="K1978" i="4"/>
  <c r="L1978" i="4"/>
  <c r="M1978" i="4"/>
  <c r="N1978" i="4"/>
  <c r="O1978" i="4"/>
  <c r="P1978" i="4"/>
  <c r="Q1978" i="4"/>
  <c r="J1979" i="4"/>
  <c r="K1979" i="4"/>
  <c r="L1979" i="4"/>
  <c r="M1979" i="4"/>
  <c r="N1979" i="4"/>
  <c r="O1979" i="4"/>
  <c r="P1979" i="4"/>
  <c r="Q1979" i="4"/>
  <c r="J1980" i="4"/>
  <c r="K1980" i="4"/>
  <c r="L1980" i="4"/>
  <c r="M1980" i="4"/>
  <c r="N1980" i="4"/>
  <c r="O1980" i="4"/>
  <c r="P1980" i="4"/>
  <c r="Q1980" i="4"/>
  <c r="J1981" i="4"/>
  <c r="K1981" i="4"/>
  <c r="L1981" i="4"/>
  <c r="M1981" i="4"/>
  <c r="N1981" i="4"/>
  <c r="O1981" i="4"/>
  <c r="P1981" i="4"/>
  <c r="Q1981" i="4"/>
  <c r="J1982" i="4"/>
  <c r="K1982" i="4"/>
  <c r="L1982" i="4"/>
  <c r="M1982" i="4"/>
  <c r="N1982" i="4"/>
  <c r="O1982" i="4"/>
  <c r="P1982" i="4"/>
  <c r="Q1982" i="4"/>
  <c r="J1983" i="4"/>
  <c r="K1983" i="4"/>
  <c r="L1983" i="4"/>
  <c r="M1983" i="4"/>
  <c r="N1983" i="4"/>
  <c r="O1983" i="4"/>
  <c r="P1983" i="4"/>
  <c r="Q1983" i="4"/>
  <c r="J1984" i="4"/>
  <c r="K1984" i="4"/>
  <c r="L1984" i="4"/>
  <c r="M1984" i="4"/>
  <c r="N1984" i="4"/>
  <c r="O1984" i="4"/>
  <c r="P1984" i="4"/>
  <c r="Q1984" i="4"/>
  <c r="J1985" i="4"/>
  <c r="K1985" i="4"/>
  <c r="L1985" i="4"/>
  <c r="M1985" i="4"/>
  <c r="N1985" i="4"/>
  <c r="O1985" i="4"/>
  <c r="P1985" i="4"/>
  <c r="Q1985" i="4"/>
  <c r="J1986" i="4"/>
  <c r="K1986" i="4"/>
  <c r="L1986" i="4"/>
  <c r="M1986" i="4"/>
  <c r="N1986" i="4"/>
  <c r="O1986" i="4"/>
  <c r="P1986" i="4"/>
  <c r="Q1986" i="4"/>
  <c r="J1987" i="4"/>
  <c r="K1987" i="4"/>
  <c r="L1987" i="4"/>
  <c r="M1987" i="4"/>
  <c r="N1987" i="4"/>
  <c r="O1987" i="4"/>
  <c r="P1987" i="4"/>
  <c r="Q1987" i="4"/>
  <c r="J1988" i="4"/>
  <c r="K1988" i="4"/>
  <c r="L1988" i="4"/>
  <c r="M1988" i="4"/>
  <c r="N1988" i="4"/>
  <c r="O1988" i="4"/>
  <c r="P1988" i="4"/>
  <c r="Q1988" i="4"/>
  <c r="J1989" i="4"/>
  <c r="K1989" i="4"/>
  <c r="L1989" i="4"/>
  <c r="M1989" i="4"/>
  <c r="N1989" i="4"/>
  <c r="O1989" i="4"/>
  <c r="P1989" i="4"/>
  <c r="Q1989" i="4"/>
  <c r="J1990" i="4"/>
  <c r="K1990" i="4"/>
  <c r="L1990" i="4"/>
  <c r="M1990" i="4"/>
  <c r="N1990" i="4"/>
  <c r="O1990" i="4"/>
  <c r="P1990" i="4"/>
  <c r="Q1990" i="4"/>
  <c r="J1991" i="4"/>
  <c r="K1991" i="4"/>
  <c r="L1991" i="4"/>
  <c r="M1991" i="4"/>
  <c r="N1991" i="4"/>
  <c r="O1991" i="4"/>
  <c r="P1991" i="4"/>
  <c r="Q1991" i="4"/>
  <c r="J1992" i="4"/>
  <c r="K1992" i="4"/>
  <c r="L1992" i="4"/>
  <c r="M1992" i="4"/>
  <c r="N1992" i="4"/>
  <c r="O1992" i="4"/>
  <c r="P1992" i="4"/>
  <c r="Q1992" i="4"/>
  <c r="J1993" i="4"/>
  <c r="K1993" i="4"/>
  <c r="L1993" i="4"/>
  <c r="M1993" i="4"/>
  <c r="N1993" i="4"/>
  <c r="O1993" i="4"/>
  <c r="P1993" i="4"/>
  <c r="Q1993" i="4"/>
  <c r="J1994" i="4"/>
  <c r="K1994" i="4"/>
  <c r="L1994" i="4"/>
  <c r="M1994" i="4"/>
  <c r="N1994" i="4"/>
  <c r="O1994" i="4"/>
  <c r="P1994" i="4"/>
  <c r="Q1994" i="4"/>
  <c r="J1995" i="4"/>
  <c r="K1995" i="4"/>
  <c r="L1995" i="4"/>
  <c r="M1995" i="4"/>
  <c r="N1995" i="4"/>
  <c r="O1995" i="4"/>
  <c r="P1995" i="4"/>
  <c r="Q1995" i="4"/>
  <c r="J1996" i="4"/>
  <c r="K1996" i="4"/>
  <c r="L1996" i="4"/>
  <c r="M1996" i="4"/>
  <c r="N1996" i="4"/>
  <c r="O1996" i="4"/>
  <c r="P1996" i="4"/>
  <c r="Q1996" i="4"/>
  <c r="J1997" i="4"/>
  <c r="K1997" i="4"/>
  <c r="L1997" i="4"/>
  <c r="M1997" i="4"/>
  <c r="N1997" i="4"/>
  <c r="O1997" i="4"/>
  <c r="P1997" i="4"/>
  <c r="Q1997" i="4"/>
  <c r="J1998" i="4"/>
  <c r="K1998" i="4"/>
  <c r="L1998" i="4"/>
  <c r="M1998" i="4"/>
  <c r="N1998" i="4"/>
  <c r="O1998" i="4"/>
  <c r="P1998" i="4"/>
  <c r="Q1998" i="4"/>
  <c r="J1999" i="4"/>
  <c r="K1999" i="4"/>
  <c r="L1999" i="4"/>
  <c r="M1999" i="4"/>
  <c r="N1999" i="4"/>
  <c r="O1999" i="4"/>
  <c r="P1999" i="4"/>
  <c r="Q1999" i="4"/>
  <c r="J2000" i="4"/>
  <c r="K2000" i="4"/>
  <c r="L2000" i="4"/>
  <c r="M2000" i="4"/>
  <c r="N2000" i="4"/>
  <c r="O2000" i="4"/>
  <c r="P2000" i="4"/>
  <c r="Q2000" i="4"/>
  <c r="J2001" i="4"/>
  <c r="K2001" i="4"/>
  <c r="L2001" i="4"/>
  <c r="M2001" i="4"/>
  <c r="N2001" i="4"/>
  <c r="O2001" i="4"/>
  <c r="P2001" i="4"/>
  <c r="Q2001" i="4"/>
  <c r="J2002" i="4"/>
  <c r="K2002" i="4"/>
  <c r="L2002" i="4"/>
  <c r="M2002" i="4"/>
  <c r="N2002" i="4"/>
  <c r="O2002" i="4"/>
  <c r="P2002" i="4"/>
  <c r="Q2002" i="4"/>
  <c r="J2003" i="4"/>
  <c r="K2003" i="4"/>
  <c r="L2003" i="4"/>
  <c r="M2003" i="4"/>
  <c r="N2003" i="4"/>
  <c r="O2003" i="4"/>
  <c r="P2003" i="4"/>
  <c r="Q2003" i="4"/>
  <c r="J2004" i="4"/>
  <c r="K2004" i="4"/>
  <c r="L2004" i="4"/>
  <c r="M2004" i="4"/>
  <c r="N2004" i="4"/>
  <c r="O2004" i="4"/>
  <c r="P2004" i="4"/>
  <c r="Q2004" i="4"/>
  <c r="J2005" i="4"/>
  <c r="K2005" i="4"/>
  <c r="L2005" i="4"/>
  <c r="M2005" i="4"/>
  <c r="N2005" i="4"/>
  <c r="O2005" i="4"/>
  <c r="P2005" i="4"/>
  <c r="Q2005" i="4"/>
  <c r="J2006" i="4"/>
  <c r="K2006" i="4"/>
  <c r="L2006" i="4"/>
  <c r="M2006" i="4"/>
  <c r="N2006" i="4"/>
  <c r="O2006" i="4"/>
  <c r="P2006" i="4"/>
  <c r="Q2006" i="4"/>
  <c r="J2007" i="4"/>
  <c r="K2007" i="4"/>
  <c r="L2007" i="4"/>
  <c r="M2007" i="4"/>
  <c r="N2007" i="4"/>
  <c r="O2007" i="4"/>
  <c r="P2007" i="4"/>
  <c r="Q2007" i="4"/>
  <c r="J2008" i="4"/>
  <c r="K2008" i="4"/>
  <c r="L2008" i="4"/>
  <c r="M2008" i="4"/>
  <c r="N2008" i="4"/>
  <c r="O2008" i="4"/>
  <c r="P2008" i="4"/>
  <c r="Q2008" i="4"/>
  <c r="J2009" i="4"/>
  <c r="K2009" i="4"/>
  <c r="L2009" i="4"/>
  <c r="M2009" i="4"/>
  <c r="N2009" i="4"/>
  <c r="O2009" i="4"/>
  <c r="P2009" i="4"/>
  <c r="Q2009" i="4"/>
  <c r="J2010" i="4"/>
  <c r="K2010" i="4"/>
  <c r="L2010" i="4"/>
  <c r="M2010" i="4"/>
  <c r="N2010" i="4"/>
  <c r="O2010" i="4"/>
  <c r="P2010" i="4"/>
  <c r="Q2010" i="4"/>
  <c r="J2011" i="4"/>
  <c r="K2011" i="4"/>
  <c r="L2011" i="4"/>
  <c r="M2011" i="4"/>
  <c r="N2011" i="4"/>
  <c r="O2011" i="4"/>
  <c r="P2011" i="4"/>
  <c r="Q2011" i="4"/>
  <c r="J2012" i="4"/>
  <c r="K2012" i="4"/>
  <c r="L2012" i="4"/>
  <c r="M2012" i="4"/>
  <c r="N2012" i="4"/>
  <c r="O2012" i="4"/>
  <c r="P2012" i="4"/>
  <c r="Q2012" i="4"/>
  <c r="J2013" i="4"/>
  <c r="K2013" i="4"/>
  <c r="L2013" i="4"/>
  <c r="M2013" i="4"/>
  <c r="N2013" i="4"/>
  <c r="O2013" i="4"/>
  <c r="P2013" i="4"/>
  <c r="Q2013" i="4"/>
  <c r="J2014" i="4"/>
  <c r="K2014" i="4"/>
  <c r="L2014" i="4"/>
  <c r="M2014" i="4"/>
  <c r="N2014" i="4"/>
  <c r="O2014" i="4"/>
  <c r="P2014" i="4"/>
  <c r="Q2014" i="4"/>
  <c r="J2015" i="4"/>
  <c r="K2015" i="4"/>
  <c r="L2015" i="4"/>
  <c r="M2015" i="4"/>
  <c r="N2015" i="4"/>
  <c r="O2015" i="4"/>
  <c r="P2015" i="4"/>
  <c r="Q2015" i="4"/>
  <c r="J2016" i="4"/>
  <c r="K2016" i="4"/>
  <c r="L2016" i="4"/>
  <c r="M2016" i="4"/>
  <c r="N2016" i="4"/>
  <c r="O2016" i="4"/>
  <c r="P2016" i="4"/>
  <c r="Q2016" i="4"/>
  <c r="J2017" i="4"/>
  <c r="K2017" i="4"/>
  <c r="L2017" i="4"/>
  <c r="M2017" i="4"/>
  <c r="N2017" i="4"/>
  <c r="O2017" i="4"/>
  <c r="P2017" i="4"/>
  <c r="Q2017" i="4"/>
  <c r="J2018" i="4"/>
  <c r="K2018" i="4"/>
  <c r="L2018" i="4"/>
  <c r="M2018" i="4"/>
  <c r="N2018" i="4"/>
  <c r="O2018" i="4"/>
  <c r="P2018" i="4"/>
  <c r="Q2018" i="4"/>
  <c r="J2019" i="4"/>
  <c r="K2019" i="4"/>
  <c r="L2019" i="4"/>
  <c r="M2019" i="4"/>
  <c r="N2019" i="4"/>
  <c r="O2019" i="4"/>
  <c r="P2019" i="4"/>
  <c r="Q2019" i="4"/>
  <c r="J2020" i="4"/>
  <c r="K2020" i="4"/>
  <c r="L2020" i="4"/>
  <c r="M2020" i="4"/>
  <c r="N2020" i="4"/>
  <c r="O2020" i="4"/>
  <c r="P2020" i="4"/>
  <c r="Q2020" i="4"/>
  <c r="J2021" i="4"/>
  <c r="K2021" i="4"/>
  <c r="L2021" i="4"/>
  <c r="M2021" i="4"/>
  <c r="N2021" i="4"/>
  <c r="O2021" i="4"/>
  <c r="P2021" i="4"/>
  <c r="Q2021" i="4"/>
  <c r="J2022" i="4"/>
  <c r="K2022" i="4"/>
  <c r="L2022" i="4"/>
  <c r="M2022" i="4"/>
  <c r="N2022" i="4"/>
  <c r="O2022" i="4"/>
  <c r="P2022" i="4"/>
  <c r="Q2022" i="4"/>
  <c r="J2023" i="4"/>
  <c r="K2023" i="4"/>
  <c r="L2023" i="4"/>
  <c r="M2023" i="4"/>
  <c r="N2023" i="4"/>
  <c r="O2023" i="4"/>
  <c r="P2023" i="4"/>
  <c r="Q2023" i="4"/>
  <c r="J2024" i="4"/>
  <c r="K2024" i="4"/>
  <c r="L2024" i="4"/>
  <c r="M2024" i="4"/>
  <c r="N2024" i="4"/>
  <c r="O2024" i="4"/>
  <c r="P2024" i="4"/>
  <c r="Q2024" i="4"/>
  <c r="J2025" i="4"/>
  <c r="K2025" i="4"/>
  <c r="L2025" i="4"/>
  <c r="M2025" i="4"/>
  <c r="N2025" i="4"/>
  <c r="O2025" i="4"/>
  <c r="P2025" i="4"/>
  <c r="Q2025" i="4"/>
  <c r="J2026" i="4"/>
  <c r="K2026" i="4"/>
  <c r="L2026" i="4"/>
  <c r="M2026" i="4"/>
  <c r="N2026" i="4"/>
  <c r="O2026" i="4"/>
  <c r="P2026" i="4"/>
  <c r="Q2026" i="4"/>
  <c r="J2027" i="4"/>
  <c r="K2027" i="4"/>
  <c r="L2027" i="4"/>
  <c r="M2027" i="4"/>
  <c r="N2027" i="4"/>
  <c r="O2027" i="4"/>
  <c r="P2027" i="4"/>
  <c r="Q2027" i="4"/>
  <c r="J2028" i="4"/>
  <c r="K2028" i="4"/>
  <c r="L2028" i="4"/>
  <c r="M2028" i="4"/>
  <c r="N2028" i="4"/>
  <c r="O2028" i="4"/>
  <c r="P2028" i="4"/>
  <c r="Q2028" i="4"/>
  <c r="J2029" i="4"/>
  <c r="K2029" i="4"/>
  <c r="L2029" i="4"/>
  <c r="M2029" i="4"/>
  <c r="N2029" i="4"/>
  <c r="O2029" i="4"/>
  <c r="P2029" i="4"/>
  <c r="Q2029" i="4"/>
  <c r="J2030" i="4"/>
  <c r="K2030" i="4"/>
  <c r="L2030" i="4"/>
  <c r="M2030" i="4"/>
  <c r="N2030" i="4"/>
  <c r="O2030" i="4"/>
  <c r="P2030" i="4"/>
  <c r="Q2030" i="4"/>
  <c r="J2031" i="4"/>
  <c r="K2031" i="4"/>
  <c r="L2031" i="4"/>
  <c r="M2031" i="4"/>
  <c r="N2031" i="4"/>
  <c r="O2031" i="4"/>
  <c r="P2031" i="4"/>
  <c r="Q2031" i="4"/>
  <c r="J2032" i="4"/>
  <c r="K2032" i="4"/>
  <c r="L2032" i="4"/>
  <c r="M2032" i="4"/>
  <c r="N2032" i="4"/>
  <c r="O2032" i="4"/>
  <c r="P2032" i="4"/>
  <c r="Q2032" i="4"/>
  <c r="J2033" i="4"/>
  <c r="K2033" i="4"/>
  <c r="L2033" i="4"/>
  <c r="M2033" i="4"/>
  <c r="N2033" i="4"/>
  <c r="O2033" i="4"/>
  <c r="P2033" i="4"/>
  <c r="Q2033" i="4"/>
  <c r="J2034" i="4"/>
  <c r="K2034" i="4"/>
  <c r="L2034" i="4"/>
  <c r="M2034" i="4"/>
  <c r="N2034" i="4"/>
  <c r="O2034" i="4"/>
  <c r="P2034" i="4"/>
  <c r="Q2034" i="4"/>
  <c r="J2035" i="4"/>
  <c r="K2035" i="4"/>
  <c r="L2035" i="4"/>
  <c r="M2035" i="4"/>
  <c r="N2035" i="4"/>
  <c r="O2035" i="4"/>
  <c r="P2035" i="4"/>
  <c r="Q2035" i="4"/>
  <c r="J2036" i="4"/>
  <c r="K2036" i="4"/>
  <c r="L2036" i="4"/>
  <c r="M2036" i="4"/>
  <c r="N2036" i="4"/>
  <c r="O2036" i="4"/>
  <c r="P2036" i="4"/>
  <c r="Q2036" i="4"/>
  <c r="J2037" i="4"/>
  <c r="K2037" i="4"/>
  <c r="L2037" i="4"/>
  <c r="M2037" i="4"/>
  <c r="N2037" i="4"/>
  <c r="O2037" i="4"/>
  <c r="P2037" i="4"/>
  <c r="Q2037" i="4"/>
  <c r="J2038" i="4"/>
  <c r="K2038" i="4"/>
  <c r="L2038" i="4"/>
  <c r="M2038" i="4"/>
  <c r="N2038" i="4"/>
  <c r="O2038" i="4"/>
  <c r="P2038" i="4"/>
  <c r="Q2038" i="4"/>
  <c r="J2039" i="4"/>
  <c r="K2039" i="4"/>
  <c r="L2039" i="4"/>
  <c r="M2039" i="4"/>
  <c r="N2039" i="4"/>
  <c r="O2039" i="4"/>
  <c r="P2039" i="4"/>
  <c r="Q2039" i="4"/>
  <c r="J2040" i="4"/>
  <c r="K2040" i="4"/>
  <c r="L2040" i="4"/>
  <c r="M2040" i="4"/>
  <c r="N2040" i="4"/>
  <c r="O2040" i="4"/>
  <c r="P2040" i="4"/>
  <c r="Q2040" i="4"/>
  <c r="J2041" i="4"/>
  <c r="K2041" i="4"/>
  <c r="L2041" i="4"/>
  <c r="M2041" i="4"/>
  <c r="N2041" i="4"/>
  <c r="O2041" i="4"/>
  <c r="P2041" i="4"/>
  <c r="Q2041" i="4"/>
  <c r="J2042" i="4"/>
  <c r="K2042" i="4"/>
  <c r="L2042" i="4"/>
  <c r="M2042" i="4"/>
  <c r="N2042" i="4"/>
  <c r="O2042" i="4"/>
  <c r="P2042" i="4"/>
  <c r="Q2042" i="4"/>
  <c r="J2043" i="4"/>
  <c r="K2043" i="4"/>
  <c r="L2043" i="4"/>
  <c r="M2043" i="4"/>
  <c r="N2043" i="4"/>
  <c r="O2043" i="4"/>
  <c r="P2043" i="4"/>
  <c r="Q2043" i="4"/>
  <c r="J2044" i="4"/>
  <c r="K2044" i="4"/>
  <c r="L2044" i="4"/>
  <c r="M2044" i="4"/>
  <c r="N2044" i="4"/>
  <c r="O2044" i="4"/>
  <c r="P2044" i="4"/>
  <c r="Q2044" i="4"/>
  <c r="J2045" i="4"/>
  <c r="K2045" i="4"/>
  <c r="L2045" i="4"/>
  <c r="M2045" i="4"/>
  <c r="N2045" i="4"/>
  <c r="O2045" i="4"/>
  <c r="P2045" i="4"/>
  <c r="Q2045" i="4"/>
  <c r="J2046" i="4"/>
  <c r="K2046" i="4"/>
  <c r="L2046" i="4"/>
  <c r="M2046" i="4"/>
  <c r="N2046" i="4"/>
  <c r="O2046" i="4"/>
  <c r="P2046" i="4"/>
  <c r="Q2046" i="4"/>
  <c r="J2047" i="4"/>
  <c r="K2047" i="4"/>
  <c r="L2047" i="4"/>
  <c r="M2047" i="4"/>
  <c r="N2047" i="4"/>
  <c r="O2047" i="4"/>
  <c r="P2047" i="4"/>
  <c r="Q2047" i="4"/>
  <c r="J2048" i="4"/>
  <c r="K2048" i="4"/>
  <c r="L2048" i="4"/>
  <c r="M2048" i="4"/>
  <c r="N2048" i="4"/>
  <c r="O2048" i="4"/>
  <c r="P2048" i="4"/>
  <c r="Q2048" i="4"/>
  <c r="J2049" i="4"/>
  <c r="K2049" i="4"/>
  <c r="L2049" i="4"/>
  <c r="M2049" i="4"/>
  <c r="N2049" i="4"/>
  <c r="O2049" i="4"/>
  <c r="P2049" i="4"/>
  <c r="Q2049" i="4"/>
  <c r="J2050" i="4"/>
  <c r="K2050" i="4"/>
  <c r="L2050" i="4"/>
  <c r="M2050" i="4"/>
  <c r="N2050" i="4"/>
  <c r="O2050" i="4"/>
  <c r="P2050" i="4"/>
  <c r="Q2050" i="4"/>
  <c r="J2051" i="4"/>
  <c r="K2051" i="4"/>
  <c r="L2051" i="4"/>
  <c r="M2051" i="4"/>
  <c r="N2051" i="4"/>
  <c r="O2051" i="4"/>
  <c r="P2051" i="4"/>
  <c r="Q2051" i="4"/>
  <c r="J2052" i="4"/>
  <c r="K2052" i="4"/>
  <c r="L2052" i="4"/>
  <c r="M2052" i="4"/>
  <c r="N2052" i="4"/>
  <c r="O2052" i="4"/>
  <c r="P2052" i="4"/>
  <c r="Q2052" i="4"/>
  <c r="J2053" i="4"/>
  <c r="K2053" i="4"/>
  <c r="L2053" i="4"/>
  <c r="M2053" i="4"/>
  <c r="N2053" i="4"/>
  <c r="O2053" i="4"/>
  <c r="P2053" i="4"/>
  <c r="Q2053" i="4"/>
  <c r="J2054" i="4"/>
  <c r="K2054" i="4"/>
  <c r="L2054" i="4"/>
  <c r="M2054" i="4"/>
  <c r="N2054" i="4"/>
  <c r="O2054" i="4"/>
  <c r="P2054" i="4"/>
  <c r="Q2054" i="4"/>
  <c r="J2055" i="4"/>
  <c r="K2055" i="4"/>
  <c r="L2055" i="4"/>
  <c r="M2055" i="4"/>
  <c r="N2055" i="4"/>
  <c r="O2055" i="4"/>
  <c r="P2055" i="4"/>
  <c r="Q2055" i="4"/>
  <c r="J2056" i="4"/>
  <c r="K2056" i="4"/>
  <c r="L2056" i="4"/>
  <c r="M2056" i="4"/>
  <c r="N2056" i="4"/>
  <c r="O2056" i="4"/>
  <c r="P2056" i="4"/>
  <c r="Q2056" i="4"/>
  <c r="J2057" i="4"/>
  <c r="K2057" i="4"/>
  <c r="L2057" i="4"/>
  <c r="M2057" i="4"/>
  <c r="N2057" i="4"/>
  <c r="O2057" i="4"/>
  <c r="P2057" i="4"/>
  <c r="Q2057" i="4"/>
  <c r="J2058" i="4"/>
  <c r="K2058" i="4"/>
  <c r="L2058" i="4"/>
  <c r="M2058" i="4"/>
  <c r="N2058" i="4"/>
  <c r="O2058" i="4"/>
  <c r="P2058" i="4"/>
  <c r="Q2058" i="4"/>
  <c r="J2059" i="4"/>
  <c r="K2059" i="4"/>
  <c r="L2059" i="4"/>
  <c r="M2059" i="4"/>
  <c r="N2059" i="4"/>
  <c r="O2059" i="4"/>
  <c r="P2059" i="4"/>
  <c r="Q2059" i="4"/>
  <c r="J2060" i="4"/>
  <c r="K2060" i="4"/>
  <c r="L2060" i="4"/>
  <c r="M2060" i="4"/>
  <c r="N2060" i="4"/>
  <c r="O2060" i="4"/>
  <c r="P2060" i="4"/>
  <c r="Q2060" i="4"/>
  <c r="J2061" i="4"/>
  <c r="K2061" i="4"/>
  <c r="L2061" i="4"/>
  <c r="M2061" i="4"/>
  <c r="N2061" i="4"/>
  <c r="O2061" i="4"/>
  <c r="P2061" i="4"/>
  <c r="Q2061" i="4"/>
  <c r="J2062" i="4"/>
  <c r="K2062" i="4"/>
  <c r="L2062" i="4"/>
  <c r="M2062" i="4"/>
  <c r="N2062" i="4"/>
  <c r="O2062" i="4"/>
  <c r="P2062" i="4"/>
  <c r="Q2062" i="4"/>
  <c r="J2063" i="4"/>
  <c r="K2063" i="4"/>
  <c r="L2063" i="4"/>
  <c r="M2063" i="4"/>
  <c r="N2063" i="4"/>
  <c r="O2063" i="4"/>
  <c r="P2063" i="4"/>
  <c r="Q2063" i="4"/>
  <c r="J2064" i="4"/>
  <c r="K2064" i="4"/>
  <c r="L2064" i="4"/>
  <c r="M2064" i="4"/>
  <c r="N2064" i="4"/>
  <c r="O2064" i="4"/>
  <c r="P2064" i="4"/>
  <c r="Q2064" i="4"/>
  <c r="J2065" i="4"/>
  <c r="K2065" i="4"/>
  <c r="L2065" i="4"/>
  <c r="M2065" i="4"/>
  <c r="N2065" i="4"/>
  <c r="O2065" i="4"/>
  <c r="P2065" i="4"/>
  <c r="Q2065" i="4"/>
  <c r="J2066" i="4"/>
  <c r="K2066" i="4"/>
  <c r="L2066" i="4"/>
  <c r="M2066" i="4"/>
  <c r="N2066" i="4"/>
  <c r="O2066" i="4"/>
  <c r="P2066" i="4"/>
  <c r="Q2066" i="4"/>
  <c r="J2067" i="4"/>
  <c r="K2067" i="4"/>
  <c r="L2067" i="4"/>
  <c r="M2067" i="4"/>
  <c r="N2067" i="4"/>
  <c r="O2067" i="4"/>
  <c r="P2067" i="4"/>
  <c r="Q2067" i="4"/>
  <c r="J2068" i="4"/>
  <c r="K2068" i="4"/>
  <c r="L2068" i="4"/>
  <c r="M2068" i="4"/>
  <c r="N2068" i="4"/>
  <c r="O2068" i="4"/>
  <c r="P2068" i="4"/>
  <c r="Q2068" i="4"/>
  <c r="J2069" i="4"/>
  <c r="K2069" i="4"/>
  <c r="L2069" i="4"/>
  <c r="M2069" i="4"/>
  <c r="N2069" i="4"/>
  <c r="O2069" i="4"/>
  <c r="P2069" i="4"/>
  <c r="Q2069" i="4"/>
  <c r="J2070" i="4"/>
  <c r="K2070" i="4"/>
  <c r="L2070" i="4"/>
  <c r="M2070" i="4"/>
  <c r="N2070" i="4"/>
  <c r="O2070" i="4"/>
  <c r="P2070" i="4"/>
  <c r="Q2070" i="4"/>
  <c r="J2071" i="4"/>
  <c r="K2071" i="4"/>
  <c r="L2071" i="4"/>
  <c r="M2071" i="4"/>
  <c r="N2071" i="4"/>
  <c r="O2071" i="4"/>
  <c r="P2071" i="4"/>
  <c r="Q2071" i="4"/>
  <c r="J2072" i="4"/>
  <c r="K2072" i="4"/>
  <c r="L2072" i="4"/>
  <c r="M2072" i="4"/>
  <c r="N2072" i="4"/>
  <c r="O2072" i="4"/>
  <c r="P2072" i="4"/>
  <c r="Q2072" i="4"/>
  <c r="J2073" i="4"/>
  <c r="K2073" i="4"/>
  <c r="L2073" i="4"/>
  <c r="M2073" i="4"/>
  <c r="N2073" i="4"/>
  <c r="O2073" i="4"/>
  <c r="P2073" i="4"/>
  <c r="Q2073" i="4"/>
  <c r="J2074" i="4"/>
  <c r="K2074" i="4"/>
  <c r="L2074" i="4"/>
  <c r="M2074" i="4"/>
  <c r="N2074" i="4"/>
  <c r="O2074" i="4"/>
  <c r="P2074" i="4"/>
  <c r="Q2074" i="4"/>
  <c r="J2075" i="4"/>
  <c r="K2075" i="4"/>
  <c r="L2075" i="4"/>
  <c r="M2075" i="4"/>
  <c r="N2075" i="4"/>
  <c r="O2075" i="4"/>
  <c r="P2075" i="4"/>
  <c r="Q2075" i="4"/>
  <c r="J2076" i="4"/>
  <c r="K2076" i="4"/>
  <c r="L2076" i="4"/>
  <c r="M2076" i="4"/>
  <c r="N2076" i="4"/>
  <c r="O2076" i="4"/>
  <c r="P2076" i="4"/>
  <c r="Q2076" i="4"/>
  <c r="J2077" i="4"/>
  <c r="K2077" i="4"/>
  <c r="L2077" i="4"/>
  <c r="M2077" i="4"/>
  <c r="N2077" i="4"/>
  <c r="O2077" i="4"/>
  <c r="P2077" i="4"/>
  <c r="Q2077" i="4"/>
  <c r="J2078" i="4"/>
  <c r="K2078" i="4"/>
  <c r="L2078" i="4"/>
  <c r="M2078" i="4"/>
  <c r="N2078" i="4"/>
  <c r="O2078" i="4"/>
  <c r="P2078" i="4"/>
  <c r="Q2078" i="4"/>
  <c r="J2079" i="4"/>
  <c r="K2079" i="4"/>
  <c r="L2079" i="4"/>
  <c r="M2079" i="4"/>
  <c r="N2079" i="4"/>
  <c r="O2079" i="4"/>
  <c r="P2079" i="4"/>
  <c r="Q2079" i="4"/>
  <c r="J2080" i="4"/>
  <c r="K2080" i="4"/>
  <c r="L2080" i="4"/>
  <c r="M2080" i="4"/>
  <c r="N2080" i="4"/>
  <c r="O2080" i="4"/>
  <c r="P2080" i="4"/>
  <c r="Q2080" i="4"/>
  <c r="J2081" i="4"/>
  <c r="K2081" i="4"/>
  <c r="L2081" i="4"/>
  <c r="M2081" i="4"/>
  <c r="N2081" i="4"/>
  <c r="O2081" i="4"/>
  <c r="P2081" i="4"/>
  <c r="Q2081" i="4"/>
  <c r="J2082" i="4"/>
  <c r="K2082" i="4"/>
  <c r="L2082" i="4"/>
  <c r="M2082" i="4"/>
  <c r="N2082" i="4"/>
  <c r="O2082" i="4"/>
  <c r="P2082" i="4"/>
  <c r="Q2082" i="4"/>
  <c r="J2083" i="4"/>
  <c r="K2083" i="4"/>
  <c r="L2083" i="4"/>
  <c r="M2083" i="4"/>
  <c r="N2083" i="4"/>
  <c r="O2083" i="4"/>
  <c r="P2083" i="4"/>
  <c r="Q2083" i="4"/>
  <c r="J2084" i="4"/>
  <c r="K2084" i="4"/>
  <c r="L2084" i="4"/>
  <c r="M2084" i="4"/>
  <c r="N2084" i="4"/>
  <c r="O2084" i="4"/>
  <c r="P2084" i="4"/>
  <c r="Q2084" i="4"/>
  <c r="J2085" i="4"/>
  <c r="K2085" i="4"/>
  <c r="L2085" i="4"/>
  <c r="M2085" i="4"/>
  <c r="N2085" i="4"/>
  <c r="O2085" i="4"/>
  <c r="P2085" i="4"/>
  <c r="Q2085" i="4"/>
  <c r="J2086" i="4"/>
  <c r="K2086" i="4"/>
  <c r="L2086" i="4"/>
  <c r="M2086" i="4"/>
  <c r="N2086" i="4"/>
  <c r="O2086" i="4"/>
  <c r="P2086" i="4"/>
  <c r="Q2086" i="4"/>
  <c r="J2087" i="4"/>
  <c r="K2087" i="4"/>
  <c r="L2087" i="4"/>
  <c r="M2087" i="4"/>
  <c r="N2087" i="4"/>
  <c r="O2087" i="4"/>
  <c r="P2087" i="4"/>
  <c r="Q2087" i="4"/>
  <c r="J2088" i="4"/>
  <c r="K2088" i="4"/>
  <c r="L2088" i="4"/>
  <c r="M2088" i="4"/>
  <c r="N2088" i="4"/>
  <c r="O2088" i="4"/>
  <c r="P2088" i="4"/>
  <c r="Q2088" i="4"/>
  <c r="J2089" i="4"/>
  <c r="K2089" i="4"/>
  <c r="L2089" i="4"/>
  <c r="M2089" i="4"/>
  <c r="N2089" i="4"/>
  <c r="O2089" i="4"/>
  <c r="P2089" i="4"/>
  <c r="Q2089" i="4"/>
  <c r="J2090" i="4"/>
  <c r="K2090" i="4"/>
  <c r="L2090" i="4"/>
  <c r="M2090" i="4"/>
  <c r="N2090" i="4"/>
  <c r="O2090" i="4"/>
  <c r="P2090" i="4"/>
  <c r="Q2090" i="4"/>
  <c r="J2091" i="4"/>
  <c r="K2091" i="4"/>
  <c r="L2091" i="4"/>
  <c r="M2091" i="4"/>
  <c r="N2091" i="4"/>
  <c r="O2091" i="4"/>
  <c r="P2091" i="4"/>
  <c r="Q2091" i="4"/>
  <c r="J2092" i="4"/>
  <c r="K2092" i="4"/>
  <c r="L2092" i="4"/>
  <c r="M2092" i="4"/>
  <c r="N2092" i="4"/>
  <c r="O2092" i="4"/>
  <c r="P2092" i="4"/>
  <c r="Q2092" i="4"/>
  <c r="J2093" i="4"/>
  <c r="K2093" i="4"/>
  <c r="L2093" i="4"/>
  <c r="M2093" i="4"/>
  <c r="N2093" i="4"/>
  <c r="O2093" i="4"/>
  <c r="P2093" i="4"/>
  <c r="Q2093" i="4"/>
  <c r="J2094" i="4"/>
  <c r="K2094" i="4"/>
  <c r="L2094" i="4"/>
  <c r="M2094" i="4"/>
  <c r="N2094" i="4"/>
  <c r="O2094" i="4"/>
  <c r="P2094" i="4"/>
  <c r="Q2094" i="4"/>
  <c r="J2095" i="4"/>
  <c r="K2095" i="4"/>
  <c r="L2095" i="4"/>
  <c r="M2095" i="4"/>
  <c r="N2095" i="4"/>
  <c r="O2095" i="4"/>
  <c r="P2095" i="4"/>
  <c r="Q2095" i="4"/>
  <c r="J2096" i="4"/>
  <c r="K2096" i="4"/>
  <c r="L2096" i="4"/>
  <c r="M2096" i="4"/>
  <c r="N2096" i="4"/>
  <c r="O2096" i="4"/>
  <c r="P2096" i="4"/>
  <c r="Q2096" i="4"/>
  <c r="J2097" i="4"/>
  <c r="K2097" i="4"/>
  <c r="L2097" i="4"/>
  <c r="M2097" i="4"/>
  <c r="N2097" i="4"/>
  <c r="O2097" i="4"/>
  <c r="P2097" i="4"/>
  <c r="Q2097" i="4"/>
  <c r="J2098" i="4"/>
  <c r="K2098" i="4"/>
  <c r="L2098" i="4"/>
  <c r="M2098" i="4"/>
  <c r="N2098" i="4"/>
  <c r="O2098" i="4"/>
  <c r="P2098" i="4"/>
  <c r="Q2098" i="4"/>
  <c r="J2099" i="4"/>
  <c r="K2099" i="4"/>
  <c r="L2099" i="4"/>
  <c r="M2099" i="4"/>
  <c r="N2099" i="4"/>
  <c r="O2099" i="4"/>
  <c r="P2099" i="4"/>
  <c r="Q2099" i="4"/>
  <c r="J2100" i="4"/>
  <c r="K2100" i="4"/>
  <c r="L2100" i="4"/>
  <c r="M2100" i="4"/>
  <c r="N2100" i="4"/>
  <c r="O2100" i="4"/>
  <c r="P2100" i="4"/>
  <c r="Q2100" i="4"/>
  <c r="J2101" i="4"/>
  <c r="K2101" i="4"/>
  <c r="L2101" i="4"/>
  <c r="M2101" i="4"/>
  <c r="N2101" i="4"/>
  <c r="O2101" i="4"/>
  <c r="P2101" i="4"/>
  <c r="Q2101" i="4"/>
  <c r="J2102" i="4"/>
  <c r="K2102" i="4"/>
  <c r="L2102" i="4"/>
  <c r="M2102" i="4"/>
  <c r="N2102" i="4"/>
  <c r="O2102" i="4"/>
  <c r="P2102" i="4"/>
  <c r="Q2102" i="4"/>
  <c r="J2103" i="4"/>
  <c r="K2103" i="4"/>
  <c r="L2103" i="4"/>
  <c r="M2103" i="4"/>
  <c r="N2103" i="4"/>
  <c r="O2103" i="4"/>
  <c r="P2103" i="4"/>
  <c r="Q2103" i="4"/>
  <c r="J2104" i="4"/>
  <c r="K2104" i="4"/>
  <c r="L2104" i="4"/>
  <c r="M2104" i="4"/>
  <c r="N2104" i="4"/>
  <c r="O2104" i="4"/>
  <c r="P2104" i="4"/>
  <c r="Q2104" i="4"/>
  <c r="J2105" i="4"/>
  <c r="K2105" i="4"/>
  <c r="L2105" i="4"/>
  <c r="M2105" i="4"/>
  <c r="N2105" i="4"/>
  <c r="O2105" i="4"/>
  <c r="P2105" i="4"/>
  <c r="Q2105" i="4"/>
  <c r="J2106" i="4"/>
  <c r="K2106" i="4"/>
  <c r="L2106" i="4"/>
  <c r="M2106" i="4"/>
  <c r="N2106" i="4"/>
  <c r="O2106" i="4"/>
  <c r="P2106" i="4"/>
  <c r="Q2106" i="4"/>
  <c r="J2107" i="4"/>
  <c r="K2107" i="4"/>
  <c r="L2107" i="4"/>
  <c r="M2107" i="4"/>
  <c r="N2107" i="4"/>
  <c r="O2107" i="4"/>
  <c r="P2107" i="4"/>
  <c r="Q2107" i="4"/>
  <c r="J2108" i="4"/>
  <c r="K2108" i="4"/>
  <c r="L2108" i="4"/>
  <c r="M2108" i="4"/>
  <c r="N2108" i="4"/>
  <c r="O2108" i="4"/>
  <c r="P2108" i="4"/>
  <c r="Q2108" i="4"/>
  <c r="J2109" i="4"/>
  <c r="K2109" i="4"/>
  <c r="L2109" i="4"/>
  <c r="M2109" i="4"/>
  <c r="N2109" i="4"/>
  <c r="O2109" i="4"/>
  <c r="P2109" i="4"/>
  <c r="Q2109" i="4"/>
  <c r="J2110" i="4"/>
  <c r="K2110" i="4"/>
  <c r="L2110" i="4"/>
  <c r="M2110" i="4"/>
  <c r="N2110" i="4"/>
  <c r="O2110" i="4"/>
  <c r="P2110" i="4"/>
  <c r="Q2110" i="4"/>
  <c r="J2111" i="4"/>
  <c r="K2111" i="4"/>
  <c r="L2111" i="4"/>
  <c r="M2111" i="4"/>
  <c r="N2111" i="4"/>
  <c r="O2111" i="4"/>
  <c r="P2111" i="4"/>
  <c r="Q2111" i="4"/>
  <c r="J2112" i="4"/>
  <c r="K2112" i="4"/>
  <c r="L2112" i="4"/>
  <c r="M2112" i="4"/>
  <c r="N2112" i="4"/>
  <c r="O2112" i="4"/>
  <c r="P2112" i="4"/>
  <c r="Q2112" i="4"/>
  <c r="J2113" i="4"/>
  <c r="K2113" i="4"/>
  <c r="L2113" i="4"/>
  <c r="M2113" i="4"/>
  <c r="N2113" i="4"/>
  <c r="O2113" i="4"/>
  <c r="P2113" i="4"/>
  <c r="Q2113" i="4"/>
  <c r="J2114" i="4"/>
  <c r="K2114" i="4"/>
  <c r="L2114" i="4"/>
  <c r="M2114" i="4"/>
  <c r="N2114" i="4"/>
  <c r="O2114" i="4"/>
  <c r="P2114" i="4"/>
  <c r="Q2114" i="4"/>
  <c r="J2115" i="4"/>
  <c r="K2115" i="4"/>
  <c r="L2115" i="4"/>
  <c r="M2115" i="4"/>
  <c r="N2115" i="4"/>
  <c r="O2115" i="4"/>
  <c r="P2115" i="4"/>
  <c r="Q2115" i="4"/>
  <c r="J2116" i="4"/>
  <c r="K2116" i="4"/>
  <c r="L2116" i="4"/>
  <c r="M2116" i="4"/>
  <c r="N2116" i="4"/>
  <c r="O2116" i="4"/>
  <c r="P2116" i="4"/>
  <c r="Q2116" i="4"/>
  <c r="J2117" i="4"/>
  <c r="K2117" i="4"/>
  <c r="L2117" i="4"/>
  <c r="M2117" i="4"/>
  <c r="N2117" i="4"/>
  <c r="O2117" i="4"/>
  <c r="P2117" i="4"/>
  <c r="Q2117" i="4"/>
  <c r="J2118" i="4"/>
  <c r="K2118" i="4"/>
  <c r="L2118" i="4"/>
  <c r="M2118" i="4"/>
  <c r="N2118" i="4"/>
  <c r="O2118" i="4"/>
  <c r="P2118" i="4"/>
  <c r="Q2118" i="4"/>
  <c r="J2119" i="4"/>
  <c r="K2119" i="4"/>
  <c r="L2119" i="4"/>
  <c r="M2119" i="4"/>
  <c r="N2119" i="4"/>
  <c r="O2119" i="4"/>
  <c r="P2119" i="4"/>
  <c r="Q2119" i="4"/>
  <c r="J2120" i="4"/>
  <c r="K2120" i="4"/>
  <c r="L2120" i="4"/>
  <c r="M2120" i="4"/>
  <c r="N2120" i="4"/>
  <c r="O2120" i="4"/>
  <c r="P2120" i="4"/>
  <c r="Q2120" i="4"/>
  <c r="J2121" i="4"/>
  <c r="K2121" i="4"/>
  <c r="L2121" i="4"/>
  <c r="M2121" i="4"/>
  <c r="N2121" i="4"/>
  <c r="O2121" i="4"/>
  <c r="P2121" i="4"/>
  <c r="Q2121" i="4"/>
  <c r="J2122" i="4"/>
  <c r="K2122" i="4"/>
  <c r="L2122" i="4"/>
  <c r="M2122" i="4"/>
  <c r="N2122" i="4"/>
  <c r="O2122" i="4"/>
  <c r="P2122" i="4"/>
  <c r="Q2122" i="4"/>
  <c r="J2123" i="4"/>
  <c r="K2123" i="4"/>
  <c r="L2123" i="4"/>
  <c r="M2123" i="4"/>
  <c r="N2123" i="4"/>
  <c r="O2123" i="4"/>
  <c r="P2123" i="4"/>
  <c r="Q2123" i="4"/>
  <c r="J2124" i="4"/>
  <c r="K2124" i="4"/>
  <c r="L2124" i="4"/>
  <c r="M2124" i="4"/>
  <c r="N2124" i="4"/>
  <c r="O2124" i="4"/>
  <c r="P2124" i="4"/>
  <c r="Q2124" i="4"/>
  <c r="J2125" i="4"/>
  <c r="K2125" i="4"/>
  <c r="L2125" i="4"/>
  <c r="M2125" i="4"/>
  <c r="N2125" i="4"/>
  <c r="O2125" i="4"/>
  <c r="P2125" i="4"/>
  <c r="Q2125" i="4"/>
  <c r="J2126" i="4"/>
  <c r="K2126" i="4"/>
  <c r="L2126" i="4"/>
  <c r="M2126" i="4"/>
  <c r="N2126" i="4"/>
  <c r="O2126" i="4"/>
  <c r="P2126" i="4"/>
  <c r="Q2126" i="4"/>
  <c r="J2127" i="4"/>
  <c r="K2127" i="4"/>
  <c r="L2127" i="4"/>
  <c r="M2127" i="4"/>
  <c r="N2127" i="4"/>
  <c r="O2127" i="4"/>
  <c r="P2127" i="4"/>
  <c r="Q2127" i="4"/>
  <c r="J2128" i="4"/>
  <c r="K2128" i="4"/>
  <c r="L2128" i="4"/>
  <c r="M2128" i="4"/>
  <c r="N2128" i="4"/>
  <c r="O2128" i="4"/>
  <c r="P2128" i="4"/>
  <c r="Q2128" i="4"/>
  <c r="J2129" i="4"/>
  <c r="K2129" i="4"/>
  <c r="L2129" i="4"/>
  <c r="M2129" i="4"/>
  <c r="N2129" i="4"/>
  <c r="O2129" i="4"/>
  <c r="P2129" i="4"/>
  <c r="Q2129" i="4"/>
  <c r="J2130" i="4"/>
  <c r="K2130" i="4"/>
  <c r="L2130" i="4"/>
  <c r="M2130" i="4"/>
  <c r="N2130" i="4"/>
  <c r="O2130" i="4"/>
  <c r="P2130" i="4"/>
  <c r="Q2130" i="4"/>
  <c r="J2131" i="4"/>
  <c r="K2131" i="4"/>
  <c r="L2131" i="4"/>
  <c r="M2131" i="4"/>
  <c r="N2131" i="4"/>
  <c r="O2131" i="4"/>
  <c r="P2131" i="4"/>
  <c r="Q2131" i="4"/>
  <c r="J2132" i="4"/>
  <c r="K2132" i="4"/>
  <c r="L2132" i="4"/>
  <c r="M2132" i="4"/>
  <c r="N2132" i="4"/>
  <c r="O2132" i="4"/>
  <c r="P2132" i="4"/>
  <c r="Q2132" i="4"/>
  <c r="J2133" i="4"/>
  <c r="K2133" i="4"/>
  <c r="L2133" i="4"/>
  <c r="M2133" i="4"/>
  <c r="N2133" i="4"/>
  <c r="O2133" i="4"/>
  <c r="P2133" i="4"/>
  <c r="Q2133" i="4"/>
  <c r="J2134" i="4"/>
  <c r="K2134" i="4"/>
  <c r="L2134" i="4"/>
  <c r="M2134" i="4"/>
  <c r="N2134" i="4"/>
  <c r="O2134" i="4"/>
  <c r="P2134" i="4"/>
  <c r="Q2134" i="4"/>
  <c r="J2135" i="4"/>
  <c r="K2135" i="4"/>
  <c r="L2135" i="4"/>
  <c r="M2135" i="4"/>
  <c r="N2135" i="4"/>
  <c r="O2135" i="4"/>
  <c r="P2135" i="4"/>
  <c r="Q2135" i="4"/>
  <c r="J2136" i="4"/>
  <c r="K2136" i="4"/>
  <c r="L2136" i="4"/>
  <c r="M2136" i="4"/>
  <c r="N2136" i="4"/>
  <c r="O2136" i="4"/>
  <c r="P2136" i="4"/>
  <c r="Q2136" i="4"/>
  <c r="J2137" i="4"/>
  <c r="K2137" i="4"/>
  <c r="L2137" i="4"/>
  <c r="M2137" i="4"/>
  <c r="N2137" i="4"/>
  <c r="O2137" i="4"/>
  <c r="P2137" i="4"/>
  <c r="Q2137" i="4"/>
  <c r="J2138" i="4"/>
  <c r="K2138" i="4"/>
  <c r="L2138" i="4"/>
  <c r="M2138" i="4"/>
  <c r="N2138" i="4"/>
  <c r="O2138" i="4"/>
  <c r="P2138" i="4"/>
  <c r="Q2138" i="4"/>
  <c r="J2139" i="4"/>
  <c r="K2139" i="4"/>
  <c r="L2139" i="4"/>
  <c r="M2139" i="4"/>
  <c r="N2139" i="4"/>
  <c r="O2139" i="4"/>
  <c r="P2139" i="4"/>
  <c r="Q2139" i="4"/>
  <c r="J2140" i="4"/>
  <c r="K2140" i="4"/>
  <c r="L2140" i="4"/>
  <c r="M2140" i="4"/>
  <c r="N2140" i="4"/>
  <c r="O2140" i="4"/>
  <c r="P2140" i="4"/>
  <c r="Q2140" i="4"/>
  <c r="J2141" i="4"/>
  <c r="K2141" i="4"/>
  <c r="L2141" i="4"/>
  <c r="M2141" i="4"/>
  <c r="N2141" i="4"/>
  <c r="O2141" i="4"/>
  <c r="P2141" i="4"/>
  <c r="Q2141" i="4"/>
  <c r="J2142" i="4"/>
  <c r="K2142" i="4"/>
  <c r="L2142" i="4"/>
  <c r="M2142" i="4"/>
  <c r="N2142" i="4"/>
  <c r="O2142" i="4"/>
  <c r="P2142" i="4"/>
  <c r="Q2142" i="4"/>
  <c r="J2143" i="4"/>
  <c r="K2143" i="4"/>
  <c r="L2143" i="4"/>
  <c r="M2143" i="4"/>
  <c r="N2143" i="4"/>
  <c r="O2143" i="4"/>
  <c r="P2143" i="4"/>
  <c r="Q2143" i="4"/>
  <c r="J2144" i="4"/>
  <c r="K2144" i="4"/>
  <c r="L2144" i="4"/>
  <c r="M2144" i="4"/>
  <c r="N2144" i="4"/>
  <c r="O2144" i="4"/>
  <c r="P2144" i="4"/>
  <c r="Q2144" i="4"/>
  <c r="J2145" i="4"/>
  <c r="K2145" i="4"/>
  <c r="L2145" i="4"/>
  <c r="M2145" i="4"/>
  <c r="N2145" i="4"/>
  <c r="O2145" i="4"/>
  <c r="P2145" i="4"/>
  <c r="Q2145" i="4"/>
  <c r="J2146" i="4"/>
  <c r="K2146" i="4"/>
  <c r="L2146" i="4"/>
  <c r="M2146" i="4"/>
  <c r="N2146" i="4"/>
  <c r="O2146" i="4"/>
  <c r="P2146" i="4"/>
  <c r="Q2146" i="4"/>
  <c r="J2147" i="4"/>
  <c r="K2147" i="4"/>
  <c r="L2147" i="4"/>
  <c r="M2147" i="4"/>
  <c r="N2147" i="4"/>
  <c r="O2147" i="4"/>
  <c r="P2147" i="4"/>
  <c r="Q2147" i="4"/>
  <c r="J2148" i="4"/>
  <c r="K2148" i="4"/>
  <c r="L2148" i="4"/>
  <c r="M2148" i="4"/>
  <c r="N2148" i="4"/>
  <c r="O2148" i="4"/>
  <c r="P2148" i="4"/>
  <c r="Q2148" i="4"/>
  <c r="J2149" i="4"/>
  <c r="K2149" i="4"/>
  <c r="L2149" i="4"/>
  <c r="M2149" i="4"/>
  <c r="N2149" i="4"/>
  <c r="O2149" i="4"/>
  <c r="P2149" i="4"/>
  <c r="Q2149" i="4"/>
  <c r="J2150" i="4"/>
  <c r="K2150" i="4"/>
  <c r="L2150" i="4"/>
  <c r="M2150" i="4"/>
  <c r="N2150" i="4"/>
  <c r="O2150" i="4"/>
  <c r="P2150" i="4"/>
  <c r="Q2150" i="4"/>
  <c r="J2151" i="4"/>
  <c r="K2151" i="4"/>
  <c r="L2151" i="4"/>
  <c r="M2151" i="4"/>
  <c r="N2151" i="4"/>
  <c r="O2151" i="4"/>
  <c r="P2151" i="4"/>
  <c r="Q2151" i="4"/>
  <c r="J2152" i="4"/>
  <c r="K2152" i="4"/>
  <c r="L2152" i="4"/>
  <c r="M2152" i="4"/>
  <c r="N2152" i="4"/>
  <c r="O2152" i="4"/>
  <c r="P2152" i="4"/>
  <c r="Q2152" i="4"/>
  <c r="J2153" i="4"/>
  <c r="K2153" i="4"/>
  <c r="L2153" i="4"/>
  <c r="M2153" i="4"/>
  <c r="N2153" i="4"/>
  <c r="O2153" i="4"/>
  <c r="P2153" i="4"/>
  <c r="Q2153" i="4"/>
  <c r="J2154" i="4"/>
  <c r="K2154" i="4"/>
  <c r="L2154" i="4"/>
  <c r="M2154" i="4"/>
  <c r="N2154" i="4"/>
  <c r="O2154" i="4"/>
  <c r="P2154" i="4"/>
  <c r="Q2154" i="4"/>
  <c r="J2155" i="4"/>
  <c r="K2155" i="4"/>
  <c r="L2155" i="4"/>
  <c r="M2155" i="4"/>
  <c r="N2155" i="4"/>
  <c r="O2155" i="4"/>
  <c r="P2155" i="4"/>
  <c r="Q2155" i="4"/>
  <c r="J2156" i="4"/>
  <c r="K2156" i="4"/>
  <c r="L2156" i="4"/>
  <c r="M2156" i="4"/>
  <c r="N2156" i="4"/>
  <c r="O2156" i="4"/>
  <c r="P2156" i="4"/>
  <c r="Q2156" i="4"/>
  <c r="J2157" i="4"/>
  <c r="K2157" i="4"/>
  <c r="L2157" i="4"/>
  <c r="M2157" i="4"/>
  <c r="N2157" i="4"/>
  <c r="O2157" i="4"/>
  <c r="P2157" i="4"/>
  <c r="Q2157" i="4"/>
  <c r="J2158" i="4"/>
  <c r="K2158" i="4"/>
  <c r="L2158" i="4"/>
  <c r="M2158" i="4"/>
  <c r="N2158" i="4"/>
  <c r="O2158" i="4"/>
  <c r="P2158" i="4"/>
  <c r="Q2158" i="4"/>
  <c r="J2159" i="4"/>
  <c r="K2159" i="4"/>
  <c r="L2159" i="4"/>
  <c r="M2159" i="4"/>
  <c r="N2159" i="4"/>
  <c r="O2159" i="4"/>
  <c r="P2159" i="4"/>
  <c r="Q2159" i="4"/>
  <c r="J2160" i="4"/>
  <c r="K2160" i="4"/>
  <c r="L2160" i="4"/>
  <c r="M2160" i="4"/>
  <c r="N2160" i="4"/>
  <c r="O2160" i="4"/>
  <c r="P2160" i="4"/>
  <c r="Q2160" i="4"/>
  <c r="J2161" i="4"/>
  <c r="K2161" i="4"/>
  <c r="L2161" i="4"/>
  <c r="M2161" i="4"/>
  <c r="N2161" i="4"/>
  <c r="O2161" i="4"/>
  <c r="P2161" i="4"/>
  <c r="Q2161" i="4"/>
  <c r="J2162" i="4"/>
  <c r="K2162" i="4"/>
  <c r="L2162" i="4"/>
  <c r="M2162" i="4"/>
  <c r="N2162" i="4"/>
  <c r="O2162" i="4"/>
  <c r="P2162" i="4"/>
  <c r="Q2162" i="4"/>
  <c r="J2163" i="4"/>
  <c r="K2163" i="4"/>
  <c r="L2163" i="4"/>
  <c r="M2163" i="4"/>
  <c r="N2163" i="4"/>
  <c r="O2163" i="4"/>
  <c r="P2163" i="4"/>
  <c r="Q2163" i="4"/>
  <c r="J2164" i="4"/>
  <c r="K2164" i="4"/>
  <c r="L2164" i="4"/>
  <c r="M2164" i="4"/>
  <c r="N2164" i="4"/>
  <c r="O2164" i="4"/>
  <c r="P2164" i="4"/>
  <c r="Q2164" i="4"/>
  <c r="J2165" i="4"/>
  <c r="K2165" i="4"/>
  <c r="L2165" i="4"/>
  <c r="M2165" i="4"/>
  <c r="N2165" i="4"/>
  <c r="O2165" i="4"/>
  <c r="P2165" i="4"/>
  <c r="Q2165" i="4"/>
  <c r="J2166" i="4"/>
  <c r="K2166" i="4"/>
  <c r="L2166" i="4"/>
  <c r="M2166" i="4"/>
  <c r="N2166" i="4"/>
  <c r="O2166" i="4"/>
  <c r="P2166" i="4"/>
  <c r="Q2166" i="4"/>
  <c r="J2167" i="4"/>
  <c r="K2167" i="4"/>
  <c r="L2167" i="4"/>
  <c r="M2167" i="4"/>
  <c r="N2167" i="4"/>
  <c r="O2167" i="4"/>
  <c r="P2167" i="4"/>
  <c r="Q2167" i="4"/>
  <c r="J2168" i="4"/>
  <c r="K2168" i="4"/>
  <c r="L2168" i="4"/>
  <c r="M2168" i="4"/>
  <c r="N2168" i="4"/>
  <c r="O2168" i="4"/>
  <c r="P2168" i="4"/>
  <c r="Q2168" i="4"/>
  <c r="J2169" i="4"/>
  <c r="K2169" i="4"/>
  <c r="L2169" i="4"/>
  <c r="M2169" i="4"/>
  <c r="N2169" i="4"/>
  <c r="O2169" i="4"/>
  <c r="P2169" i="4"/>
  <c r="Q2169" i="4"/>
  <c r="J2170" i="4"/>
  <c r="K2170" i="4"/>
  <c r="L2170" i="4"/>
  <c r="M2170" i="4"/>
  <c r="N2170" i="4"/>
  <c r="O2170" i="4"/>
  <c r="P2170" i="4"/>
  <c r="Q2170" i="4"/>
  <c r="J2171" i="4"/>
  <c r="K2171" i="4"/>
  <c r="L2171" i="4"/>
  <c r="M2171" i="4"/>
  <c r="N2171" i="4"/>
  <c r="O2171" i="4"/>
  <c r="P2171" i="4"/>
  <c r="Q2171" i="4"/>
  <c r="J2172" i="4"/>
  <c r="K2172" i="4"/>
  <c r="L2172" i="4"/>
  <c r="M2172" i="4"/>
  <c r="N2172" i="4"/>
  <c r="O2172" i="4"/>
  <c r="P2172" i="4"/>
  <c r="Q2172" i="4"/>
  <c r="J2173" i="4"/>
  <c r="K2173" i="4"/>
  <c r="L2173" i="4"/>
  <c r="M2173" i="4"/>
  <c r="N2173" i="4"/>
  <c r="O2173" i="4"/>
  <c r="P2173" i="4"/>
  <c r="Q2173" i="4"/>
  <c r="J2174" i="4"/>
  <c r="K2174" i="4"/>
  <c r="L2174" i="4"/>
  <c r="M2174" i="4"/>
  <c r="N2174" i="4"/>
  <c r="O2174" i="4"/>
  <c r="P2174" i="4"/>
  <c r="Q2174" i="4"/>
  <c r="J2175" i="4"/>
  <c r="K2175" i="4"/>
  <c r="L2175" i="4"/>
  <c r="M2175" i="4"/>
  <c r="N2175" i="4"/>
  <c r="O2175" i="4"/>
  <c r="P2175" i="4"/>
  <c r="Q2175" i="4"/>
  <c r="J2176" i="4"/>
  <c r="K2176" i="4"/>
  <c r="L2176" i="4"/>
  <c r="M2176" i="4"/>
  <c r="N2176" i="4"/>
  <c r="O2176" i="4"/>
  <c r="P2176" i="4"/>
  <c r="Q2176" i="4"/>
  <c r="J2177" i="4"/>
  <c r="K2177" i="4"/>
  <c r="L2177" i="4"/>
  <c r="M2177" i="4"/>
  <c r="N2177" i="4"/>
  <c r="O2177" i="4"/>
  <c r="P2177" i="4"/>
  <c r="Q2177" i="4"/>
  <c r="J2178" i="4"/>
  <c r="K2178" i="4"/>
  <c r="L2178" i="4"/>
  <c r="M2178" i="4"/>
  <c r="N2178" i="4"/>
  <c r="O2178" i="4"/>
  <c r="P2178" i="4"/>
  <c r="Q2178" i="4"/>
  <c r="J2179" i="4"/>
  <c r="K2179" i="4"/>
  <c r="L2179" i="4"/>
  <c r="M2179" i="4"/>
  <c r="N2179" i="4"/>
  <c r="O2179" i="4"/>
  <c r="P2179" i="4"/>
  <c r="Q2179" i="4"/>
  <c r="J2180" i="4"/>
  <c r="K2180" i="4"/>
  <c r="L2180" i="4"/>
  <c r="M2180" i="4"/>
  <c r="N2180" i="4"/>
  <c r="O2180" i="4"/>
  <c r="P2180" i="4"/>
  <c r="Q2180" i="4"/>
  <c r="J2181" i="4"/>
  <c r="K2181" i="4"/>
  <c r="L2181" i="4"/>
  <c r="M2181" i="4"/>
  <c r="N2181" i="4"/>
  <c r="O2181" i="4"/>
  <c r="P2181" i="4"/>
  <c r="Q2181" i="4"/>
  <c r="J2182" i="4"/>
  <c r="K2182" i="4"/>
  <c r="L2182" i="4"/>
  <c r="M2182" i="4"/>
  <c r="N2182" i="4"/>
  <c r="O2182" i="4"/>
  <c r="P2182" i="4"/>
  <c r="Q2182" i="4"/>
  <c r="J2183" i="4"/>
  <c r="K2183" i="4"/>
  <c r="L2183" i="4"/>
  <c r="M2183" i="4"/>
  <c r="N2183" i="4"/>
  <c r="O2183" i="4"/>
  <c r="P2183" i="4"/>
  <c r="Q2183" i="4"/>
  <c r="J2184" i="4"/>
  <c r="K2184" i="4"/>
  <c r="L2184" i="4"/>
  <c r="M2184" i="4"/>
  <c r="N2184" i="4"/>
  <c r="O2184" i="4"/>
  <c r="P2184" i="4"/>
  <c r="Q2184" i="4"/>
  <c r="J2185" i="4"/>
  <c r="K2185" i="4"/>
  <c r="L2185" i="4"/>
  <c r="M2185" i="4"/>
  <c r="N2185" i="4"/>
  <c r="O2185" i="4"/>
  <c r="P2185" i="4"/>
  <c r="Q2185" i="4"/>
  <c r="J2186" i="4"/>
  <c r="K2186" i="4"/>
  <c r="L2186" i="4"/>
  <c r="M2186" i="4"/>
  <c r="N2186" i="4"/>
  <c r="O2186" i="4"/>
  <c r="P2186" i="4"/>
  <c r="Q2186" i="4"/>
  <c r="J2187" i="4"/>
  <c r="K2187" i="4"/>
  <c r="L2187" i="4"/>
  <c r="M2187" i="4"/>
  <c r="N2187" i="4"/>
  <c r="O2187" i="4"/>
  <c r="P2187" i="4"/>
  <c r="Q2187" i="4"/>
  <c r="J2188" i="4"/>
  <c r="K2188" i="4"/>
  <c r="L2188" i="4"/>
  <c r="M2188" i="4"/>
  <c r="N2188" i="4"/>
  <c r="O2188" i="4"/>
  <c r="P2188" i="4"/>
  <c r="Q2188" i="4"/>
  <c r="J2189" i="4"/>
  <c r="K2189" i="4"/>
  <c r="L2189" i="4"/>
  <c r="M2189" i="4"/>
  <c r="N2189" i="4"/>
  <c r="O2189" i="4"/>
  <c r="P2189" i="4"/>
  <c r="Q2189" i="4"/>
  <c r="J2190" i="4"/>
  <c r="K2190" i="4"/>
  <c r="L2190" i="4"/>
  <c r="M2190" i="4"/>
  <c r="N2190" i="4"/>
  <c r="O2190" i="4"/>
  <c r="P2190" i="4"/>
  <c r="Q2190" i="4"/>
  <c r="J2191" i="4"/>
  <c r="K2191" i="4"/>
  <c r="L2191" i="4"/>
  <c r="M2191" i="4"/>
  <c r="N2191" i="4"/>
  <c r="O2191" i="4"/>
  <c r="P2191" i="4"/>
  <c r="Q2191" i="4"/>
  <c r="J2192" i="4"/>
  <c r="K2192" i="4"/>
  <c r="L2192" i="4"/>
  <c r="M2192" i="4"/>
  <c r="N2192" i="4"/>
  <c r="O2192" i="4"/>
  <c r="P2192" i="4"/>
  <c r="Q2192" i="4"/>
  <c r="J2193" i="4"/>
  <c r="K2193" i="4"/>
  <c r="L2193" i="4"/>
  <c r="M2193" i="4"/>
  <c r="N2193" i="4"/>
  <c r="O2193" i="4"/>
  <c r="P2193" i="4"/>
  <c r="Q2193" i="4"/>
  <c r="J2194" i="4"/>
  <c r="K2194" i="4"/>
  <c r="L2194" i="4"/>
  <c r="M2194" i="4"/>
  <c r="N2194" i="4"/>
  <c r="O2194" i="4"/>
  <c r="P2194" i="4"/>
  <c r="Q2194" i="4"/>
  <c r="J2195" i="4"/>
  <c r="K2195" i="4"/>
  <c r="L2195" i="4"/>
  <c r="M2195" i="4"/>
  <c r="N2195" i="4"/>
  <c r="O2195" i="4"/>
  <c r="P2195" i="4"/>
  <c r="Q2195" i="4"/>
  <c r="J2196" i="4"/>
  <c r="K2196" i="4"/>
  <c r="L2196" i="4"/>
  <c r="M2196" i="4"/>
  <c r="N2196" i="4"/>
  <c r="O2196" i="4"/>
  <c r="P2196" i="4"/>
  <c r="Q2196" i="4"/>
  <c r="J2197" i="4"/>
  <c r="K2197" i="4"/>
  <c r="L2197" i="4"/>
  <c r="M2197" i="4"/>
  <c r="N2197" i="4"/>
  <c r="O2197" i="4"/>
  <c r="P2197" i="4"/>
  <c r="Q2197" i="4"/>
  <c r="J2198" i="4"/>
  <c r="K2198" i="4"/>
  <c r="L2198" i="4"/>
  <c r="M2198" i="4"/>
  <c r="N2198" i="4"/>
  <c r="O2198" i="4"/>
  <c r="P2198" i="4"/>
  <c r="Q2198" i="4"/>
  <c r="J2199" i="4"/>
  <c r="K2199" i="4"/>
  <c r="L2199" i="4"/>
  <c r="M2199" i="4"/>
  <c r="N2199" i="4"/>
  <c r="O2199" i="4"/>
  <c r="P2199" i="4"/>
  <c r="Q2199" i="4"/>
  <c r="J2200" i="4"/>
  <c r="K2200" i="4"/>
  <c r="L2200" i="4"/>
  <c r="M2200" i="4"/>
  <c r="N2200" i="4"/>
  <c r="O2200" i="4"/>
  <c r="P2200" i="4"/>
  <c r="Q2200" i="4"/>
  <c r="J2201" i="4"/>
  <c r="K2201" i="4"/>
  <c r="L2201" i="4"/>
  <c r="M2201" i="4"/>
  <c r="N2201" i="4"/>
  <c r="O2201" i="4"/>
  <c r="P2201" i="4"/>
  <c r="Q2201" i="4"/>
  <c r="J2202" i="4"/>
  <c r="K2202" i="4"/>
  <c r="L2202" i="4"/>
  <c r="M2202" i="4"/>
  <c r="N2202" i="4"/>
  <c r="O2202" i="4"/>
  <c r="P2202" i="4"/>
  <c r="Q2202" i="4"/>
  <c r="J2203" i="4"/>
  <c r="K2203" i="4"/>
  <c r="L2203" i="4"/>
  <c r="M2203" i="4"/>
  <c r="N2203" i="4"/>
  <c r="O2203" i="4"/>
  <c r="P2203" i="4"/>
  <c r="Q2203" i="4"/>
  <c r="J2204" i="4"/>
  <c r="K2204" i="4"/>
  <c r="L2204" i="4"/>
  <c r="M2204" i="4"/>
  <c r="N2204" i="4"/>
  <c r="O2204" i="4"/>
  <c r="P2204" i="4"/>
  <c r="Q2204" i="4"/>
  <c r="J2205" i="4"/>
  <c r="K2205" i="4"/>
  <c r="L2205" i="4"/>
  <c r="M2205" i="4"/>
  <c r="N2205" i="4"/>
  <c r="O2205" i="4"/>
  <c r="P2205" i="4"/>
  <c r="Q2205" i="4"/>
  <c r="J2206" i="4"/>
  <c r="K2206" i="4"/>
  <c r="L2206" i="4"/>
  <c r="M2206" i="4"/>
  <c r="N2206" i="4"/>
  <c r="O2206" i="4"/>
  <c r="P2206" i="4"/>
  <c r="Q2206" i="4"/>
  <c r="J2207" i="4"/>
  <c r="K2207" i="4"/>
  <c r="L2207" i="4"/>
  <c r="M2207" i="4"/>
  <c r="N2207" i="4"/>
  <c r="O2207" i="4"/>
  <c r="P2207" i="4"/>
  <c r="Q2207" i="4"/>
  <c r="J2208" i="4"/>
  <c r="K2208" i="4"/>
  <c r="L2208" i="4"/>
  <c r="M2208" i="4"/>
  <c r="N2208" i="4"/>
  <c r="O2208" i="4"/>
  <c r="P2208" i="4"/>
  <c r="Q2208" i="4"/>
  <c r="J2209" i="4"/>
  <c r="K2209" i="4"/>
  <c r="L2209" i="4"/>
  <c r="M2209" i="4"/>
  <c r="N2209" i="4"/>
  <c r="O2209" i="4"/>
  <c r="P2209" i="4"/>
  <c r="Q2209" i="4"/>
  <c r="J2210" i="4"/>
  <c r="K2210" i="4"/>
  <c r="L2210" i="4"/>
  <c r="M2210" i="4"/>
  <c r="N2210" i="4"/>
  <c r="O2210" i="4"/>
  <c r="P2210" i="4"/>
  <c r="Q2210" i="4"/>
  <c r="J2211" i="4"/>
  <c r="K2211" i="4"/>
  <c r="L2211" i="4"/>
  <c r="M2211" i="4"/>
  <c r="N2211" i="4"/>
  <c r="O2211" i="4"/>
  <c r="P2211" i="4"/>
  <c r="Q2211" i="4"/>
  <c r="J2212" i="4"/>
  <c r="K2212" i="4"/>
  <c r="L2212" i="4"/>
  <c r="M2212" i="4"/>
  <c r="N2212" i="4"/>
  <c r="O2212" i="4"/>
  <c r="P2212" i="4"/>
  <c r="Q2212" i="4"/>
  <c r="J2213" i="4"/>
  <c r="K2213" i="4"/>
  <c r="L2213" i="4"/>
  <c r="M2213" i="4"/>
  <c r="N2213" i="4"/>
  <c r="O2213" i="4"/>
  <c r="P2213" i="4"/>
  <c r="Q2213" i="4"/>
  <c r="J2214" i="4"/>
  <c r="K2214" i="4"/>
  <c r="L2214" i="4"/>
  <c r="M2214" i="4"/>
  <c r="N2214" i="4"/>
  <c r="O2214" i="4"/>
  <c r="P2214" i="4"/>
  <c r="Q2214" i="4"/>
  <c r="J2215" i="4"/>
  <c r="K2215" i="4"/>
  <c r="L2215" i="4"/>
  <c r="M2215" i="4"/>
  <c r="N2215" i="4"/>
  <c r="O2215" i="4"/>
  <c r="P2215" i="4"/>
  <c r="Q2215" i="4"/>
  <c r="J2216" i="4"/>
  <c r="K2216" i="4"/>
  <c r="L2216" i="4"/>
  <c r="M2216" i="4"/>
  <c r="N2216" i="4"/>
  <c r="O2216" i="4"/>
  <c r="P2216" i="4"/>
  <c r="Q2216" i="4"/>
  <c r="J2217" i="4"/>
  <c r="K2217" i="4"/>
  <c r="L2217" i="4"/>
  <c r="M2217" i="4"/>
  <c r="N2217" i="4"/>
  <c r="O2217" i="4"/>
  <c r="P2217" i="4"/>
  <c r="Q2217" i="4"/>
  <c r="J2218" i="4"/>
  <c r="K2218" i="4"/>
  <c r="L2218" i="4"/>
  <c r="M2218" i="4"/>
  <c r="N2218" i="4"/>
  <c r="O2218" i="4"/>
  <c r="P2218" i="4"/>
  <c r="Q2218" i="4"/>
  <c r="J2219" i="4"/>
  <c r="K2219" i="4"/>
  <c r="L2219" i="4"/>
  <c r="M2219" i="4"/>
  <c r="N2219" i="4"/>
  <c r="O2219" i="4"/>
  <c r="P2219" i="4"/>
  <c r="Q2219" i="4"/>
  <c r="J2220" i="4"/>
  <c r="K2220" i="4"/>
  <c r="L2220" i="4"/>
  <c r="M2220" i="4"/>
  <c r="N2220" i="4"/>
  <c r="O2220" i="4"/>
  <c r="P2220" i="4"/>
  <c r="Q2220" i="4"/>
  <c r="J2221" i="4"/>
  <c r="K2221" i="4"/>
  <c r="L2221" i="4"/>
  <c r="M2221" i="4"/>
  <c r="N2221" i="4"/>
  <c r="O2221" i="4"/>
  <c r="P2221" i="4"/>
  <c r="Q2221" i="4"/>
  <c r="J2222" i="4"/>
  <c r="K2222" i="4"/>
  <c r="L2222" i="4"/>
  <c r="M2222" i="4"/>
  <c r="N2222" i="4"/>
  <c r="O2222" i="4"/>
  <c r="P2222" i="4"/>
  <c r="Q2222" i="4"/>
  <c r="J2223" i="4"/>
  <c r="K2223" i="4"/>
  <c r="L2223" i="4"/>
  <c r="M2223" i="4"/>
  <c r="N2223" i="4"/>
  <c r="O2223" i="4"/>
  <c r="P2223" i="4"/>
  <c r="Q2223" i="4"/>
  <c r="J2224" i="4"/>
  <c r="K2224" i="4"/>
  <c r="L2224" i="4"/>
  <c r="M2224" i="4"/>
  <c r="N2224" i="4"/>
  <c r="O2224" i="4"/>
  <c r="P2224" i="4"/>
  <c r="Q2224" i="4"/>
  <c r="J2225" i="4"/>
  <c r="K2225" i="4"/>
  <c r="L2225" i="4"/>
  <c r="M2225" i="4"/>
  <c r="N2225" i="4"/>
  <c r="O2225" i="4"/>
  <c r="P2225" i="4"/>
  <c r="Q2225" i="4"/>
  <c r="J2226" i="4"/>
  <c r="K2226" i="4"/>
  <c r="L2226" i="4"/>
  <c r="M2226" i="4"/>
  <c r="N2226" i="4"/>
  <c r="O2226" i="4"/>
  <c r="P2226" i="4"/>
  <c r="Q2226" i="4"/>
  <c r="J2227" i="4"/>
  <c r="K2227" i="4"/>
  <c r="L2227" i="4"/>
  <c r="M2227" i="4"/>
  <c r="N2227" i="4"/>
  <c r="O2227" i="4"/>
  <c r="P2227" i="4"/>
  <c r="Q2227" i="4"/>
  <c r="J2228" i="4"/>
  <c r="K2228" i="4"/>
  <c r="L2228" i="4"/>
  <c r="M2228" i="4"/>
  <c r="N2228" i="4"/>
  <c r="O2228" i="4"/>
  <c r="P2228" i="4"/>
  <c r="Q2228" i="4"/>
  <c r="J2229" i="4"/>
  <c r="K2229" i="4"/>
  <c r="L2229" i="4"/>
  <c r="M2229" i="4"/>
  <c r="N2229" i="4"/>
  <c r="O2229" i="4"/>
  <c r="P2229" i="4"/>
  <c r="Q2229" i="4"/>
  <c r="J2230" i="4"/>
  <c r="K2230" i="4"/>
  <c r="L2230" i="4"/>
  <c r="M2230" i="4"/>
  <c r="N2230" i="4"/>
  <c r="O2230" i="4"/>
  <c r="P2230" i="4"/>
  <c r="Q2230" i="4"/>
  <c r="J2231" i="4"/>
  <c r="K2231" i="4"/>
  <c r="L2231" i="4"/>
  <c r="M2231" i="4"/>
  <c r="N2231" i="4"/>
  <c r="O2231" i="4"/>
  <c r="P2231" i="4"/>
  <c r="Q2231" i="4"/>
  <c r="J2232" i="4"/>
  <c r="K2232" i="4"/>
  <c r="L2232" i="4"/>
  <c r="M2232" i="4"/>
  <c r="N2232" i="4"/>
  <c r="O2232" i="4"/>
  <c r="P2232" i="4"/>
  <c r="Q2232" i="4"/>
  <c r="J2233" i="4"/>
  <c r="K2233" i="4"/>
  <c r="L2233" i="4"/>
  <c r="M2233" i="4"/>
  <c r="N2233" i="4"/>
  <c r="O2233" i="4"/>
  <c r="P2233" i="4"/>
  <c r="Q2233" i="4"/>
  <c r="J2234" i="4"/>
  <c r="K2234" i="4"/>
  <c r="L2234" i="4"/>
  <c r="M2234" i="4"/>
  <c r="N2234" i="4"/>
  <c r="O2234" i="4"/>
  <c r="P2234" i="4"/>
  <c r="Q2234" i="4"/>
  <c r="J2235" i="4"/>
  <c r="K2235" i="4"/>
  <c r="L2235" i="4"/>
  <c r="M2235" i="4"/>
  <c r="N2235" i="4"/>
  <c r="O2235" i="4"/>
  <c r="P2235" i="4"/>
  <c r="Q2235" i="4"/>
  <c r="J2236" i="4"/>
  <c r="K2236" i="4"/>
  <c r="L2236" i="4"/>
  <c r="M2236" i="4"/>
  <c r="N2236" i="4"/>
  <c r="O2236" i="4"/>
  <c r="P2236" i="4"/>
  <c r="Q2236" i="4"/>
  <c r="J2237" i="4"/>
  <c r="K2237" i="4"/>
  <c r="L2237" i="4"/>
  <c r="M2237" i="4"/>
  <c r="N2237" i="4"/>
  <c r="O2237" i="4"/>
  <c r="P2237" i="4"/>
  <c r="Q2237" i="4"/>
  <c r="J2238" i="4"/>
  <c r="K2238" i="4"/>
  <c r="L2238" i="4"/>
  <c r="M2238" i="4"/>
  <c r="N2238" i="4"/>
  <c r="O2238" i="4"/>
  <c r="P2238" i="4"/>
  <c r="Q2238" i="4"/>
  <c r="J2239" i="4"/>
  <c r="K2239" i="4"/>
  <c r="L2239" i="4"/>
  <c r="M2239" i="4"/>
  <c r="N2239" i="4"/>
  <c r="O2239" i="4"/>
  <c r="P2239" i="4"/>
  <c r="Q2239" i="4"/>
  <c r="J2240" i="4"/>
  <c r="K2240" i="4"/>
  <c r="L2240" i="4"/>
  <c r="M2240" i="4"/>
  <c r="N2240" i="4"/>
  <c r="O2240" i="4"/>
  <c r="P2240" i="4"/>
  <c r="Q2240" i="4"/>
  <c r="J2241" i="4"/>
  <c r="K2241" i="4"/>
  <c r="L2241" i="4"/>
  <c r="M2241" i="4"/>
  <c r="N2241" i="4"/>
  <c r="O2241" i="4"/>
  <c r="P2241" i="4"/>
  <c r="Q2241" i="4"/>
  <c r="J2242" i="4"/>
  <c r="K2242" i="4"/>
  <c r="L2242" i="4"/>
  <c r="M2242" i="4"/>
  <c r="N2242" i="4"/>
  <c r="O2242" i="4"/>
  <c r="P2242" i="4"/>
  <c r="Q2242" i="4"/>
  <c r="J2243" i="4"/>
  <c r="K2243" i="4"/>
  <c r="L2243" i="4"/>
  <c r="M2243" i="4"/>
  <c r="N2243" i="4"/>
  <c r="O2243" i="4"/>
  <c r="P2243" i="4"/>
  <c r="Q2243" i="4"/>
  <c r="J2244" i="4"/>
  <c r="K2244" i="4"/>
  <c r="L2244" i="4"/>
  <c r="M2244" i="4"/>
  <c r="N2244" i="4"/>
  <c r="O2244" i="4"/>
  <c r="P2244" i="4"/>
  <c r="Q2244" i="4"/>
  <c r="J2245" i="4"/>
  <c r="K2245" i="4"/>
  <c r="L2245" i="4"/>
  <c r="M2245" i="4"/>
  <c r="N2245" i="4"/>
  <c r="O2245" i="4"/>
  <c r="P2245" i="4"/>
  <c r="Q2245" i="4"/>
  <c r="J2246" i="4"/>
  <c r="K2246" i="4"/>
  <c r="L2246" i="4"/>
  <c r="M2246" i="4"/>
  <c r="N2246" i="4"/>
  <c r="O2246" i="4"/>
  <c r="P2246" i="4"/>
  <c r="Q2246" i="4"/>
  <c r="J2247" i="4"/>
  <c r="K2247" i="4"/>
  <c r="L2247" i="4"/>
  <c r="M2247" i="4"/>
  <c r="N2247" i="4"/>
  <c r="O2247" i="4"/>
  <c r="P2247" i="4"/>
  <c r="Q2247" i="4"/>
  <c r="J2248" i="4"/>
  <c r="K2248" i="4"/>
  <c r="L2248" i="4"/>
  <c r="M2248" i="4"/>
  <c r="N2248" i="4"/>
  <c r="O2248" i="4"/>
  <c r="P2248" i="4"/>
  <c r="Q2248" i="4"/>
  <c r="J2249" i="4"/>
  <c r="K2249" i="4"/>
  <c r="L2249" i="4"/>
  <c r="M2249" i="4"/>
  <c r="N2249" i="4"/>
  <c r="O2249" i="4"/>
  <c r="P2249" i="4"/>
  <c r="Q2249" i="4"/>
  <c r="J2250" i="4"/>
  <c r="K2250" i="4"/>
  <c r="L2250" i="4"/>
  <c r="M2250" i="4"/>
  <c r="N2250" i="4"/>
  <c r="O2250" i="4"/>
  <c r="P2250" i="4"/>
  <c r="Q2250" i="4"/>
  <c r="J2251" i="4"/>
  <c r="K2251" i="4"/>
  <c r="L2251" i="4"/>
  <c r="M2251" i="4"/>
  <c r="N2251" i="4"/>
  <c r="O2251" i="4"/>
  <c r="P2251" i="4"/>
  <c r="Q2251" i="4"/>
  <c r="J2252" i="4"/>
  <c r="K2252" i="4"/>
  <c r="L2252" i="4"/>
  <c r="M2252" i="4"/>
  <c r="N2252" i="4"/>
  <c r="O2252" i="4"/>
  <c r="P2252" i="4"/>
  <c r="Q2252" i="4"/>
  <c r="J2253" i="4"/>
  <c r="K2253" i="4"/>
  <c r="L2253" i="4"/>
  <c r="M2253" i="4"/>
  <c r="N2253" i="4"/>
  <c r="O2253" i="4"/>
  <c r="P2253" i="4"/>
  <c r="Q2253" i="4"/>
  <c r="J2254" i="4"/>
  <c r="K2254" i="4"/>
  <c r="L2254" i="4"/>
  <c r="M2254" i="4"/>
  <c r="N2254" i="4"/>
  <c r="O2254" i="4"/>
  <c r="P2254" i="4"/>
  <c r="Q2254" i="4"/>
  <c r="J2255" i="4"/>
  <c r="K2255" i="4"/>
  <c r="L2255" i="4"/>
  <c r="M2255" i="4"/>
  <c r="N2255" i="4"/>
  <c r="O2255" i="4"/>
  <c r="P2255" i="4"/>
  <c r="Q2255" i="4"/>
  <c r="J2256" i="4"/>
  <c r="K2256" i="4"/>
  <c r="L2256" i="4"/>
  <c r="M2256" i="4"/>
  <c r="N2256" i="4"/>
  <c r="O2256" i="4"/>
  <c r="P2256" i="4"/>
  <c r="Q2256" i="4"/>
  <c r="J2257" i="4"/>
  <c r="K2257" i="4"/>
  <c r="L2257" i="4"/>
  <c r="M2257" i="4"/>
  <c r="N2257" i="4"/>
  <c r="O2257" i="4"/>
  <c r="P2257" i="4"/>
  <c r="Q2257" i="4"/>
  <c r="J2258" i="4"/>
  <c r="K2258" i="4"/>
  <c r="L2258" i="4"/>
  <c r="M2258" i="4"/>
  <c r="N2258" i="4"/>
  <c r="O2258" i="4"/>
  <c r="P2258" i="4"/>
  <c r="Q2258" i="4"/>
  <c r="J2259" i="4"/>
  <c r="K2259" i="4"/>
  <c r="L2259" i="4"/>
  <c r="M2259" i="4"/>
  <c r="N2259" i="4"/>
  <c r="O2259" i="4"/>
  <c r="P2259" i="4"/>
  <c r="Q2259" i="4"/>
  <c r="J2260" i="4"/>
  <c r="K2260" i="4"/>
  <c r="L2260" i="4"/>
  <c r="M2260" i="4"/>
  <c r="N2260" i="4"/>
  <c r="O2260" i="4"/>
  <c r="P2260" i="4"/>
  <c r="Q2260" i="4"/>
  <c r="J2261" i="4"/>
  <c r="K2261" i="4"/>
  <c r="L2261" i="4"/>
  <c r="M2261" i="4"/>
  <c r="N2261" i="4"/>
  <c r="O2261" i="4"/>
  <c r="P2261" i="4"/>
  <c r="Q2261" i="4"/>
  <c r="J2262" i="4"/>
  <c r="K2262" i="4"/>
  <c r="L2262" i="4"/>
  <c r="M2262" i="4"/>
  <c r="N2262" i="4"/>
  <c r="O2262" i="4"/>
  <c r="P2262" i="4"/>
  <c r="Q2262" i="4"/>
  <c r="J2263" i="4"/>
  <c r="K2263" i="4"/>
  <c r="L2263" i="4"/>
  <c r="M2263" i="4"/>
  <c r="N2263" i="4"/>
  <c r="O2263" i="4"/>
  <c r="P2263" i="4"/>
  <c r="Q2263" i="4"/>
  <c r="J2264" i="4"/>
  <c r="K2264" i="4"/>
  <c r="L2264" i="4"/>
  <c r="M2264" i="4"/>
  <c r="N2264" i="4"/>
  <c r="O2264" i="4"/>
  <c r="P2264" i="4"/>
  <c r="Q2264" i="4"/>
  <c r="J2265" i="4"/>
  <c r="K2265" i="4"/>
  <c r="L2265" i="4"/>
  <c r="M2265" i="4"/>
  <c r="N2265" i="4"/>
  <c r="O2265" i="4"/>
  <c r="P2265" i="4"/>
  <c r="Q2265" i="4"/>
  <c r="J2266" i="4"/>
  <c r="K2266" i="4"/>
  <c r="L2266" i="4"/>
  <c r="M2266" i="4"/>
  <c r="N2266" i="4"/>
  <c r="O2266" i="4"/>
  <c r="P2266" i="4"/>
  <c r="Q2266" i="4"/>
  <c r="J2267" i="4"/>
  <c r="K2267" i="4"/>
  <c r="L2267" i="4"/>
  <c r="M2267" i="4"/>
  <c r="N2267" i="4"/>
  <c r="O2267" i="4"/>
  <c r="P2267" i="4"/>
  <c r="Q2267" i="4"/>
  <c r="J2268" i="4"/>
  <c r="K2268" i="4"/>
  <c r="L2268" i="4"/>
  <c r="M2268" i="4"/>
  <c r="N2268" i="4"/>
  <c r="O2268" i="4"/>
  <c r="P2268" i="4"/>
  <c r="Q2268" i="4"/>
  <c r="J2269" i="4"/>
  <c r="K2269" i="4"/>
  <c r="L2269" i="4"/>
  <c r="M2269" i="4"/>
  <c r="N2269" i="4"/>
  <c r="O2269" i="4"/>
  <c r="P2269" i="4"/>
  <c r="Q2269" i="4"/>
  <c r="J2270" i="4"/>
  <c r="K2270" i="4"/>
  <c r="L2270" i="4"/>
  <c r="M2270" i="4"/>
  <c r="N2270" i="4"/>
  <c r="O2270" i="4"/>
  <c r="P2270" i="4"/>
  <c r="Q2270" i="4"/>
  <c r="J2271" i="4"/>
  <c r="K2271" i="4"/>
  <c r="L2271" i="4"/>
  <c r="M2271" i="4"/>
  <c r="N2271" i="4"/>
  <c r="O2271" i="4"/>
  <c r="P2271" i="4"/>
  <c r="Q2271" i="4"/>
  <c r="J2272" i="4"/>
  <c r="K2272" i="4"/>
  <c r="L2272" i="4"/>
  <c r="M2272" i="4"/>
  <c r="N2272" i="4"/>
  <c r="O2272" i="4"/>
  <c r="P2272" i="4"/>
  <c r="Q2272" i="4"/>
  <c r="J2273" i="4"/>
  <c r="K2273" i="4"/>
  <c r="L2273" i="4"/>
  <c r="M2273" i="4"/>
  <c r="N2273" i="4"/>
  <c r="O2273" i="4"/>
  <c r="P2273" i="4"/>
  <c r="Q2273" i="4"/>
  <c r="J2274" i="4"/>
  <c r="K2274" i="4"/>
  <c r="L2274" i="4"/>
  <c r="M2274" i="4"/>
  <c r="N2274" i="4"/>
  <c r="O2274" i="4"/>
  <c r="P2274" i="4"/>
  <c r="Q2274" i="4"/>
  <c r="J2275" i="4"/>
  <c r="K2275" i="4"/>
  <c r="L2275" i="4"/>
  <c r="M2275" i="4"/>
  <c r="N2275" i="4"/>
  <c r="O2275" i="4"/>
  <c r="P2275" i="4"/>
  <c r="Q2275" i="4"/>
  <c r="J2276" i="4"/>
  <c r="K2276" i="4"/>
  <c r="L2276" i="4"/>
  <c r="M2276" i="4"/>
  <c r="N2276" i="4"/>
  <c r="O2276" i="4"/>
  <c r="P2276" i="4"/>
  <c r="Q2276" i="4"/>
  <c r="J2277" i="4"/>
  <c r="K2277" i="4"/>
  <c r="L2277" i="4"/>
  <c r="M2277" i="4"/>
  <c r="N2277" i="4"/>
  <c r="O2277" i="4"/>
  <c r="P2277" i="4"/>
  <c r="Q2277" i="4"/>
  <c r="J2278" i="4"/>
  <c r="K2278" i="4"/>
  <c r="L2278" i="4"/>
  <c r="M2278" i="4"/>
  <c r="N2278" i="4"/>
  <c r="O2278" i="4"/>
  <c r="P2278" i="4"/>
  <c r="Q2278" i="4"/>
  <c r="J2279" i="4"/>
  <c r="K2279" i="4"/>
  <c r="L2279" i="4"/>
  <c r="M2279" i="4"/>
  <c r="N2279" i="4"/>
  <c r="O2279" i="4"/>
  <c r="P2279" i="4"/>
  <c r="Q2279" i="4"/>
  <c r="J2280" i="4"/>
  <c r="K2280" i="4"/>
  <c r="L2280" i="4"/>
  <c r="M2280" i="4"/>
  <c r="N2280" i="4"/>
  <c r="O2280" i="4"/>
  <c r="P2280" i="4"/>
  <c r="Q2280" i="4"/>
  <c r="J2281" i="4"/>
  <c r="K2281" i="4"/>
  <c r="L2281" i="4"/>
  <c r="M2281" i="4"/>
  <c r="N2281" i="4"/>
  <c r="O2281" i="4"/>
  <c r="P2281" i="4"/>
  <c r="Q2281" i="4"/>
  <c r="J2282" i="4"/>
  <c r="K2282" i="4"/>
  <c r="L2282" i="4"/>
  <c r="M2282" i="4"/>
  <c r="N2282" i="4"/>
  <c r="O2282" i="4"/>
  <c r="P2282" i="4"/>
  <c r="Q2282" i="4"/>
  <c r="J2283" i="4"/>
  <c r="K2283" i="4"/>
  <c r="L2283" i="4"/>
  <c r="M2283" i="4"/>
  <c r="N2283" i="4"/>
  <c r="O2283" i="4"/>
  <c r="P2283" i="4"/>
  <c r="Q2283" i="4"/>
  <c r="J2284" i="4"/>
  <c r="K2284" i="4"/>
  <c r="L2284" i="4"/>
  <c r="M2284" i="4"/>
  <c r="N2284" i="4"/>
  <c r="O2284" i="4"/>
  <c r="P2284" i="4"/>
  <c r="Q2284" i="4"/>
  <c r="J2285" i="4"/>
  <c r="K2285" i="4"/>
  <c r="L2285" i="4"/>
  <c r="M2285" i="4"/>
  <c r="N2285" i="4"/>
  <c r="O2285" i="4"/>
  <c r="P2285" i="4"/>
  <c r="Q2285" i="4"/>
  <c r="J2286" i="4"/>
  <c r="K2286" i="4"/>
  <c r="L2286" i="4"/>
  <c r="M2286" i="4"/>
  <c r="N2286" i="4"/>
  <c r="O2286" i="4"/>
  <c r="P2286" i="4"/>
  <c r="Q2286" i="4"/>
  <c r="J2287" i="4"/>
  <c r="K2287" i="4"/>
  <c r="L2287" i="4"/>
  <c r="M2287" i="4"/>
  <c r="N2287" i="4"/>
  <c r="O2287" i="4"/>
  <c r="P2287" i="4"/>
  <c r="Q2287" i="4"/>
  <c r="J2288" i="4"/>
  <c r="K2288" i="4"/>
  <c r="L2288" i="4"/>
  <c r="M2288" i="4"/>
  <c r="N2288" i="4"/>
  <c r="O2288" i="4"/>
  <c r="P2288" i="4"/>
  <c r="Q2288" i="4"/>
  <c r="J2289" i="4"/>
  <c r="K2289" i="4"/>
  <c r="L2289" i="4"/>
  <c r="M2289" i="4"/>
  <c r="N2289" i="4"/>
  <c r="O2289" i="4"/>
  <c r="P2289" i="4"/>
  <c r="Q2289" i="4"/>
  <c r="J2290" i="4"/>
  <c r="K2290" i="4"/>
  <c r="L2290" i="4"/>
  <c r="M2290" i="4"/>
  <c r="N2290" i="4"/>
  <c r="O2290" i="4"/>
  <c r="P2290" i="4"/>
  <c r="Q2290" i="4"/>
  <c r="J2291" i="4"/>
  <c r="K2291" i="4"/>
  <c r="L2291" i="4"/>
  <c r="M2291" i="4"/>
  <c r="N2291" i="4"/>
  <c r="O2291" i="4"/>
  <c r="P2291" i="4"/>
  <c r="Q2291" i="4"/>
  <c r="J2292" i="4"/>
  <c r="K2292" i="4"/>
  <c r="L2292" i="4"/>
  <c r="M2292" i="4"/>
  <c r="N2292" i="4"/>
  <c r="O2292" i="4"/>
  <c r="P2292" i="4"/>
  <c r="Q2292" i="4"/>
  <c r="J2293" i="4"/>
  <c r="K2293" i="4"/>
  <c r="L2293" i="4"/>
  <c r="M2293" i="4"/>
  <c r="N2293" i="4"/>
  <c r="O2293" i="4"/>
  <c r="P2293" i="4"/>
  <c r="Q2293" i="4"/>
  <c r="J2294" i="4"/>
  <c r="K2294" i="4"/>
  <c r="L2294" i="4"/>
  <c r="M2294" i="4"/>
  <c r="N2294" i="4"/>
  <c r="O2294" i="4"/>
  <c r="P2294" i="4"/>
  <c r="Q2294" i="4"/>
  <c r="J2295" i="4"/>
  <c r="K2295" i="4"/>
  <c r="L2295" i="4"/>
  <c r="M2295" i="4"/>
  <c r="N2295" i="4"/>
  <c r="O2295" i="4"/>
  <c r="P2295" i="4"/>
  <c r="Q2295" i="4"/>
  <c r="J2296" i="4"/>
  <c r="K2296" i="4"/>
  <c r="L2296" i="4"/>
  <c r="M2296" i="4"/>
  <c r="N2296" i="4"/>
  <c r="O2296" i="4"/>
  <c r="P2296" i="4"/>
  <c r="Q2296" i="4"/>
  <c r="J2297" i="4"/>
  <c r="K2297" i="4"/>
  <c r="L2297" i="4"/>
  <c r="M2297" i="4"/>
  <c r="N2297" i="4"/>
  <c r="O2297" i="4"/>
  <c r="P2297" i="4"/>
  <c r="Q2297" i="4"/>
  <c r="J2298" i="4"/>
  <c r="K2298" i="4"/>
  <c r="L2298" i="4"/>
  <c r="M2298" i="4"/>
  <c r="N2298" i="4"/>
  <c r="O2298" i="4"/>
  <c r="P2298" i="4"/>
  <c r="Q2298" i="4"/>
  <c r="J2299" i="4"/>
  <c r="K2299" i="4"/>
  <c r="L2299" i="4"/>
  <c r="M2299" i="4"/>
  <c r="N2299" i="4"/>
  <c r="O2299" i="4"/>
  <c r="P2299" i="4"/>
  <c r="Q2299" i="4"/>
  <c r="J2300" i="4"/>
  <c r="K2300" i="4"/>
  <c r="L2300" i="4"/>
  <c r="M2300" i="4"/>
  <c r="N2300" i="4"/>
  <c r="O2300" i="4"/>
  <c r="P2300" i="4"/>
  <c r="Q2300" i="4"/>
  <c r="J2301" i="4"/>
  <c r="K2301" i="4"/>
  <c r="L2301" i="4"/>
  <c r="M2301" i="4"/>
  <c r="N2301" i="4"/>
  <c r="O2301" i="4"/>
  <c r="P2301" i="4"/>
  <c r="Q2301" i="4"/>
  <c r="J2302" i="4"/>
  <c r="K2302" i="4"/>
  <c r="L2302" i="4"/>
  <c r="M2302" i="4"/>
  <c r="N2302" i="4"/>
  <c r="O2302" i="4"/>
  <c r="P2302" i="4"/>
  <c r="Q2302" i="4"/>
  <c r="J2303" i="4"/>
  <c r="K2303" i="4"/>
  <c r="L2303" i="4"/>
  <c r="M2303" i="4"/>
  <c r="N2303" i="4"/>
  <c r="O2303" i="4"/>
  <c r="P2303" i="4"/>
  <c r="Q2303" i="4"/>
  <c r="J2304" i="4"/>
  <c r="K2304" i="4"/>
  <c r="L2304" i="4"/>
  <c r="M2304" i="4"/>
  <c r="N2304" i="4"/>
  <c r="O2304" i="4"/>
  <c r="P2304" i="4"/>
  <c r="Q2304" i="4"/>
  <c r="J2305" i="4"/>
  <c r="K2305" i="4"/>
  <c r="L2305" i="4"/>
  <c r="M2305" i="4"/>
  <c r="N2305" i="4"/>
  <c r="O2305" i="4"/>
  <c r="P2305" i="4"/>
  <c r="Q2305" i="4"/>
  <c r="J2306" i="4"/>
  <c r="K2306" i="4"/>
  <c r="L2306" i="4"/>
  <c r="M2306" i="4"/>
  <c r="N2306" i="4"/>
  <c r="O2306" i="4"/>
  <c r="P2306" i="4"/>
  <c r="Q2306" i="4"/>
  <c r="J2307" i="4"/>
  <c r="K2307" i="4"/>
  <c r="L2307" i="4"/>
  <c r="M2307" i="4"/>
  <c r="N2307" i="4"/>
  <c r="O2307" i="4"/>
  <c r="P2307" i="4"/>
  <c r="Q2307" i="4"/>
  <c r="J2308" i="4"/>
  <c r="K2308" i="4"/>
  <c r="L2308" i="4"/>
  <c r="M2308" i="4"/>
  <c r="N2308" i="4"/>
  <c r="O2308" i="4"/>
  <c r="P2308" i="4"/>
  <c r="Q2308" i="4"/>
  <c r="J2309" i="4"/>
  <c r="K2309" i="4"/>
  <c r="L2309" i="4"/>
  <c r="M2309" i="4"/>
  <c r="N2309" i="4"/>
  <c r="O2309" i="4"/>
  <c r="P2309" i="4"/>
  <c r="Q2309" i="4"/>
  <c r="J2310" i="4"/>
  <c r="K2310" i="4"/>
  <c r="L2310" i="4"/>
  <c r="M2310" i="4"/>
  <c r="N2310" i="4"/>
  <c r="O2310" i="4"/>
  <c r="P2310" i="4"/>
  <c r="Q2310" i="4"/>
  <c r="J2311" i="4"/>
  <c r="K2311" i="4"/>
  <c r="L2311" i="4"/>
  <c r="M2311" i="4"/>
  <c r="N2311" i="4"/>
  <c r="O2311" i="4"/>
  <c r="P2311" i="4"/>
  <c r="Q2311" i="4"/>
  <c r="J2312" i="4"/>
  <c r="K2312" i="4"/>
  <c r="L2312" i="4"/>
  <c r="M2312" i="4"/>
  <c r="N2312" i="4"/>
  <c r="O2312" i="4"/>
  <c r="P2312" i="4"/>
  <c r="Q2312" i="4"/>
  <c r="J2313" i="4"/>
  <c r="K2313" i="4"/>
  <c r="L2313" i="4"/>
  <c r="M2313" i="4"/>
  <c r="N2313" i="4"/>
  <c r="O2313" i="4"/>
  <c r="P2313" i="4"/>
  <c r="Q2313" i="4"/>
  <c r="J2314" i="4"/>
  <c r="K2314" i="4"/>
  <c r="L2314" i="4"/>
  <c r="M2314" i="4"/>
  <c r="N2314" i="4"/>
  <c r="O2314" i="4"/>
  <c r="P2314" i="4"/>
  <c r="Q2314" i="4"/>
  <c r="J2315" i="4"/>
  <c r="K2315" i="4"/>
  <c r="L2315" i="4"/>
  <c r="M2315" i="4"/>
  <c r="N2315" i="4"/>
  <c r="O2315" i="4"/>
  <c r="P2315" i="4"/>
  <c r="Q2315" i="4"/>
  <c r="J2316" i="4"/>
  <c r="K2316" i="4"/>
  <c r="L2316" i="4"/>
  <c r="M2316" i="4"/>
  <c r="N2316" i="4"/>
  <c r="O2316" i="4"/>
  <c r="P2316" i="4"/>
  <c r="Q2316" i="4"/>
  <c r="J2317" i="4"/>
  <c r="K2317" i="4"/>
  <c r="L2317" i="4"/>
  <c r="M2317" i="4"/>
  <c r="N2317" i="4"/>
  <c r="O2317" i="4"/>
  <c r="P2317" i="4"/>
  <c r="Q2317" i="4"/>
  <c r="J2318" i="4"/>
  <c r="K2318" i="4"/>
  <c r="L2318" i="4"/>
  <c r="M2318" i="4"/>
  <c r="N2318" i="4"/>
  <c r="O2318" i="4"/>
  <c r="P2318" i="4"/>
  <c r="Q2318" i="4"/>
  <c r="J2319" i="4"/>
  <c r="K2319" i="4"/>
  <c r="L2319" i="4"/>
  <c r="M2319" i="4"/>
  <c r="N2319" i="4"/>
  <c r="O2319" i="4"/>
  <c r="P2319" i="4"/>
  <c r="Q2319" i="4"/>
  <c r="J2320" i="4"/>
  <c r="K2320" i="4"/>
  <c r="L2320" i="4"/>
  <c r="M2320" i="4"/>
  <c r="N2320" i="4"/>
  <c r="O2320" i="4"/>
  <c r="P2320" i="4"/>
  <c r="Q2320" i="4"/>
  <c r="J2321" i="4"/>
  <c r="K2321" i="4"/>
  <c r="L2321" i="4"/>
  <c r="M2321" i="4"/>
  <c r="N2321" i="4"/>
  <c r="O2321" i="4"/>
  <c r="P2321" i="4"/>
  <c r="Q2321" i="4"/>
  <c r="J2322" i="4"/>
  <c r="K2322" i="4"/>
  <c r="L2322" i="4"/>
  <c r="M2322" i="4"/>
  <c r="N2322" i="4"/>
  <c r="O2322" i="4"/>
  <c r="P2322" i="4"/>
  <c r="Q2322" i="4"/>
  <c r="J2323" i="4"/>
  <c r="K2323" i="4"/>
  <c r="L2323" i="4"/>
  <c r="M2323" i="4"/>
  <c r="N2323" i="4"/>
  <c r="O2323" i="4"/>
  <c r="P2323" i="4"/>
  <c r="Q2323" i="4"/>
  <c r="J2324" i="4"/>
  <c r="K2324" i="4"/>
  <c r="L2324" i="4"/>
  <c r="M2324" i="4"/>
  <c r="N2324" i="4"/>
  <c r="O2324" i="4"/>
  <c r="P2324" i="4"/>
  <c r="Q2324" i="4"/>
  <c r="J2325" i="4"/>
  <c r="K2325" i="4"/>
  <c r="L2325" i="4"/>
  <c r="M2325" i="4"/>
  <c r="N2325" i="4"/>
  <c r="O2325" i="4"/>
  <c r="P2325" i="4"/>
  <c r="Q2325" i="4"/>
  <c r="J2326" i="4"/>
  <c r="K2326" i="4"/>
  <c r="L2326" i="4"/>
  <c r="M2326" i="4"/>
  <c r="N2326" i="4"/>
  <c r="O2326" i="4"/>
  <c r="P2326" i="4"/>
  <c r="Q2326" i="4"/>
  <c r="J2327" i="4"/>
  <c r="K2327" i="4"/>
  <c r="L2327" i="4"/>
  <c r="M2327" i="4"/>
  <c r="N2327" i="4"/>
  <c r="O2327" i="4"/>
  <c r="P2327" i="4"/>
  <c r="Q2327" i="4"/>
  <c r="J2328" i="4"/>
  <c r="K2328" i="4"/>
  <c r="L2328" i="4"/>
  <c r="M2328" i="4"/>
  <c r="N2328" i="4"/>
  <c r="O2328" i="4"/>
  <c r="P2328" i="4"/>
  <c r="Q2328" i="4"/>
  <c r="J2329" i="4"/>
  <c r="K2329" i="4"/>
  <c r="L2329" i="4"/>
  <c r="M2329" i="4"/>
  <c r="N2329" i="4"/>
  <c r="O2329" i="4"/>
  <c r="P2329" i="4"/>
  <c r="Q2329" i="4"/>
  <c r="J2330" i="4"/>
  <c r="K2330" i="4"/>
  <c r="L2330" i="4"/>
  <c r="M2330" i="4"/>
  <c r="N2330" i="4"/>
  <c r="O2330" i="4"/>
  <c r="P2330" i="4"/>
  <c r="Q2330" i="4"/>
  <c r="J2331" i="4"/>
  <c r="K2331" i="4"/>
  <c r="L2331" i="4"/>
  <c r="M2331" i="4"/>
  <c r="N2331" i="4"/>
  <c r="O2331" i="4"/>
  <c r="P2331" i="4"/>
  <c r="Q2331" i="4"/>
  <c r="J2332" i="4"/>
  <c r="K2332" i="4"/>
  <c r="L2332" i="4"/>
  <c r="M2332" i="4"/>
  <c r="N2332" i="4"/>
  <c r="O2332" i="4"/>
  <c r="P2332" i="4"/>
  <c r="Q2332" i="4"/>
  <c r="J2333" i="4"/>
  <c r="K2333" i="4"/>
  <c r="L2333" i="4"/>
  <c r="M2333" i="4"/>
  <c r="N2333" i="4"/>
  <c r="O2333" i="4"/>
  <c r="P2333" i="4"/>
  <c r="Q2333" i="4"/>
  <c r="J2334" i="4"/>
  <c r="K2334" i="4"/>
  <c r="L2334" i="4"/>
  <c r="M2334" i="4"/>
  <c r="N2334" i="4"/>
  <c r="O2334" i="4"/>
  <c r="P2334" i="4"/>
  <c r="Q2334" i="4"/>
  <c r="J2335" i="4"/>
  <c r="K2335" i="4"/>
  <c r="L2335" i="4"/>
  <c r="M2335" i="4"/>
  <c r="N2335" i="4"/>
  <c r="O2335" i="4"/>
  <c r="P2335" i="4"/>
  <c r="Q2335" i="4"/>
  <c r="J2336" i="4"/>
  <c r="K2336" i="4"/>
  <c r="L2336" i="4"/>
  <c r="M2336" i="4"/>
  <c r="N2336" i="4"/>
  <c r="O2336" i="4"/>
  <c r="P2336" i="4"/>
  <c r="Q2336" i="4"/>
  <c r="J2337" i="4"/>
  <c r="K2337" i="4"/>
  <c r="L2337" i="4"/>
  <c r="M2337" i="4"/>
  <c r="N2337" i="4"/>
  <c r="O2337" i="4"/>
  <c r="P2337" i="4"/>
  <c r="Q2337" i="4"/>
  <c r="J2338" i="4"/>
  <c r="K2338" i="4"/>
  <c r="L2338" i="4"/>
  <c r="M2338" i="4"/>
  <c r="N2338" i="4"/>
  <c r="O2338" i="4"/>
  <c r="P2338" i="4"/>
  <c r="Q2338" i="4"/>
  <c r="J2339" i="4"/>
  <c r="K2339" i="4"/>
  <c r="L2339" i="4"/>
  <c r="M2339" i="4"/>
  <c r="N2339" i="4"/>
  <c r="O2339" i="4"/>
  <c r="P2339" i="4"/>
  <c r="Q2339" i="4"/>
  <c r="J2340" i="4"/>
  <c r="K2340" i="4"/>
  <c r="L2340" i="4"/>
  <c r="M2340" i="4"/>
  <c r="N2340" i="4"/>
  <c r="O2340" i="4"/>
  <c r="P2340" i="4"/>
  <c r="Q2340" i="4"/>
  <c r="J2341" i="4"/>
  <c r="K2341" i="4"/>
  <c r="L2341" i="4"/>
  <c r="M2341" i="4"/>
  <c r="N2341" i="4"/>
  <c r="O2341" i="4"/>
  <c r="P2341" i="4"/>
  <c r="Q2341" i="4"/>
  <c r="J2342" i="4"/>
  <c r="K2342" i="4"/>
  <c r="L2342" i="4"/>
  <c r="M2342" i="4"/>
  <c r="N2342" i="4"/>
  <c r="O2342" i="4"/>
  <c r="P2342" i="4"/>
  <c r="Q2342" i="4"/>
  <c r="J2343" i="4"/>
  <c r="K2343" i="4"/>
  <c r="L2343" i="4"/>
  <c r="M2343" i="4"/>
  <c r="N2343" i="4"/>
  <c r="O2343" i="4"/>
  <c r="P2343" i="4"/>
  <c r="Q2343" i="4"/>
  <c r="J2344" i="4"/>
  <c r="K2344" i="4"/>
  <c r="L2344" i="4"/>
  <c r="M2344" i="4"/>
  <c r="N2344" i="4"/>
  <c r="O2344" i="4"/>
  <c r="P2344" i="4"/>
  <c r="Q2344" i="4"/>
  <c r="J2345" i="4"/>
  <c r="K2345" i="4"/>
  <c r="L2345" i="4"/>
  <c r="M2345" i="4"/>
  <c r="N2345" i="4"/>
  <c r="O2345" i="4"/>
  <c r="P2345" i="4"/>
  <c r="Q2345" i="4"/>
  <c r="J2346" i="4"/>
  <c r="K2346" i="4"/>
  <c r="L2346" i="4"/>
  <c r="M2346" i="4"/>
  <c r="N2346" i="4"/>
  <c r="O2346" i="4"/>
  <c r="P2346" i="4"/>
  <c r="Q2346" i="4"/>
  <c r="J2347" i="4"/>
  <c r="K2347" i="4"/>
  <c r="L2347" i="4"/>
  <c r="M2347" i="4"/>
  <c r="N2347" i="4"/>
  <c r="O2347" i="4"/>
  <c r="P2347" i="4"/>
  <c r="Q2347" i="4"/>
  <c r="J2348" i="4"/>
  <c r="K2348" i="4"/>
  <c r="L2348" i="4"/>
  <c r="M2348" i="4"/>
  <c r="N2348" i="4"/>
  <c r="O2348" i="4"/>
  <c r="P2348" i="4"/>
  <c r="Q2348" i="4"/>
  <c r="J2349" i="4"/>
  <c r="K2349" i="4"/>
  <c r="L2349" i="4"/>
  <c r="M2349" i="4"/>
  <c r="N2349" i="4"/>
  <c r="O2349" i="4"/>
  <c r="P2349" i="4"/>
  <c r="Q2349" i="4"/>
  <c r="J2350" i="4"/>
  <c r="K2350" i="4"/>
  <c r="L2350" i="4"/>
  <c r="M2350" i="4"/>
  <c r="N2350" i="4"/>
  <c r="O2350" i="4"/>
  <c r="P2350" i="4"/>
  <c r="Q2350" i="4"/>
  <c r="J2351" i="4"/>
  <c r="K2351" i="4"/>
  <c r="L2351" i="4"/>
  <c r="M2351" i="4"/>
  <c r="N2351" i="4"/>
  <c r="O2351" i="4"/>
  <c r="P2351" i="4"/>
  <c r="Q2351" i="4"/>
  <c r="J2352" i="4"/>
  <c r="K2352" i="4"/>
  <c r="L2352" i="4"/>
  <c r="M2352" i="4"/>
  <c r="N2352" i="4"/>
  <c r="O2352" i="4"/>
  <c r="P2352" i="4"/>
  <c r="Q2352" i="4"/>
  <c r="J2353" i="4"/>
  <c r="K2353" i="4"/>
  <c r="L2353" i="4"/>
  <c r="M2353" i="4"/>
  <c r="N2353" i="4"/>
  <c r="O2353" i="4"/>
  <c r="P2353" i="4"/>
  <c r="Q2353" i="4"/>
  <c r="J2354" i="4"/>
  <c r="K2354" i="4"/>
  <c r="L2354" i="4"/>
  <c r="M2354" i="4"/>
  <c r="N2354" i="4"/>
  <c r="O2354" i="4"/>
  <c r="P2354" i="4"/>
  <c r="Q2354" i="4"/>
  <c r="J2355" i="4"/>
  <c r="K2355" i="4"/>
  <c r="L2355" i="4"/>
  <c r="M2355" i="4"/>
  <c r="N2355" i="4"/>
  <c r="O2355" i="4"/>
  <c r="P2355" i="4"/>
  <c r="Q2355" i="4"/>
  <c r="J2356" i="4"/>
  <c r="K2356" i="4"/>
  <c r="L2356" i="4"/>
  <c r="M2356" i="4"/>
  <c r="N2356" i="4"/>
  <c r="O2356" i="4"/>
  <c r="P2356" i="4"/>
  <c r="Q2356" i="4"/>
  <c r="J2357" i="4"/>
  <c r="K2357" i="4"/>
  <c r="L2357" i="4"/>
  <c r="M2357" i="4"/>
  <c r="N2357" i="4"/>
  <c r="O2357" i="4"/>
  <c r="P2357" i="4"/>
  <c r="Q2357" i="4"/>
  <c r="J2358" i="4"/>
  <c r="K2358" i="4"/>
  <c r="L2358" i="4"/>
  <c r="M2358" i="4"/>
  <c r="N2358" i="4"/>
  <c r="O2358" i="4"/>
  <c r="P2358" i="4"/>
  <c r="Q2358" i="4"/>
  <c r="J2359" i="4"/>
  <c r="K2359" i="4"/>
  <c r="L2359" i="4"/>
  <c r="M2359" i="4"/>
  <c r="N2359" i="4"/>
  <c r="O2359" i="4"/>
  <c r="P2359" i="4"/>
  <c r="Q2359" i="4"/>
  <c r="J2360" i="4"/>
  <c r="K2360" i="4"/>
  <c r="L2360" i="4"/>
  <c r="M2360" i="4"/>
  <c r="N2360" i="4"/>
  <c r="O2360" i="4"/>
  <c r="P2360" i="4"/>
  <c r="Q2360" i="4"/>
  <c r="J2361" i="4"/>
  <c r="K2361" i="4"/>
  <c r="L2361" i="4"/>
  <c r="M2361" i="4"/>
  <c r="N2361" i="4"/>
  <c r="O2361" i="4"/>
  <c r="P2361" i="4"/>
  <c r="Q2361" i="4"/>
  <c r="J2362" i="4"/>
  <c r="K2362" i="4"/>
  <c r="L2362" i="4"/>
  <c r="M2362" i="4"/>
  <c r="N2362" i="4"/>
  <c r="O2362" i="4"/>
  <c r="P2362" i="4"/>
  <c r="Q2362" i="4"/>
  <c r="J2363" i="4"/>
  <c r="K2363" i="4"/>
  <c r="L2363" i="4"/>
  <c r="M2363" i="4"/>
  <c r="N2363" i="4"/>
  <c r="O2363" i="4"/>
  <c r="P2363" i="4"/>
  <c r="Q2363" i="4"/>
  <c r="J2364" i="4"/>
  <c r="K2364" i="4"/>
  <c r="L2364" i="4"/>
  <c r="M2364" i="4"/>
  <c r="N2364" i="4"/>
  <c r="O2364" i="4"/>
  <c r="P2364" i="4"/>
  <c r="Q2364" i="4"/>
  <c r="J2365" i="4"/>
  <c r="K2365" i="4"/>
  <c r="L2365" i="4"/>
  <c r="M2365" i="4"/>
  <c r="N2365" i="4"/>
  <c r="O2365" i="4"/>
  <c r="P2365" i="4"/>
  <c r="Q2365" i="4"/>
  <c r="J2366" i="4"/>
  <c r="K2366" i="4"/>
  <c r="L2366" i="4"/>
  <c r="M2366" i="4"/>
  <c r="N2366" i="4"/>
  <c r="O2366" i="4"/>
  <c r="P2366" i="4"/>
  <c r="Q2366" i="4"/>
  <c r="J2367" i="4"/>
  <c r="K2367" i="4"/>
  <c r="L2367" i="4"/>
  <c r="M2367" i="4"/>
  <c r="N2367" i="4"/>
  <c r="O2367" i="4"/>
  <c r="P2367" i="4"/>
  <c r="Q2367" i="4"/>
  <c r="J2368" i="4"/>
  <c r="K2368" i="4"/>
  <c r="L2368" i="4"/>
  <c r="M2368" i="4"/>
  <c r="N2368" i="4"/>
  <c r="O2368" i="4"/>
  <c r="P2368" i="4"/>
  <c r="Q2368" i="4"/>
  <c r="J2369" i="4"/>
  <c r="K2369" i="4"/>
  <c r="L2369" i="4"/>
  <c r="M2369" i="4"/>
  <c r="N2369" i="4"/>
  <c r="O2369" i="4"/>
  <c r="P2369" i="4"/>
  <c r="Q2369" i="4"/>
  <c r="J2370" i="4"/>
  <c r="K2370" i="4"/>
  <c r="L2370" i="4"/>
  <c r="M2370" i="4"/>
  <c r="N2370" i="4"/>
  <c r="O2370" i="4"/>
  <c r="P2370" i="4"/>
  <c r="Q2370" i="4"/>
  <c r="J2371" i="4"/>
  <c r="K2371" i="4"/>
  <c r="L2371" i="4"/>
  <c r="M2371" i="4"/>
  <c r="N2371" i="4"/>
  <c r="O2371" i="4"/>
  <c r="P2371" i="4"/>
  <c r="Q2371" i="4"/>
  <c r="J2372" i="4"/>
  <c r="K2372" i="4"/>
  <c r="L2372" i="4"/>
  <c r="M2372" i="4"/>
  <c r="N2372" i="4"/>
  <c r="O2372" i="4"/>
  <c r="P2372" i="4"/>
  <c r="Q2372" i="4"/>
  <c r="J2373" i="4"/>
  <c r="K2373" i="4"/>
  <c r="L2373" i="4"/>
  <c r="M2373" i="4"/>
  <c r="N2373" i="4"/>
  <c r="O2373" i="4"/>
  <c r="P2373" i="4"/>
  <c r="Q2373" i="4"/>
  <c r="J2374" i="4"/>
  <c r="K2374" i="4"/>
  <c r="L2374" i="4"/>
  <c r="M2374" i="4"/>
  <c r="N2374" i="4"/>
  <c r="O2374" i="4"/>
  <c r="P2374" i="4"/>
  <c r="Q2374" i="4"/>
  <c r="J2375" i="4"/>
  <c r="K2375" i="4"/>
  <c r="L2375" i="4"/>
  <c r="M2375" i="4"/>
  <c r="N2375" i="4"/>
  <c r="O2375" i="4"/>
  <c r="P2375" i="4"/>
  <c r="Q2375" i="4"/>
  <c r="J2376" i="4"/>
  <c r="K2376" i="4"/>
  <c r="L2376" i="4"/>
  <c r="M2376" i="4"/>
  <c r="N2376" i="4"/>
  <c r="O2376" i="4"/>
  <c r="P2376" i="4"/>
  <c r="Q2376" i="4"/>
  <c r="J2377" i="4"/>
  <c r="K2377" i="4"/>
  <c r="L2377" i="4"/>
  <c r="M2377" i="4"/>
  <c r="N2377" i="4"/>
  <c r="O2377" i="4"/>
  <c r="P2377" i="4"/>
  <c r="Q2377" i="4"/>
  <c r="J2378" i="4"/>
  <c r="K2378" i="4"/>
  <c r="L2378" i="4"/>
  <c r="M2378" i="4"/>
  <c r="N2378" i="4"/>
  <c r="O2378" i="4"/>
  <c r="P2378" i="4"/>
  <c r="Q2378" i="4"/>
  <c r="J2379" i="4"/>
  <c r="K2379" i="4"/>
  <c r="L2379" i="4"/>
  <c r="M2379" i="4"/>
  <c r="N2379" i="4"/>
  <c r="O2379" i="4"/>
  <c r="P2379" i="4"/>
  <c r="Q2379" i="4"/>
  <c r="J2380" i="4"/>
  <c r="K2380" i="4"/>
  <c r="L2380" i="4"/>
  <c r="M2380" i="4"/>
  <c r="N2380" i="4"/>
  <c r="O2380" i="4"/>
  <c r="P2380" i="4"/>
  <c r="Q2380" i="4"/>
  <c r="J2381" i="4"/>
  <c r="K2381" i="4"/>
  <c r="L2381" i="4"/>
  <c r="M2381" i="4"/>
  <c r="N2381" i="4"/>
  <c r="O2381" i="4"/>
  <c r="P2381" i="4"/>
  <c r="Q2381" i="4"/>
  <c r="J2382" i="4"/>
  <c r="K2382" i="4"/>
  <c r="L2382" i="4"/>
  <c r="M2382" i="4"/>
  <c r="N2382" i="4"/>
  <c r="O2382" i="4"/>
  <c r="P2382" i="4"/>
  <c r="Q2382" i="4"/>
  <c r="J2383" i="4"/>
  <c r="K2383" i="4"/>
  <c r="L2383" i="4"/>
  <c r="M2383" i="4"/>
  <c r="N2383" i="4"/>
  <c r="O2383" i="4"/>
  <c r="P2383" i="4"/>
  <c r="Q2383" i="4"/>
  <c r="J2384" i="4"/>
  <c r="K2384" i="4"/>
  <c r="L2384" i="4"/>
  <c r="M2384" i="4"/>
  <c r="N2384" i="4"/>
  <c r="O2384" i="4"/>
  <c r="P2384" i="4"/>
  <c r="Q2384" i="4"/>
  <c r="J2385" i="4"/>
  <c r="K2385" i="4"/>
  <c r="L2385" i="4"/>
  <c r="M2385" i="4"/>
  <c r="N2385" i="4"/>
  <c r="O2385" i="4"/>
  <c r="P2385" i="4"/>
  <c r="Q2385" i="4"/>
  <c r="J2386" i="4"/>
  <c r="K2386" i="4"/>
  <c r="L2386" i="4"/>
  <c r="M2386" i="4"/>
  <c r="N2386" i="4"/>
  <c r="O2386" i="4"/>
  <c r="P2386" i="4"/>
  <c r="Q2386" i="4"/>
  <c r="J2387" i="4"/>
  <c r="K2387" i="4"/>
  <c r="K2388" i="4" s="1"/>
  <c r="L2387" i="4"/>
  <c r="L2388" i="4" s="1"/>
  <c r="M2387" i="4"/>
  <c r="M2388" i="4" s="1"/>
  <c r="N2387" i="4"/>
  <c r="N2388" i="4" s="1"/>
  <c r="O2387" i="4"/>
  <c r="O2388" i="4" s="1"/>
  <c r="P2387" i="4"/>
  <c r="P2388" i="4" s="1"/>
  <c r="Q2387" i="4"/>
  <c r="Q2388" i="4" s="1"/>
  <c r="J2388" i="4"/>
  <c r="J2389" i="4"/>
  <c r="K2389" i="4"/>
  <c r="L2389" i="4"/>
  <c r="M2389" i="4"/>
  <c r="N2389" i="4"/>
  <c r="O2389" i="4"/>
  <c r="P2389" i="4"/>
  <c r="Q2389" i="4"/>
  <c r="N6" i="4" l="1"/>
  <c r="O7" i="4"/>
  <c r="P8" i="4"/>
  <c r="Q9" i="4"/>
  <c r="L12" i="4"/>
  <c r="M13" i="4"/>
  <c r="N14" i="4"/>
  <c r="O15" i="4"/>
  <c r="P16" i="4"/>
  <c r="Q17" i="4"/>
  <c r="L20" i="4"/>
  <c r="M21" i="4"/>
  <c r="N22" i="4"/>
  <c r="O23" i="4"/>
  <c r="P24" i="4"/>
  <c r="Q25" i="4"/>
  <c r="L28" i="4"/>
  <c r="M29" i="4"/>
  <c r="N30" i="4"/>
  <c r="O31" i="4"/>
  <c r="P32" i="4"/>
  <c r="Q33" i="4"/>
  <c r="L36" i="4"/>
  <c r="M37" i="4"/>
  <c r="N38" i="4"/>
  <c r="O39" i="4"/>
  <c r="P40" i="4"/>
  <c r="Q41" i="4"/>
  <c r="L44" i="4"/>
  <c r="M45" i="4"/>
  <c r="N46" i="4"/>
  <c r="O47" i="4"/>
  <c r="P48" i="4"/>
  <c r="Q49" i="4"/>
  <c r="L52" i="4"/>
  <c r="M53" i="4"/>
  <c r="N54" i="4"/>
  <c r="O55" i="4"/>
  <c r="P56" i="4"/>
  <c r="Q57" i="4"/>
  <c r="L60" i="4"/>
  <c r="M61" i="4"/>
  <c r="N62" i="4"/>
  <c r="O63" i="4"/>
  <c r="P64" i="4"/>
  <c r="Q65" i="4"/>
  <c r="L68" i="4"/>
  <c r="M69" i="4"/>
  <c r="N70" i="4"/>
  <c r="O71" i="4"/>
  <c r="P72" i="4"/>
  <c r="Q73" i="4"/>
  <c r="L76" i="4"/>
  <c r="M77" i="4"/>
  <c r="N78" i="4"/>
  <c r="O79" i="4"/>
  <c r="P80" i="4"/>
  <c r="Q81" i="4"/>
  <c r="L84" i="4"/>
  <c r="M85" i="4"/>
  <c r="N86" i="4"/>
  <c r="O87" i="4"/>
  <c r="P88" i="4"/>
  <c r="Q89" i="4"/>
  <c r="L92" i="4"/>
  <c r="M93" i="4"/>
  <c r="N94" i="4"/>
  <c r="O95" i="4"/>
  <c r="P96" i="4"/>
  <c r="Q97" i="4"/>
  <c r="L100" i="4"/>
  <c r="M101" i="4"/>
  <c r="N102" i="4"/>
  <c r="O103" i="4"/>
  <c r="P104" i="4"/>
  <c r="Q105" i="4"/>
  <c r="L108" i="4"/>
  <c r="M109" i="4"/>
  <c r="N110" i="4"/>
  <c r="O111" i="4"/>
  <c r="P112" i="4"/>
  <c r="Q113" i="4"/>
  <c r="L116" i="4"/>
  <c r="N5" i="4"/>
  <c r="O6" i="4"/>
  <c r="P7" i="4"/>
  <c r="Q8" i="4"/>
  <c r="L11" i="4"/>
  <c r="M12" i="4"/>
  <c r="N13" i="4"/>
  <c r="O14" i="4"/>
  <c r="P15" i="4"/>
  <c r="Q16" i="4"/>
  <c r="L19" i="4"/>
  <c r="M20" i="4"/>
  <c r="N21" i="4"/>
  <c r="O22" i="4"/>
  <c r="P23" i="4"/>
  <c r="Q24" i="4"/>
  <c r="L27" i="4"/>
  <c r="M28" i="4"/>
  <c r="N29" i="4"/>
  <c r="O30" i="4"/>
  <c r="P31" i="4"/>
  <c r="Q32" i="4"/>
  <c r="L35" i="4"/>
  <c r="M36" i="4"/>
  <c r="N37" i="4"/>
  <c r="O38" i="4"/>
  <c r="P39" i="4"/>
  <c r="Q40" i="4"/>
  <c r="L43" i="4"/>
  <c r="M44" i="4"/>
  <c r="N45" i="4"/>
  <c r="O46" i="4"/>
  <c r="P47" i="4"/>
  <c r="Q48" i="4"/>
  <c r="L51" i="4"/>
  <c r="M52" i="4"/>
  <c r="N53" i="4"/>
  <c r="O54" i="4"/>
  <c r="P55" i="4"/>
  <c r="Q56" i="4"/>
  <c r="L59" i="4"/>
  <c r="M60" i="4"/>
  <c r="N61" i="4"/>
  <c r="O62" i="4"/>
  <c r="P63" i="4"/>
  <c r="Q64" i="4"/>
  <c r="L67" i="4"/>
  <c r="M68" i="4"/>
  <c r="N69" i="4"/>
  <c r="O70" i="4"/>
  <c r="P71" i="4"/>
  <c r="Q72" i="4"/>
  <c r="L75" i="4"/>
  <c r="M76" i="4"/>
  <c r="N77" i="4"/>
  <c r="O78" i="4"/>
  <c r="P79" i="4"/>
  <c r="Q80" i="4"/>
  <c r="L83" i="4"/>
  <c r="M84" i="4"/>
  <c r="N85" i="4"/>
  <c r="O86" i="4"/>
  <c r="P87" i="4"/>
  <c r="Q88" i="4"/>
  <c r="L91" i="4"/>
  <c r="M92" i="4"/>
  <c r="N93" i="4"/>
  <c r="O94" i="4"/>
  <c r="P95" i="4"/>
  <c r="Q96" i="4"/>
  <c r="L99" i="4"/>
  <c r="M100" i="4"/>
  <c r="N101" i="4"/>
  <c r="O102" i="4"/>
  <c r="P103" i="4"/>
  <c r="Q104" i="4"/>
  <c r="L107" i="4"/>
  <c r="M108" i="4"/>
  <c r="O5" i="4"/>
  <c r="P6" i="4"/>
  <c r="Q7" i="4"/>
  <c r="L10" i="4"/>
  <c r="N12" i="4"/>
  <c r="O13" i="4"/>
  <c r="P14" i="4"/>
  <c r="Q15" i="4"/>
  <c r="L18" i="4"/>
  <c r="N20" i="4"/>
  <c r="O21" i="4"/>
  <c r="P22" i="4"/>
  <c r="Q23" i="4"/>
  <c r="L26" i="4"/>
  <c r="M27" i="4"/>
  <c r="N28" i="4"/>
  <c r="O29" i="4"/>
  <c r="P30" i="4"/>
  <c r="Q31" i="4"/>
  <c r="L34" i="4"/>
  <c r="M35" i="4"/>
  <c r="N36" i="4"/>
  <c r="O37" i="4"/>
  <c r="P38" i="4"/>
  <c r="Q39" i="4"/>
  <c r="L42" i="4"/>
  <c r="M43" i="4"/>
  <c r="N44" i="4"/>
  <c r="O45" i="4"/>
  <c r="P46" i="4"/>
  <c r="Q47" i="4"/>
  <c r="L50" i="4"/>
  <c r="M51" i="4"/>
  <c r="N52" i="4"/>
  <c r="O53" i="4"/>
  <c r="P54" i="4"/>
  <c r="Q55" i="4"/>
  <c r="L58" i="4"/>
  <c r="M59" i="4"/>
  <c r="N60" i="4"/>
  <c r="O61" i="4"/>
  <c r="P62" i="4"/>
  <c r="Q63" i="4"/>
  <c r="L66" i="4"/>
  <c r="M67" i="4"/>
  <c r="N68" i="4"/>
  <c r="O69" i="4"/>
  <c r="P70" i="4"/>
  <c r="Q71" i="4"/>
  <c r="L74" i="4"/>
  <c r="M75" i="4"/>
  <c r="N76" i="4"/>
  <c r="O77" i="4"/>
  <c r="P78" i="4"/>
  <c r="Q79" i="4"/>
  <c r="L82" i="4"/>
  <c r="M83" i="4"/>
  <c r="N84" i="4"/>
  <c r="O85" i="4"/>
  <c r="P86" i="4"/>
  <c r="Q87" i="4"/>
  <c r="L90" i="4"/>
  <c r="M91" i="4"/>
  <c r="N92" i="4"/>
  <c r="O93" i="4"/>
  <c r="P94" i="4"/>
  <c r="Q95" i="4"/>
  <c r="L98" i="4"/>
  <c r="M99" i="4"/>
  <c r="N100" i="4"/>
  <c r="O101" i="4"/>
  <c r="P102" i="4"/>
  <c r="Q103" i="4"/>
  <c r="L106" i="4"/>
  <c r="M107" i="4"/>
  <c r="N108" i="4"/>
  <c r="O109" i="4"/>
  <c r="P110" i="4"/>
  <c r="Q111" i="4"/>
  <c r="L114" i="4"/>
  <c r="M115" i="4"/>
  <c r="N116" i="4"/>
  <c r="O117" i="4"/>
  <c r="P5" i="4"/>
  <c r="Q6" i="4"/>
  <c r="L9" i="4"/>
  <c r="N11" i="4"/>
  <c r="O12" i="4"/>
  <c r="P13" i="4"/>
  <c r="Q14" i="4"/>
  <c r="L17" i="4"/>
  <c r="M18" i="4"/>
  <c r="N19" i="4"/>
  <c r="O20" i="4"/>
  <c r="P21" i="4"/>
  <c r="Q22" i="4"/>
  <c r="L25" i="4"/>
  <c r="M26" i="4"/>
  <c r="N27" i="4"/>
  <c r="O28" i="4"/>
  <c r="P29" i="4"/>
  <c r="Q30" i="4"/>
  <c r="L33" i="4"/>
  <c r="M34" i="4"/>
  <c r="N35" i="4"/>
  <c r="O36" i="4"/>
  <c r="P37" i="4"/>
  <c r="Q38" i="4"/>
  <c r="L41" i="4"/>
  <c r="M42" i="4"/>
  <c r="N43" i="4"/>
  <c r="O44" i="4"/>
  <c r="P45" i="4"/>
  <c r="Q46" i="4"/>
  <c r="L49" i="4"/>
  <c r="M50" i="4"/>
  <c r="N51" i="4"/>
  <c r="O52" i="4"/>
  <c r="P53" i="4"/>
  <c r="Q54" i="4"/>
  <c r="L57" i="4"/>
  <c r="M58" i="4"/>
  <c r="N59" i="4"/>
  <c r="O60" i="4"/>
  <c r="P61" i="4"/>
  <c r="Q62" i="4"/>
  <c r="L65" i="4"/>
  <c r="M66" i="4"/>
  <c r="N67" i="4"/>
  <c r="O68" i="4"/>
  <c r="P69" i="4"/>
  <c r="Q70" i="4"/>
  <c r="L73" i="4"/>
  <c r="M74" i="4"/>
  <c r="N75" i="4"/>
  <c r="O76" i="4"/>
  <c r="P77" i="4"/>
  <c r="Q78" i="4"/>
  <c r="L81" i="4"/>
  <c r="M82" i="4"/>
  <c r="N83" i="4"/>
  <c r="O84" i="4"/>
  <c r="P85" i="4"/>
  <c r="Q86" i="4"/>
  <c r="L89" i="4"/>
  <c r="M90" i="4"/>
  <c r="N91" i="4"/>
  <c r="O92" i="4"/>
  <c r="P93" i="4"/>
  <c r="Q94" i="4"/>
  <c r="L97" i="4"/>
  <c r="M98" i="4"/>
  <c r="N99" i="4"/>
  <c r="O100" i="4"/>
  <c r="P101" i="4"/>
  <c r="Q102" i="4"/>
  <c r="L105" i="4"/>
  <c r="M106" i="4"/>
  <c r="N107" i="4"/>
  <c r="O108" i="4"/>
  <c r="P109" i="4"/>
  <c r="Q110" i="4"/>
  <c r="L113" i="4"/>
  <c r="M114" i="4"/>
  <c r="N115" i="4"/>
  <c r="P4" i="4"/>
  <c r="P1" i="4" s="1"/>
  <c r="Q5" i="4"/>
  <c r="L8" i="4"/>
  <c r="M9" i="4"/>
  <c r="N10" i="4"/>
  <c r="O11" i="4"/>
  <c r="P12" i="4"/>
  <c r="Q13" i="4"/>
  <c r="L16" i="4"/>
  <c r="M17" i="4"/>
  <c r="N18" i="4"/>
  <c r="O19" i="4"/>
  <c r="P20" i="4"/>
  <c r="Q21" i="4"/>
  <c r="L24" i="4"/>
  <c r="M25" i="4"/>
  <c r="N26" i="4"/>
  <c r="O27" i="4"/>
  <c r="P28" i="4"/>
  <c r="Q29" i="4"/>
  <c r="L32" i="4"/>
  <c r="M33" i="4"/>
  <c r="N34" i="4"/>
  <c r="O35" i="4"/>
  <c r="P36" i="4"/>
  <c r="Q37" i="4"/>
  <c r="L40" i="4"/>
  <c r="M41" i="4"/>
  <c r="N42" i="4"/>
  <c r="O43" i="4"/>
  <c r="P44" i="4"/>
  <c r="Q45" i="4"/>
  <c r="L48" i="4"/>
  <c r="M49" i="4"/>
  <c r="N50" i="4"/>
  <c r="O51" i="4"/>
  <c r="P52" i="4"/>
  <c r="Q53" i="4"/>
  <c r="L56" i="4"/>
  <c r="M57" i="4"/>
  <c r="N58" i="4"/>
  <c r="O59" i="4"/>
  <c r="P60" i="4"/>
  <c r="Q61" i="4"/>
  <c r="L64" i="4"/>
  <c r="M65" i="4"/>
  <c r="N66" i="4"/>
  <c r="O67" i="4"/>
  <c r="P68" i="4"/>
  <c r="Q69" i="4"/>
  <c r="L72" i="4"/>
  <c r="M73" i="4"/>
  <c r="N74" i="4"/>
  <c r="O75" i="4"/>
  <c r="P76" i="4"/>
  <c r="Q77" i="4"/>
  <c r="L80" i="4"/>
  <c r="M81" i="4"/>
  <c r="N82" i="4"/>
  <c r="O83" i="4"/>
  <c r="P84" i="4"/>
  <c r="Q85" i="4"/>
  <c r="L88" i="4"/>
  <c r="M89" i="4"/>
  <c r="N90" i="4"/>
  <c r="O91" i="4"/>
  <c r="P92" i="4"/>
  <c r="Q93" i="4"/>
  <c r="L96" i="4"/>
  <c r="M97" i="4"/>
  <c r="N98" i="4"/>
  <c r="O99" i="4"/>
  <c r="P100" i="4"/>
  <c r="Q101" i="4"/>
  <c r="L104" i="4"/>
  <c r="M105" i="4"/>
  <c r="N106" i="4"/>
  <c r="O107" i="4"/>
  <c r="P108" i="4"/>
  <c r="Q109" i="4"/>
  <c r="L7" i="4"/>
  <c r="N9" i="4"/>
  <c r="O10" i="4"/>
  <c r="P11" i="4"/>
  <c r="Q12" i="4"/>
  <c r="L15" i="4"/>
  <c r="M16" i="4"/>
  <c r="N17" i="4"/>
  <c r="O18" i="4"/>
  <c r="P19" i="4"/>
  <c r="Q20" i="4"/>
  <c r="L23" i="4"/>
  <c r="M24" i="4"/>
  <c r="N25" i="4"/>
  <c r="O26" i="4"/>
  <c r="P27" i="4"/>
  <c r="Q28" i="4"/>
  <c r="L31" i="4"/>
  <c r="M32" i="4"/>
  <c r="N33" i="4"/>
  <c r="O34" i="4"/>
  <c r="P35" i="4"/>
  <c r="Q36" i="4"/>
  <c r="L39" i="4"/>
  <c r="M40" i="4"/>
  <c r="N41" i="4"/>
  <c r="O42" i="4"/>
  <c r="P43" i="4"/>
  <c r="Q44" i="4"/>
  <c r="L47" i="4"/>
  <c r="M48" i="4"/>
  <c r="N49" i="4"/>
  <c r="O50" i="4"/>
  <c r="P51" i="4"/>
  <c r="Q52" i="4"/>
  <c r="L55" i="4"/>
  <c r="M56" i="4"/>
  <c r="N57" i="4"/>
  <c r="O58" i="4"/>
  <c r="P59" i="4"/>
  <c r="Q60" i="4"/>
  <c r="L63" i="4"/>
  <c r="M64" i="4"/>
  <c r="N65" i="4"/>
  <c r="O66" i="4"/>
  <c r="P67" i="4"/>
  <c r="Q68" i="4"/>
  <c r="L71" i="4"/>
  <c r="M72" i="4"/>
  <c r="N73" i="4"/>
  <c r="O74" i="4"/>
  <c r="P75" i="4"/>
  <c r="Q76" i="4"/>
  <c r="L79" i="4"/>
  <c r="M80" i="4"/>
  <c r="N81" i="4"/>
  <c r="O82" i="4"/>
  <c r="P83" i="4"/>
  <c r="Q84" i="4"/>
  <c r="L87" i="4"/>
  <c r="M88" i="4"/>
  <c r="N89" i="4"/>
  <c r="O90" i="4"/>
  <c r="P91" i="4"/>
  <c r="Q92" i="4"/>
  <c r="L95" i="4"/>
  <c r="M96" i="4"/>
  <c r="N97" i="4"/>
  <c r="O98" i="4"/>
  <c r="P99" i="4"/>
  <c r="Q100" i="4"/>
  <c r="L103" i="4"/>
  <c r="M104" i="4"/>
  <c r="N105" i="4"/>
  <c r="O106" i="4"/>
  <c r="P107" i="4"/>
  <c r="N8" i="4"/>
  <c r="O9" i="4"/>
  <c r="P10" i="4"/>
  <c r="Q11" i="4"/>
  <c r="L14" i="4"/>
  <c r="N16" i="4"/>
  <c r="O17" i="4"/>
  <c r="P18" i="4"/>
  <c r="Q19" i="4"/>
  <c r="L22" i="4"/>
  <c r="N24" i="4"/>
  <c r="O25" i="4"/>
  <c r="P26" i="4"/>
  <c r="Q27" i="4"/>
  <c r="L30" i="4"/>
  <c r="M31" i="4"/>
  <c r="N32" i="4"/>
  <c r="O33" i="4"/>
  <c r="P34" i="4"/>
  <c r="Q35" i="4"/>
  <c r="L38" i="4"/>
  <c r="M39" i="4"/>
  <c r="N40" i="4"/>
  <c r="O41" i="4"/>
  <c r="P42" i="4"/>
  <c r="Q43" i="4"/>
  <c r="L46" i="4"/>
  <c r="M47" i="4"/>
  <c r="N48" i="4"/>
  <c r="O49" i="4"/>
  <c r="P50" i="4"/>
  <c r="Q51" i="4"/>
  <c r="L54" i="4"/>
  <c r="M55" i="4"/>
  <c r="N56" i="4"/>
  <c r="O57" i="4"/>
  <c r="P58" i="4"/>
  <c r="Q59" i="4"/>
  <c r="L62" i="4"/>
  <c r="M63" i="4"/>
  <c r="N64" i="4"/>
  <c r="O65" i="4"/>
  <c r="P66" i="4"/>
  <c r="Q67" i="4"/>
  <c r="L70" i="4"/>
  <c r="M71" i="4"/>
  <c r="N72" i="4"/>
  <c r="O73" i="4"/>
  <c r="P74" i="4"/>
  <c r="Q75" i="4"/>
  <c r="L78" i="4"/>
  <c r="M79" i="4"/>
  <c r="N80" i="4"/>
  <c r="O81" i="4"/>
  <c r="P82" i="4"/>
  <c r="Q83" i="4"/>
  <c r="L86" i="4"/>
  <c r="M87" i="4"/>
  <c r="N88" i="4"/>
  <c r="O89" i="4"/>
  <c r="P90" i="4"/>
  <c r="Q91" i="4"/>
  <c r="L94" i="4"/>
  <c r="M95" i="4"/>
  <c r="N96" i="4"/>
  <c r="O97" i="4"/>
  <c r="P98" i="4"/>
  <c r="Q99" i="4"/>
  <c r="L102" i="4"/>
  <c r="M103" i="4"/>
  <c r="N104" i="4"/>
  <c r="O105" i="4"/>
  <c r="P106" i="4"/>
  <c r="Q107" i="4"/>
  <c r="L110" i="4"/>
  <c r="M111" i="4"/>
  <c r="N112" i="4"/>
  <c r="O113" i="4"/>
  <c r="P114" i="4"/>
  <c r="Q115" i="4"/>
  <c r="L118" i="4"/>
  <c r="O110" i="4"/>
  <c r="O112" i="4"/>
  <c r="O114" i="4"/>
  <c r="O116" i="4"/>
  <c r="Q117" i="4"/>
  <c r="L119" i="4"/>
  <c r="M120" i="4"/>
  <c r="N121" i="4"/>
  <c r="O122" i="4"/>
  <c r="P123" i="4"/>
  <c r="Q124" i="4"/>
  <c r="L127" i="4"/>
  <c r="M128" i="4"/>
  <c r="N129" i="4"/>
  <c r="O130" i="4"/>
  <c r="P131" i="4"/>
  <c r="Q132" i="4"/>
  <c r="L135" i="4"/>
  <c r="M136" i="4"/>
  <c r="N137" i="4"/>
  <c r="O138" i="4"/>
  <c r="P139" i="4"/>
  <c r="Q140" i="4"/>
  <c r="L143" i="4"/>
  <c r="M144" i="4"/>
  <c r="N145" i="4"/>
  <c r="O146" i="4"/>
  <c r="P147" i="4"/>
  <c r="Q148" i="4"/>
  <c r="L151" i="4"/>
  <c r="M152" i="4"/>
  <c r="N153" i="4"/>
  <c r="O154" i="4"/>
  <c r="P155" i="4"/>
  <c r="Q156" i="4"/>
  <c r="L159" i="4"/>
  <c r="M160" i="4"/>
  <c r="N161" i="4"/>
  <c r="O162" i="4"/>
  <c r="P163" i="4"/>
  <c r="Q164" i="4"/>
  <c r="L167" i="4"/>
  <c r="M168" i="4"/>
  <c r="N169" i="4"/>
  <c r="O170" i="4"/>
  <c r="P171" i="4"/>
  <c r="P172" i="4"/>
  <c r="P173" i="4"/>
  <c r="N7" i="4"/>
  <c r="O16" i="4"/>
  <c r="L21" i="4"/>
  <c r="P25" i="4"/>
  <c r="M30" i="4"/>
  <c r="Q34" i="4"/>
  <c r="N39" i="4"/>
  <c r="O48" i="4"/>
  <c r="L53" i="4"/>
  <c r="P57" i="4"/>
  <c r="M62" i="4"/>
  <c r="Q66" i="4"/>
  <c r="N71" i="4"/>
  <c r="O80" i="4"/>
  <c r="L85" i="4"/>
  <c r="P89" i="4"/>
  <c r="M94" i="4"/>
  <c r="Q98" i="4"/>
  <c r="N103" i="4"/>
  <c r="Q112" i="4"/>
  <c r="Q114" i="4"/>
  <c r="P116" i="4"/>
  <c r="M119" i="4"/>
  <c r="N120" i="4"/>
  <c r="O121" i="4"/>
  <c r="P122" i="4"/>
  <c r="Q123" i="4"/>
  <c r="L126" i="4"/>
  <c r="M127" i="4"/>
  <c r="N128" i="4"/>
  <c r="O129" i="4"/>
  <c r="P130" i="4"/>
  <c r="Q131" i="4"/>
  <c r="L134" i="4"/>
  <c r="M135" i="4"/>
  <c r="N136" i="4"/>
  <c r="O137" i="4"/>
  <c r="P138" i="4"/>
  <c r="Q139" i="4"/>
  <c r="L142" i="4"/>
  <c r="M143" i="4"/>
  <c r="N144" i="4"/>
  <c r="O145" i="4"/>
  <c r="P146" i="4"/>
  <c r="Q147" i="4"/>
  <c r="L150" i="4"/>
  <c r="M151" i="4"/>
  <c r="N152" i="4"/>
  <c r="O153" i="4"/>
  <c r="P154" i="4"/>
  <c r="Q155" i="4"/>
  <c r="L158" i="4"/>
  <c r="M159" i="4"/>
  <c r="N160" i="4"/>
  <c r="O161" i="4"/>
  <c r="P162" i="4"/>
  <c r="Q163" i="4"/>
  <c r="L166" i="4"/>
  <c r="M167" i="4"/>
  <c r="N168" i="4"/>
  <c r="O169" i="4"/>
  <c r="P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08" i="4"/>
  <c r="L111" i="4"/>
  <c r="Q116" i="4"/>
  <c r="M118" i="4"/>
  <c r="N119" i="4"/>
  <c r="O120" i="4"/>
  <c r="P121" i="4"/>
  <c r="Q122" i="4"/>
  <c r="L125" i="4"/>
  <c r="M126" i="4"/>
  <c r="N127" i="4"/>
  <c r="O128" i="4"/>
  <c r="P129" i="4"/>
  <c r="Q130" i="4"/>
  <c r="L133" i="4"/>
  <c r="M134" i="4"/>
  <c r="N135" i="4"/>
  <c r="O136" i="4"/>
  <c r="P137" i="4"/>
  <c r="Q138" i="4"/>
  <c r="L141" i="4"/>
  <c r="M142" i="4"/>
  <c r="N143" i="4"/>
  <c r="O144" i="4"/>
  <c r="P145" i="4"/>
  <c r="Q146" i="4"/>
  <c r="L149" i="4"/>
  <c r="M150" i="4"/>
  <c r="N151" i="4"/>
  <c r="O152" i="4"/>
  <c r="P153" i="4"/>
  <c r="Q154" i="4"/>
  <c r="L157" i="4"/>
  <c r="M158" i="4"/>
  <c r="N159" i="4"/>
  <c r="O160" i="4"/>
  <c r="P161" i="4"/>
  <c r="Q162" i="4"/>
  <c r="L165" i="4"/>
  <c r="M166" i="4"/>
  <c r="N167" i="4"/>
  <c r="O168" i="4"/>
  <c r="P169" i="4"/>
  <c r="Q170" i="4"/>
  <c r="O8" i="4"/>
  <c r="L13" i="4"/>
  <c r="P17" i="4"/>
  <c r="M22" i="4"/>
  <c r="Q26" i="4"/>
  <c r="N31" i="4"/>
  <c r="O40" i="4"/>
  <c r="L45" i="4"/>
  <c r="P49" i="4"/>
  <c r="M54" i="4"/>
  <c r="Q58" i="4"/>
  <c r="N63" i="4"/>
  <c r="O72" i="4"/>
  <c r="L77" i="4"/>
  <c r="P81" i="4"/>
  <c r="M86" i="4"/>
  <c r="Q90" i="4"/>
  <c r="N95" i="4"/>
  <c r="O104" i="4"/>
  <c r="N111" i="4"/>
  <c r="M113" i="4"/>
  <c r="L115" i="4"/>
  <c r="N118" i="4"/>
  <c r="O119" i="4"/>
  <c r="P120" i="4"/>
  <c r="Q121" i="4"/>
  <c r="L124" i="4"/>
  <c r="M125" i="4"/>
  <c r="N126" i="4"/>
  <c r="O127" i="4"/>
  <c r="P128" i="4"/>
  <c r="Q129" i="4"/>
  <c r="L132" i="4"/>
  <c r="M133" i="4"/>
  <c r="N134" i="4"/>
  <c r="O135" i="4"/>
  <c r="P136" i="4"/>
  <c r="Q137" i="4"/>
  <c r="L140" i="4"/>
  <c r="M141" i="4"/>
  <c r="N142" i="4"/>
  <c r="O143" i="4"/>
  <c r="P144" i="4"/>
  <c r="Q145" i="4"/>
  <c r="L148" i="4"/>
  <c r="M149" i="4"/>
  <c r="N150" i="4"/>
  <c r="O151" i="4"/>
  <c r="P152" i="4"/>
  <c r="Q153" i="4"/>
  <c r="L109" i="4"/>
  <c r="P111" i="4"/>
  <c r="N113" i="4"/>
  <c r="O115" i="4"/>
  <c r="L117" i="4"/>
  <c r="O118" i="4"/>
  <c r="P119" i="4"/>
  <c r="Q120" i="4"/>
  <c r="L123" i="4"/>
  <c r="M124" i="4"/>
  <c r="N125" i="4"/>
  <c r="O126" i="4"/>
  <c r="P127" i="4"/>
  <c r="Q128" i="4"/>
  <c r="L131" i="4"/>
  <c r="M132" i="4"/>
  <c r="N133" i="4"/>
  <c r="O134" i="4"/>
  <c r="P135" i="4"/>
  <c r="Q136" i="4"/>
  <c r="L139" i="4"/>
  <c r="M140" i="4"/>
  <c r="N141" i="4"/>
  <c r="O142" i="4"/>
  <c r="P143" i="4"/>
  <c r="Q144" i="4"/>
  <c r="L147" i="4"/>
  <c r="M148" i="4"/>
  <c r="N149" i="4"/>
  <c r="O150" i="4"/>
  <c r="P151" i="4"/>
  <c r="Q152" i="4"/>
  <c r="L155" i="4"/>
  <c r="M156" i="4"/>
  <c r="N157" i="4"/>
  <c r="O158" i="4"/>
  <c r="P159" i="4"/>
  <c r="Q160" i="4"/>
  <c r="L163" i="4"/>
  <c r="M164" i="4"/>
  <c r="N165" i="4"/>
  <c r="O166" i="4"/>
  <c r="P167" i="4"/>
  <c r="Q168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5" i="4"/>
  <c r="P9" i="4"/>
  <c r="M14" i="4"/>
  <c r="Q18" i="4"/>
  <c r="N23" i="4"/>
  <c r="O32" i="4"/>
  <c r="L37" i="4"/>
  <c r="P41" i="4"/>
  <c r="M46" i="4"/>
  <c r="Q50" i="4"/>
  <c r="N55" i="4"/>
  <c r="O64" i="4"/>
  <c r="L69" i="4"/>
  <c r="P73" i="4"/>
  <c r="M78" i="4"/>
  <c r="Q82" i="4"/>
  <c r="N87" i="4"/>
  <c r="O96" i="4"/>
  <c r="L101" i="4"/>
  <c r="P105" i="4"/>
  <c r="N109" i="4"/>
  <c r="P113" i="4"/>
  <c r="P115" i="4"/>
  <c r="M117" i="4"/>
  <c r="P118" i="4"/>
  <c r="Q119" i="4"/>
  <c r="L122" i="4"/>
  <c r="M123" i="4"/>
  <c r="N124" i="4"/>
  <c r="O125" i="4"/>
  <c r="P126" i="4"/>
  <c r="Q127" i="4"/>
  <c r="L130" i="4"/>
  <c r="M131" i="4"/>
  <c r="N132" i="4"/>
  <c r="O133" i="4"/>
  <c r="P134" i="4"/>
  <c r="Q135" i="4"/>
  <c r="L138" i="4"/>
  <c r="M139" i="4"/>
  <c r="N140" i="4"/>
  <c r="O141" i="4"/>
  <c r="P142" i="4"/>
  <c r="Q143" i="4"/>
  <c r="L146" i="4"/>
  <c r="M147" i="4"/>
  <c r="N148" i="4"/>
  <c r="O149" i="4"/>
  <c r="P150" i="4"/>
  <c r="Q151" i="4"/>
  <c r="L154" i="4"/>
  <c r="M155" i="4"/>
  <c r="N156" i="4"/>
  <c r="O157" i="4"/>
  <c r="P158" i="4"/>
  <c r="Q159" i="4"/>
  <c r="L162" i="4"/>
  <c r="M163" i="4"/>
  <c r="N164" i="4"/>
  <c r="O165" i="4"/>
  <c r="P166" i="4"/>
  <c r="Q167" i="4"/>
  <c r="L170" i="4"/>
  <c r="M171" i="4"/>
  <c r="M172" i="4"/>
  <c r="M173" i="4"/>
  <c r="L112" i="4"/>
  <c r="N117" i="4"/>
  <c r="Q118" i="4"/>
  <c r="L121" i="4"/>
  <c r="M122" i="4"/>
  <c r="N123" i="4"/>
  <c r="O124" i="4"/>
  <c r="P125" i="4"/>
  <c r="Q126" i="4"/>
  <c r="L129" i="4"/>
  <c r="M130" i="4"/>
  <c r="N131" i="4"/>
  <c r="O132" i="4"/>
  <c r="P133" i="4"/>
  <c r="Q134" i="4"/>
  <c r="L137" i="4"/>
  <c r="M138" i="4"/>
  <c r="N139" i="4"/>
  <c r="O140" i="4"/>
  <c r="P141" i="4"/>
  <c r="Q142" i="4"/>
  <c r="L145" i="4"/>
  <c r="M146" i="4"/>
  <c r="N147" i="4"/>
  <c r="O148" i="4"/>
  <c r="P149" i="4"/>
  <c r="Q150" i="4"/>
  <c r="L153" i="4"/>
  <c r="M154" i="4"/>
  <c r="N155" i="4"/>
  <c r="O156" i="4"/>
  <c r="P157" i="4"/>
  <c r="Q158" i="4"/>
  <c r="L161" i="4"/>
  <c r="M162" i="4"/>
  <c r="N163" i="4"/>
  <c r="O164" i="4"/>
  <c r="P165" i="4"/>
  <c r="Q166" i="4"/>
  <c r="L169" i="4"/>
  <c r="M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M102" i="4"/>
  <c r="N114" i="4"/>
  <c r="M165" i="4"/>
  <c r="P168" i="4"/>
  <c r="M174" i="4"/>
  <c r="O177" i="4"/>
  <c r="K179" i="4"/>
  <c r="P180" i="4"/>
  <c r="M182" i="4"/>
  <c r="O185" i="4"/>
  <c r="K187" i="4"/>
  <c r="P188" i="4"/>
  <c r="M190" i="4"/>
  <c r="O193" i="4"/>
  <c r="M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N15" i="4"/>
  <c r="L29" i="4"/>
  <c r="Q42" i="4"/>
  <c r="O56" i="4"/>
  <c r="L120" i="4"/>
  <c r="P124" i="4"/>
  <c r="M129" i="4"/>
  <c r="Q133" i="4"/>
  <c r="N138" i="4"/>
  <c r="O147" i="4"/>
  <c r="L152" i="4"/>
  <c r="L156" i="4"/>
  <c r="O159" i="4"/>
  <c r="N162" i="4"/>
  <c r="Q165" i="4"/>
  <c r="K172" i="4"/>
  <c r="O174" i="4"/>
  <c r="K176" i="4"/>
  <c r="P177" i="4"/>
  <c r="M179" i="4"/>
  <c r="O182" i="4"/>
  <c r="K184" i="4"/>
  <c r="P185" i="4"/>
  <c r="M187" i="4"/>
  <c r="O190" i="4"/>
  <c r="K192" i="4"/>
  <c r="P193" i="4"/>
  <c r="K195" i="4"/>
  <c r="O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M70" i="4"/>
  <c r="P97" i="4"/>
  <c r="M110" i="4"/>
  <c r="P156" i="4"/>
  <c r="M169" i="4"/>
  <c r="O172" i="4"/>
  <c r="P174" i="4"/>
  <c r="M176" i="4"/>
  <c r="O179" i="4"/>
  <c r="K181" i="4"/>
  <c r="P182" i="4"/>
  <c r="M184" i="4"/>
  <c r="O187" i="4"/>
  <c r="K189" i="4"/>
  <c r="P190" i="4"/>
  <c r="M192" i="4"/>
  <c r="M195" i="4"/>
  <c r="P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10" i="4"/>
  <c r="O24" i="4"/>
  <c r="M116" i="4"/>
  <c r="M121" i="4"/>
  <c r="Q125" i="4"/>
  <c r="N130" i="4"/>
  <c r="O139" i="4"/>
  <c r="L144" i="4"/>
  <c r="P148" i="4"/>
  <c r="M153" i="4"/>
  <c r="L160" i="4"/>
  <c r="O163" i="4"/>
  <c r="N166" i="4"/>
  <c r="Q169" i="4"/>
  <c r="O176" i="4"/>
  <c r="K178" i="4"/>
  <c r="P179" i="4"/>
  <c r="M181" i="4"/>
  <c r="O184" i="4"/>
  <c r="K186" i="4"/>
  <c r="P187" i="4"/>
  <c r="M189" i="4"/>
  <c r="O192" i="4"/>
  <c r="K194" i="4"/>
  <c r="O195" i="4"/>
  <c r="Q196" i="4"/>
  <c r="M38" i="4"/>
  <c r="P65" i="4"/>
  <c r="M157" i="4"/>
  <c r="P160" i="4"/>
  <c r="K173" i="4"/>
  <c r="K175" i="4"/>
  <c r="P176" i="4"/>
  <c r="M178" i="4"/>
  <c r="O181" i="4"/>
  <c r="K183" i="4"/>
  <c r="P184" i="4"/>
  <c r="M186" i="4"/>
  <c r="O189" i="4"/>
  <c r="K191" i="4"/>
  <c r="P192" i="4"/>
  <c r="M194" i="4"/>
  <c r="P195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N79" i="4"/>
  <c r="L93" i="4"/>
  <c r="Q106" i="4"/>
  <c r="M112" i="4"/>
  <c r="P117" i="4"/>
  <c r="N122" i="4"/>
  <c r="O131" i="4"/>
  <c r="L136" i="4"/>
  <c r="P140" i="4"/>
  <c r="M145" i="4"/>
  <c r="Q149" i="4"/>
  <c r="N154" i="4"/>
  <c r="Q157" i="4"/>
  <c r="L164" i="4"/>
  <c r="O167" i="4"/>
  <c r="N170" i="4"/>
  <c r="O173" i="4"/>
  <c r="M175" i="4"/>
  <c r="O178" i="4"/>
  <c r="K180" i="4"/>
  <c r="P181" i="4"/>
  <c r="M183" i="4"/>
  <c r="O186" i="4"/>
  <c r="K188" i="4"/>
  <c r="P189" i="4"/>
  <c r="M191" i="4"/>
  <c r="O194" i="4"/>
  <c r="Q195" i="4"/>
  <c r="K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M6" i="4"/>
  <c r="P33" i="4"/>
  <c r="M161" i="4"/>
  <c r="P164" i="4"/>
  <c r="O175" i="4"/>
  <c r="K177" i="4"/>
  <c r="P178" i="4"/>
  <c r="M180" i="4"/>
  <c r="O183" i="4"/>
  <c r="K185" i="4"/>
  <c r="P186" i="4"/>
  <c r="M188" i="4"/>
  <c r="O191" i="4"/>
  <c r="K193" i="4"/>
  <c r="P194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137" i="4"/>
  <c r="K220" i="4"/>
  <c r="K222" i="4"/>
  <c r="P223" i="4"/>
  <c r="N225" i="4"/>
  <c r="O228" i="4"/>
  <c r="K230" i="4"/>
  <c r="P231" i="4"/>
  <c r="N233" i="4"/>
  <c r="O236" i="4"/>
  <c r="K238" i="4"/>
  <c r="O239" i="4"/>
  <c r="L242" i="4"/>
  <c r="O243" i="4"/>
  <c r="L246" i="4"/>
  <c r="O247" i="4"/>
  <c r="L250" i="4"/>
  <c r="O251" i="4"/>
  <c r="L254" i="4"/>
  <c r="O255" i="4"/>
  <c r="L258" i="4"/>
  <c r="O259" i="4"/>
  <c r="L262" i="4"/>
  <c r="O263" i="4"/>
  <c r="L266" i="4"/>
  <c r="N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N158" i="4"/>
  <c r="O171" i="4"/>
  <c r="K182" i="4"/>
  <c r="N197" i="4"/>
  <c r="N201" i="4"/>
  <c r="N205" i="4"/>
  <c r="N209" i="4"/>
  <c r="N213" i="4"/>
  <c r="N217" i="4"/>
  <c r="N220" i="4"/>
  <c r="N222" i="4"/>
  <c r="O225" i="4"/>
  <c r="K227" i="4"/>
  <c r="P228" i="4"/>
  <c r="N230" i="4"/>
  <c r="O233" i="4"/>
  <c r="K235" i="4"/>
  <c r="P236" i="4"/>
  <c r="N238" i="4"/>
  <c r="P239" i="4"/>
  <c r="K241" i="4"/>
  <c r="N242" i="4"/>
  <c r="P243" i="4"/>
  <c r="K245" i="4"/>
  <c r="N246" i="4"/>
  <c r="P247" i="4"/>
  <c r="K249" i="4"/>
  <c r="N250" i="4"/>
  <c r="P251" i="4"/>
  <c r="K253" i="4"/>
  <c r="N254" i="4"/>
  <c r="P255" i="4"/>
  <c r="K257" i="4"/>
  <c r="N258" i="4"/>
  <c r="P259" i="4"/>
  <c r="K261" i="4"/>
  <c r="N262" i="4"/>
  <c r="P263" i="4"/>
  <c r="K265" i="4"/>
  <c r="N266" i="4"/>
  <c r="O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132" i="4"/>
  <c r="M177" i="4"/>
  <c r="O188" i="4"/>
  <c r="M193" i="4"/>
  <c r="O222" i="4"/>
  <c r="K224" i="4"/>
  <c r="P225" i="4"/>
  <c r="N227" i="4"/>
  <c r="O230" i="4"/>
  <c r="K232" i="4"/>
  <c r="P233" i="4"/>
  <c r="N235" i="4"/>
  <c r="O238" i="4"/>
  <c r="L241" i="4"/>
  <c r="O242" i="4"/>
  <c r="L245" i="4"/>
  <c r="O246" i="4"/>
  <c r="L249" i="4"/>
  <c r="O250" i="4"/>
  <c r="L253" i="4"/>
  <c r="O254" i="4"/>
  <c r="L257" i="4"/>
  <c r="O258" i="4"/>
  <c r="L261" i="4"/>
  <c r="O262" i="4"/>
  <c r="L265" i="4"/>
  <c r="O266" i="4"/>
  <c r="P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O88" i="4"/>
  <c r="N146" i="4"/>
  <c r="P183" i="4"/>
  <c r="N198" i="4"/>
  <c r="N202" i="4"/>
  <c r="N206" i="4"/>
  <c r="N210" i="4"/>
  <c r="N214" i="4"/>
  <c r="N218" i="4"/>
  <c r="K221" i="4"/>
  <c r="P222" i="4"/>
  <c r="N224" i="4"/>
  <c r="O227" i="4"/>
  <c r="K229" i="4"/>
  <c r="P230" i="4"/>
  <c r="N232" i="4"/>
  <c r="O235" i="4"/>
  <c r="K237" i="4"/>
  <c r="P238" i="4"/>
  <c r="K240" i="4"/>
  <c r="N241" i="4"/>
  <c r="P242" i="4"/>
  <c r="K244" i="4"/>
  <c r="N245" i="4"/>
  <c r="P246" i="4"/>
  <c r="K248" i="4"/>
  <c r="N249" i="4"/>
  <c r="P250" i="4"/>
  <c r="K252" i="4"/>
  <c r="N253" i="4"/>
  <c r="P254" i="4"/>
  <c r="K256" i="4"/>
  <c r="N257" i="4"/>
  <c r="P258" i="4"/>
  <c r="K260" i="4"/>
  <c r="N261" i="4"/>
  <c r="P262" i="4"/>
  <c r="K264" i="4"/>
  <c r="N265" i="4"/>
  <c r="P266" i="4"/>
  <c r="Q74" i="4"/>
  <c r="Q194" i="4"/>
  <c r="N221" i="4"/>
  <c r="O224" i="4"/>
  <c r="K226" i="4"/>
  <c r="P227" i="4"/>
  <c r="N229" i="4"/>
  <c r="O232" i="4"/>
  <c r="K234" i="4"/>
  <c r="P235" i="4"/>
  <c r="N237" i="4"/>
  <c r="L240" i="4"/>
  <c r="O241" i="4"/>
  <c r="L244" i="4"/>
  <c r="O245" i="4"/>
  <c r="L248" i="4"/>
  <c r="O249" i="4"/>
  <c r="L252" i="4"/>
  <c r="O253" i="4"/>
  <c r="L256" i="4"/>
  <c r="O257" i="4"/>
  <c r="L260" i="4"/>
  <c r="O261" i="4"/>
  <c r="L264" i="4"/>
  <c r="O265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L128" i="4"/>
  <c r="Q141" i="4"/>
  <c r="O155" i="4"/>
  <c r="Q161" i="4"/>
  <c r="L168" i="4"/>
  <c r="K174" i="4"/>
  <c r="K190" i="4"/>
  <c r="N199" i="4"/>
  <c r="N203" i="4"/>
  <c r="N207" i="4"/>
  <c r="N211" i="4"/>
  <c r="N215" i="4"/>
  <c r="K219" i="4"/>
  <c r="O221" i="4"/>
  <c r="K223" i="4"/>
  <c r="P224" i="4"/>
  <c r="N226" i="4"/>
  <c r="O229" i="4"/>
  <c r="K231" i="4"/>
  <c r="P232" i="4"/>
  <c r="N234" i="4"/>
  <c r="O237" i="4"/>
  <c r="K239" i="4"/>
  <c r="N240" i="4"/>
  <c r="P241" i="4"/>
  <c r="K243" i="4"/>
  <c r="N244" i="4"/>
  <c r="P245" i="4"/>
  <c r="K247" i="4"/>
  <c r="N248" i="4"/>
  <c r="P249" i="4"/>
  <c r="K251" i="4"/>
  <c r="N252" i="4"/>
  <c r="P253" i="4"/>
  <c r="K255" i="4"/>
  <c r="N256" i="4"/>
  <c r="P257" i="4"/>
  <c r="K259" i="4"/>
  <c r="N260" i="4"/>
  <c r="P261" i="4"/>
  <c r="K263" i="4"/>
  <c r="N264" i="4"/>
  <c r="P265" i="4"/>
  <c r="K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61" i="4"/>
  <c r="O180" i="4"/>
  <c r="M185" i="4"/>
  <c r="N219" i="4"/>
  <c r="P221" i="4"/>
  <c r="N223" i="4"/>
  <c r="O226" i="4"/>
  <c r="K228" i="4"/>
  <c r="P229" i="4"/>
  <c r="N231" i="4"/>
  <c r="O234" i="4"/>
  <c r="K236" i="4"/>
  <c r="P237" i="4"/>
  <c r="L239" i="4"/>
  <c r="O240" i="4"/>
  <c r="L243" i="4"/>
  <c r="O244" i="4"/>
  <c r="L247" i="4"/>
  <c r="O248" i="4"/>
  <c r="L251" i="4"/>
  <c r="O252" i="4"/>
  <c r="L255" i="4"/>
  <c r="O256" i="4"/>
  <c r="L259" i="4"/>
  <c r="O260" i="4"/>
  <c r="L263" i="4"/>
  <c r="O264" i="4"/>
  <c r="L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K196" i="4"/>
  <c r="K233" i="4"/>
  <c r="N243" i="4"/>
  <c r="P252" i="4"/>
  <c r="K266" i="4"/>
  <c r="N270" i="4"/>
  <c r="N274" i="4"/>
  <c r="N278" i="4"/>
  <c r="N282" i="4"/>
  <c r="N286" i="4"/>
  <c r="N290" i="4"/>
  <c r="N294" i="4"/>
  <c r="N298" i="4"/>
  <c r="N302" i="4"/>
  <c r="N306" i="4"/>
  <c r="N309" i="4"/>
  <c r="K311" i="4"/>
  <c r="O312" i="4"/>
  <c r="L314" i="4"/>
  <c r="N317" i="4"/>
  <c r="K319" i="4"/>
  <c r="O320" i="4"/>
  <c r="L322" i="4"/>
  <c r="N325" i="4"/>
  <c r="K327" i="4"/>
  <c r="O328" i="4"/>
  <c r="L331" i="4"/>
  <c r="O332" i="4"/>
  <c r="L335" i="4"/>
  <c r="O336" i="4"/>
  <c r="L339" i="4"/>
  <c r="O340" i="4"/>
  <c r="K343" i="4"/>
  <c r="L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P175" i="4"/>
  <c r="N216" i="4"/>
  <c r="O223" i="4"/>
  <c r="N228" i="4"/>
  <c r="N239" i="4"/>
  <c r="P248" i="4"/>
  <c r="K262" i="4"/>
  <c r="O309" i="4"/>
  <c r="L311" i="4"/>
  <c r="N314" i="4"/>
  <c r="K316" i="4"/>
  <c r="O317" i="4"/>
  <c r="L319" i="4"/>
  <c r="N322" i="4"/>
  <c r="K324" i="4"/>
  <c r="O325" i="4"/>
  <c r="L327" i="4"/>
  <c r="P328" i="4"/>
  <c r="K330" i="4"/>
  <c r="N331" i="4"/>
  <c r="P332" i="4"/>
  <c r="K334" i="4"/>
  <c r="N335" i="4"/>
  <c r="P336" i="4"/>
  <c r="K338" i="4"/>
  <c r="N339" i="4"/>
  <c r="P340" i="4"/>
  <c r="K342" i="4"/>
  <c r="L343" i="4"/>
  <c r="M344" i="4"/>
  <c r="N345" i="4"/>
  <c r="N346" i="4"/>
  <c r="N347" i="4"/>
  <c r="N348" i="4"/>
  <c r="P191" i="4"/>
  <c r="N204" i="4"/>
  <c r="P234" i="4"/>
  <c r="P244" i="4"/>
  <c r="K258" i="4"/>
  <c r="M267" i="4"/>
  <c r="N271" i="4"/>
  <c r="N275" i="4"/>
  <c r="N279" i="4"/>
  <c r="N283" i="4"/>
  <c r="N287" i="4"/>
  <c r="N291" i="4"/>
  <c r="N295" i="4"/>
  <c r="N299" i="4"/>
  <c r="N303" i="4"/>
  <c r="N307" i="4"/>
  <c r="N311" i="4"/>
  <c r="K313" i="4"/>
  <c r="O314" i="4"/>
  <c r="L316" i="4"/>
  <c r="N319" i="4"/>
  <c r="K321" i="4"/>
  <c r="O322" i="4"/>
  <c r="L324" i="4"/>
  <c r="N327" i="4"/>
  <c r="L330" i="4"/>
  <c r="O331" i="4"/>
  <c r="L334" i="4"/>
  <c r="O335" i="4"/>
  <c r="L338" i="4"/>
  <c r="O339" i="4"/>
  <c r="L342" i="4"/>
  <c r="M343" i="4"/>
  <c r="N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P240" i="4"/>
  <c r="K254" i="4"/>
  <c r="N263" i="4"/>
  <c r="K310" i="4"/>
  <c r="O311" i="4"/>
  <c r="L313" i="4"/>
  <c r="N316" i="4"/>
  <c r="K318" i="4"/>
  <c r="O319" i="4"/>
  <c r="L321" i="4"/>
  <c r="N324" i="4"/>
  <c r="K326" i="4"/>
  <c r="O327" i="4"/>
  <c r="K329" i="4"/>
  <c r="N330" i="4"/>
  <c r="P331" i="4"/>
  <c r="K333" i="4"/>
  <c r="N334" i="4"/>
  <c r="P335" i="4"/>
  <c r="K337" i="4"/>
  <c r="N338" i="4"/>
  <c r="P339" i="4"/>
  <c r="K341" i="4"/>
  <c r="M342" i="4"/>
  <c r="N343" i="4"/>
  <c r="O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O123" i="4"/>
  <c r="N212" i="4"/>
  <c r="K225" i="4"/>
  <c r="K250" i="4"/>
  <c r="N259" i="4"/>
  <c r="N268" i="4"/>
  <c r="N272" i="4"/>
  <c r="N276" i="4"/>
  <c r="N280" i="4"/>
  <c r="N284" i="4"/>
  <c r="N288" i="4"/>
  <c r="N292" i="4"/>
  <c r="N296" i="4"/>
  <c r="N300" i="4"/>
  <c r="N304" i="4"/>
  <c r="N308" i="4"/>
  <c r="L310" i="4"/>
  <c r="N313" i="4"/>
  <c r="K315" i="4"/>
  <c r="O316" i="4"/>
  <c r="L318" i="4"/>
  <c r="N321" i="4"/>
  <c r="K323" i="4"/>
  <c r="O324" i="4"/>
  <c r="L326" i="4"/>
  <c r="L329" i="4"/>
  <c r="O330" i="4"/>
  <c r="L333" i="4"/>
  <c r="O334" i="4"/>
  <c r="L337" i="4"/>
  <c r="O338" i="4"/>
  <c r="L341" i="4"/>
  <c r="N342" i="4"/>
  <c r="O343" i="4"/>
  <c r="P344" i="4"/>
  <c r="Q345" i="4"/>
  <c r="Q346" i="4"/>
  <c r="Q347" i="4"/>
  <c r="N200" i="4"/>
  <c r="O231" i="4"/>
  <c r="N236" i="4"/>
  <c r="K246" i="4"/>
  <c r="N255" i="4"/>
  <c r="P264" i="4"/>
  <c r="N310" i="4"/>
  <c r="K312" i="4"/>
  <c r="O313" i="4"/>
  <c r="L315" i="4"/>
  <c r="N318" i="4"/>
  <c r="K320" i="4"/>
  <c r="O321" i="4"/>
  <c r="L323" i="4"/>
  <c r="N326" i="4"/>
  <c r="K328" i="4"/>
  <c r="N329" i="4"/>
  <c r="P330" i="4"/>
  <c r="K332" i="4"/>
  <c r="N333" i="4"/>
  <c r="P334" i="4"/>
  <c r="K336" i="4"/>
  <c r="N337" i="4"/>
  <c r="P338" i="4"/>
  <c r="K340" i="4"/>
  <c r="N341" i="4"/>
  <c r="O342" i="4"/>
  <c r="P343" i="4"/>
  <c r="P226" i="4"/>
  <c r="K242" i="4"/>
  <c r="N251" i="4"/>
  <c r="P260" i="4"/>
  <c r="N269" i="4"/>
  <c r="N273" i="4"/>
  <c r="N277" i="4"/>
  <c r="N281" i="4"/>
  <c r="N285" i="4"/>
  <c r="N289" i="4"/>
  <c r="N293" i="4"/>
  <c r="N297" i="4"/>
  <c r="N301" i="4"/>
  <c r="N305" i="4"/>
  <c r="K309" i="4"/>
  <c r="O310" i="4"/>
  <c r="L312" i="4"/>
  <c r="N315" i="4"/>
  <c r="K317" i="4"/>
  <c r="O318" i="4"/>
  <c r="L320" i="4"/>
  <c r="N323" i="4"/>
  <c r="K325" i="4"/>
  <c r="O326" i="4"/>
  <c r="L328" i="4"/>
  <c r="O329" i="4"/>
  <c r="L332" i="4"/>
  <c r="O333" i="4"/>
  <c r="L336" i="4"/>
  <c r="O337" i="4"/>
  <c r="L340" i="4"/>
  <c r="O341" i="4"/>
  <c r="P342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14" i="4"/>
  <c r="K339" i="4"/>
  <c r="K344" i="4"/>
  <c r="L348" i="4"/>
  <c r="N350" i="4"/>
  <c r="N352" i="4"/>
  <c r="N354" i="4"/>
  <c r="N356" i="4"/>
  <c r="N358" i="4"/>
  <c r="N360" i="4"/>
  <c r="N362" i="4"/>
  <c r="N364" i="4"/>
  <c r="N366" i="4"/>
  <c r="N368" i="4"/>
  <c r="N370" i="4"/>
  <c r="M372" i="4"/>
  <c r="N375" i="4"/>
  <c r="L377" i="4"/>
  <c r="Q378" i="4"/>
  <c r="M380" i="4"/>
  <c r="N383" i="4"/>
  <c r="L385" i="4"/>
  <c r="Q386" i="4"/>
  <c r="M388" i="4"/>
  <c r="N391" i="4"/>
  <c r="L393" i="4"/>
  <c r="Q394" i="4"/>
  <c r="M396" i="4"/>
  <c r="M399" i="4"/>
  <c r="N400" i="4"/>
  <c r="O401" i="4"/>
  <c r="Q402" i="4"/>
  <c r="N208" i="4"/>
  <c r="N247" i="4"/>
  <c r="L309" i="4"/>
  <c r="N320" i="4"/>
  <c r="L325" i="4"/>
  <c r="K335" i="4"/>
  <c r="Q348" i="4"/>
  <c r="Q350" i="4"/>
  <c r="Q352" i="4"/>
  <c r="Q354" i="4"/>
  <c r="Q356" i="4"/>
  <c r="Q358" i="4"/>
  <c r="Q360" i="4"/>
  <c r="Q362" i="4"/>
  <c r="Q364" i="4"/>
  <c r="Q366" i="4"/>
  <c r="Q368" i="4"/>
  <c r="Q370" i="4"/>
  <c r="N372" i="4"/>
  <c r="L374" i="4"/>
  <c r="Q375" i="4"/>
  <c r="M377" i="4"/>
  <c r="N380" i="4"/>
  <c r="L382" i="4"/>
  <c r="Q383" i="4"/>
  <c r="M385" i="4"/>
  <c r="N388" i="4"/>
  <c r="L390" i="4"/>
  <c r="Q391" i="4"/>
  <c r="M393" i="4"/>
  <c r="N396" i="4"/>
  <c r="L398" i="4"/>
  <c r="N399" i="4"/>
  <c r="O400" i="4"/>
  <c r="Q401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O315" i="4"/>
  <c r="K331" i="4"/>
  <c r="N340" i="4"/>
  <c r="L345" i="4"/>
  <c r="Q372" i="4"/>
  <c r="M374" i="4"/>
  <c r="N377" i="4"/>
  <c r="L379" i="4"/>
  <c r="Q380" i="4"/>
  <c r="M382" i="4"/>
  <c r="N385" i="4"/>
  <c r="L387" i="4"/>
  <c r="Q388" i="4"/>
  <c r="M390" i="4"/>
  <c r="N393" i="4"/>
  <c r="L395" i="4"/>
  <c r="Q396" i="4"/>
  <c r="M398" i="4"/>
  <c r="O399" i="4"/>
  <c r="Q400" i="4"/>
  <c r="K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P256" i="4"/>
  <c r="N336" i="4"/>
  <c r="L349" i="4"/>
  <c r="L351" i="4"/>
  <c r="L353" i="4"/>
  <c r="L355" i="4"/>
  <c r="L357" i="4"/>
  <c r="L359" i="4"/>
  <c r="L361" i="4"/>
  <c r="L363" i="4"/>
  <c r="L365" i="4"/>
  <c r="L367" i="4"/>
  <c r="L369" i="4"/>
  <c r="L371" i="4"/>
  <c r="N374" i="4"/>
  <c r="L376" i="4"/>
  <c r="Q377" i="4"/>
  <c r="M379" i="4"/>
  <c r="N382" i="4"/>
  <c r="L384" i="4"/>
  <c r="Q385" i="4"/>
  <c r="M387" i="4"/>
  <c r="N390" i="4"/>
  <c r="L392" i="4"/>
  <c r="Q393" i="4"/>
  <c r="M395" i="4"/>
  <c r="N398" i="4"/>
  <c r="Q399" i="4"/>
  <c r="K402" i="4"/>
  <c r="L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K322" i="4"/>
  <c r="N332" i="4"/>
  <c r="P341" i="4"/>
  <c r="L346" i="4"/>
  <c r="N349" i="4"/>
  <c r="N351" i="4"/>
  <c r="N353" i="4"/>
  <c r="N355" i="4"/>
  <c r="N357" i="4"/>
  <c r="N359" i="4"/>
  <c r="N361" i="4"/>
  <c r="N363" i="4"/>
  <c r="N365" i="4"/>
  <c r="N367" i="4"/>
  <c r="N369" i="4"/>
  <c r="N371" i="4"/>
  <c r="L373" i="4"/>
  <c r="Q374" i="4"/>
  <c r="M376" i="4"/>
  <c r="N379" i="4"/>
  <c r="L381" i="4"/>
  <c r="Q382" i="4"/>
  <c r="M384" i="4"/>
  <c r="N387" i="4"/>
  <c r="L389" i="4"/>
  <c r="Q390" i="4"/>
  <c r="M392" i="4"/>
  <c r="N395" i="4"/>
  <c r="L397" i="4"/>
  <c r="Q398" i="4"/>
  <c r="K401" i="4"/>
  <c r="L402" i="4"/>
  <c r="M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312" i="4"/>
  <c r="L317" i="4"/>
  <c r="N328" i="4"/>
  <c r="P337" i="4"/>
  <c r="Q349" i="4"/>
  <c r="Q351" i="4"/>
  <c r="Q353" i="4"/>
  <c r="Q355" i="4"/>
  <c r="Q357" i="4"/>
  <c r="Q359" i="4"/>
  <c r="Q361" i="4"/>
  <c r="Q363" i="4"/>
  <c r="Q365" i="4"/>
  <c r="Q367" i="4"/>
  <c r="Q369" i="4"/>
  <c r="Q371" i="4"/>
  <c r="M373" i="4"/>
  <c r="N376" i="4"/>
  <c r="L378" i="4"/>
  <c r="Q379" i="4"/>
  <c r="M381" i="4"/>
  <c r="N384" i="4"/>
  <c r="L386" i="4"/>
  <c r="Q387" i="4"/>
  <c r="M389" i="4"/>
  <c r="N392" i="4"/>
  <c r="L394" i="4"/>
  <c r="Q395" i="4"/>
  <c r="M397" i="4"/>
  <c r="K400" i="4"/>
  <c r="L401" i="4"/>
  <c r="M402" i="4"/>
  <c r="N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323" i="4"/>
  <c r="P333" i="4"/>
  <c r="L347" i="4"/>
  <c r="N373" i="4"/>
  <c r="L375" i="4"/>
  <c r="Q376" i="4"/>
  <c r="M378" i="4"/>
  <c r="N381" i="4"/>
  <c r="L383" i="4"/>
  <c r="Q384" i="4"/>
  <c r="M386" i="4"/>
  <c r="N389" i="4"/>
  <c r="L391" i="4"/>
  <c r="Q392" i="4"/>
  <c r="M394" i="4"/>
  <c r="N397" i="4"/>
  <c r="K399" i="4"/>
  <c r="L400" i="4"/>
  <c r="M401" i="4"/>
  <c r="N402" i="4"/>
  <c r="O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Q469" i="4"/>
  <c r="N468" i="4"/>
  <c r="K467" i="4"/>
  <c r="Q465" i="4"/>
  <c r="N464" i="4"/>
  <c r="K463" i="4"/>
  <c r="Q461" i="4"/>
  <c r="N460" i="4"/>
  <c r="K459" i="4"/>
  <c r="Q457" i="4"/>
  <c r="N456" i="4"/>
  <c r="K455" i="4"/>
  <c r="Q453" i="4"/>
  <c r="K452" i="4"/>
  <c r="N450" i="4"/>
  <c r="M447" i="4"/>
  <c r="Q445" i="4"/>
  <c r="K444" i="4"/>
  <c r="N442" i="4"/>
  <c r="M439" i="4"/>
  <c r="Q437" i="4"/>
  <c r="K436" i="4"/>
  <c r="N434" i="4"/>
  <c r="M431" i="4"/>
  <c r="Q429" i="4"/>
  <c r="K428" i="4"/>
  <c r="N426" i="4"/>
  <c r="Q424" i="4"/>
  <c r="Q422" i="4"/>
  <c r="Q420" i="4"/>
  <c r="Q417" i="4"/>
  <c r="Q413" i="4"/>
  <c r="Q409" i="4"/>
  <c r="Q405" i="4"/>
  <c r="N401" i="4"/>
  <c r="M391" i="4"/>
  <c r="N386" i="4"/>
  <c r="M375" i="4"/>
  <c r="L370" i="4"/>
  <c r="L354" i="4"/>
  <c r="M450" i="4"/>
  <c r="Q448" i="4"/>
  <c r="K447" i="4"/>
  <c r="N445" i="4"/>
  <c r="M442" i="4"/>
  <c r="Q440" i="4"/>
  <c r="K439" i="4"/>
  <c r="N437" i="4"/>
  <c r="M434" i="4"/>
  <c r="Q432" i="4"/>
  <c r="K431" i="4"/>
  <c r="N429" i="4"/>
  <c r="M426" i="4"/>
  <c r="N424" i="4"/>
  <c r="N422" i="4"/>
  <c r="K420" i="4"/>
  <c r="L396" i="4"/>
  <c r="L380" i="4"/>
  <c r="L364" i="4"/>
  <c r="Q389" i="4"/>
  <c r="Q373" i="4"/>
  <c r="L368" i="4"/>
  <c r="L352" i="4"/>
  <c r="N470" i="4"/>
  <c r="K469" i="4"/>
  <c r="Q467" i="4"/>
  <c r="N466" i="4"/>
  <c r="K465" i="4"/>
  <c r="Q463" i="4"/>
  <c r="N462" i="4"/>
  <c r="K461" i="4"/>
  <c r="Q459" i="4"/>
  <c r="N458" i="4"/>
  <c r="K457" i="4"/>
  <c r="Q455" i="4"/>
  <c r="N454" i="4"/>
  <c r="M451" i="4"/>
  <c r="Q449" i="4"/>
  <c r="K448" i="4"/>
  <c r="N446" i="4"/>
  <c r="M443" i="4"/>
  <c r="Q441" i="4"/>
  <c r="K440" i="4"/>
  <c r="N438" i="4"/>
  <c r="M435" i="4"/>
  <c r="Q433" i="4"/>
  <c r="K432" i="4"/>
  <c r="N430" i="4"/>
  <c r="M427" i="4"/>
  <c r="Q425" i="4"/>
  <c r="Q423" i="4"/>
  <c r="Q421" i="4"/>
  <c r="K419" i="4"/>
  <c r="Q415" i="4"/>
  <c r="Q411" i="4"/>
  <c r="Q407" i="4"/>
  <c r="Q403" i="4"/>
  <c r="L399" i="4"/>
  <c r="N394" i="4"/>
  <c r="M383" i="4"/>
  <c r="N378" i="4"/>
  <c r="L362" i="4"/>
  <c r="P329" i="4"/>
  <c r="O402" i="4"/>
  <c r="L366" i="4"/>
  <c r="L350" i="4"/>
  <c r="M5" i="4"/>
  <c r="L6" i="4"/>
  <c r="M23" i="4"/>
  <c r="M15" i="4"/>
  <c r="M7" i="4"/>
  <c r="M8" i="4"/>
  <c r="M10" i="4"/>
  <c r="M19" i="4"/>
  <c r="M11" i="4"/>
  <c r="M4" i="4"/>
  <c r="M1" i="4" s="1"/>
  <c r="D4" i="5"/>
  <c r="A17" i="3" s="1"/>
  <c r="K4" i="4"/>
  <c r="K1" i="4" s="1"/>
  <c r="J1" i="4" s="1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A7" i="3" l="1"/>
  <c r="A8" i="3"/>
  <c r="A16" i="3"/>
  <c r="A12" i="3"/>
  <c r="A14" i="3"/>
  <c r="A13" i="3"/>
  <c r="A19" i="3"/>
  <c r="A15" i="3"/>
  <c r="A20" i="3"/>
  <c r="A11" i="3"/>
  <c r="A21" i="3"/>
  <c r="A10" i="3"/>
  <c r="A9" i="3"/>
  <c r="A18" i="3"/>
  <c r="C5" i="5"/>
  <c r="C6" i="5"/>
  <c r="C7" i="5"/>
  <c r="C8" i="5"/>
  <c r="C9" i="5"/>
  <c r="C10" i="5"/>
  <c r="C4" i="5"/>
  <c r="O7" i="3" l="1"/>
  <c r="O8" i="3"/>
  <c r="O9" i="3"/>
  <c r="O10" i="3"/>
  <c r="O11" i="3"/>
  <c r="O12" i="3"/>
  <c r="O13" i="3"/>
  <c r="O14" i="3"/>
  <c r="O15" i="3"/>
  <c r="O17" i="3"/>
  <c r="Q18" i="3"/>
  <c r="O18" i="3"/>
  <c r="Q19" i="3"/>
  <c r="O19" i="3"/>
  <c r="Q20" i="3"/>
  <c r="O20" i="3"/>
  <c r="O21" i="3"/>
  <c r="G44" i="3"/>
  <c r="K33" i="2"/>
  <c r="L33" i="2"/>
  <c r="M33" i="2"/>
  <c r="D6" i="1"/>
  <c r="E6" i="1"/>
  <c r="F6" i="1"/>
  <c r="G6" i="1"/>
  <c r="H6" i="1"/>
  <c r="I6" i="1"/>
  <c r="J6" i="1"/>
  <c r="K6" i="1"/>
  <c r="L6" i="1"/>
  <c r="M6" i="1"/>
  <c r="N6" i="1"/>
  <c r="O6" i="1"/>
  <c r="Q13" i="3" l="1"/>
  <c r="Q12" i="3"/>
  <c r="Q14" i="3"/>
  <c r="L5" i="3"/>
  <c r="Q15" i="3"/>
  <c r="Q8" i="3"/>
  <c r="R8" i="3" s="1"/>
  <c r="Q9" i="3"/>
  <c r="R9" i="3" s="1"/>
  <c r="Q11" i="3"/>
  <c r="Q7" i="3"/>
  <c r="Q21" i="3"/>
  <c r="Q10" i="3"/>
  <c r="Q17" i="3"/>
  <c r="E5" i="3"/>
  <c r="K5" i="3"/>
  <c r="J5" i="3"/>
  <c r="I5" i="3"/>
  <c r="H5" i="3"/>
  <c r="G5" i="3"/>
  <c r="E25" i="3"/>
  <c r="F5" i="3"/>
  <c r="M5" i="3"/>
  <c r="O5" i="3" l="1"/>
  <c r="E37" i="3" s="1"/>
  <c r="Q5" i="3"/>
  <c r="E29" i="3"/>
  <c r="E31" i="3" s="1"/>
  <c r="C55" i="1" s="1"/>
  <c r="D55" i="1" l="1"/>
  <c r="I55" i="1"/>
  <c r="G55" i="1"/>
  <c r="N55" i="1"/>
  <c r="K55" i="1"/>
  <c r="F55" i="1"/>
  <c r="E55" i="1"/>
  <c r="M55" i="1"/>
  <c r="J55" i="1"/>
  <c r="O55" i="1"/>
  <c r="P55" i="1"/>
  <c r="L55" i="1"/>
  <c r="H55" i="1"/>
  <c r="C5" i="1" l="1"/>
  <c r="R35" i="2" l="1"/>
  <c r="R34" i="2"/>
  <c r="D11" i="1"/>
  <c r="D10" i="1" s="1"/>
  <c r="R33" i="2"/>
  <c r="T33" i="2"/>
  <c r="P35" i="2" l="1"/>
  <c r="Q35" i="2"/>
  <c r="P34" i="2"/>
  <c r="Q34" i="2"/>
  <c r="E11" i="1"/>
  <c r="E9" i="1" s="1"/>
  <c r="D7" i="1"/>
  <c r="D9" i="1"/>
  <c r="C9" i="1"/>
  <c r="P33" i="2"/>
  <c r="Q33" i="2"/>
  <c r="C10" i="1"/>
  <c r="U35" i="2" l="1"/>
  <c r="V35" i="2" s="1" a="1"/>
  <c r="V35" i="2" s="1"/>
  <c r="U34" i="2"/>
  <c r="V34" i="2" s="1" a="1"/>
  <c r="V34" i="2" s="1"/>
  <c r="E10" i="1"/>
  <c r="F11" i="1"/>
  <c r="F7" i="1" s="1"/>
  <c r="E7" i="1"/>
  <c r="F9" i="1" l="1"/>
  <c r="G11" i="1"/>
  <c r="H11" i="1" s="1"/>
  <c r="F10" i="1"/>
  <c r="G9" i="1" l="1"/>
  <c r="G7" i="1"/>
  <c r="G10" i="1"/>
  <c r="I11" i="1"/>
  <c r="H7" i="1"/>
  <c r="H10" i="1"/>
  <c r="H9" i="1"/>
  <c r="I9" i="1" l="1"/>
  <c r="J11" i="1"/>
  <c r="I7" i="1"/>
  <c r="I10" i="1"/>
  <c r="J10" i="1" l="1"/>
  <c r="J9" i="1"/>
  <c r="K11" i="1"/>
  <c r="J7" i="1"/>
  <c r="K9" i="1" l="1"/>
  <c r="L11" i="1"/>
  <c r="K7" i="1"/>
  <c r="K10" i="1"/>
  <c r="L10" i="1" l="1"/>
  <c r="L9" i="1"/>
  <c r="M11" i="1"/>
  <c r="L7" i="1"/>
  <c r="M10" i="1" l="1"/>
  <c r="M9" i="1"/>
  <c r="M7" i="1"/>
  <c r="N11" i="1"/>
  <c r="N7" i="1" l="1"/>
  <c r="N10" i="1"/>
  <c r="N9" i="1"/>
  <c r="O11" i="1"/>
  <c r="O7" i="1" l="1"/>
  <c r="O9" i="1"/>
  <c r="O10" i="1"/>
  <c r="W33" i="2" l="1"/>
  <c r="O33" i="2" s="1"/>
  <c r="N33" i="2" s="1"/>
  <c r="S33" i="2" l="1"/>
  <c r="F31" i="2" l="1"/>
  <c r="U33" i="2"/>
  <c r="V33" i="2" s="1" a="1"/>
  <c r="V33" i="2" s="1"/>
  <c r="I14" i="1"/>
  <c r="E14" i="1" l="1"/>
  <c r="E22" i="1"/>
  <c r="D22" i="1"/>
  <c r="K14" i="1"/>
  <c r="P22" i="1"/>
  <c r="M14" i="1"/>
  <c r="G14" i="1"/>
  <c r="P14" i="1"/>
  <c r="N22" i="1"/>
  <c r="C14" i="1"/>
  <c r="L14" i="1"/>
  <c r="P48" i="1"/>
  <c r="D14" i="1"/>
  <c r="L37" i="1"/>
  <c r="C19" i="1"/>
  <c r="L32" i="1"/>
  <c r="F35" i="1"/>
  <c r="C32" i="1"/>
  <c r="E49" i="1"/>
  <c r="P37" i="1"/>
  <c r="E37" i="1"/>
  <c r="M29" i="1"/>
  <c r="M16" i="1"/>
  <c r="G15" i="1"/>
  <c r="E35" i="1"/>
  <c r="N33" i="1"/>
  <c r="M37" i="1"/>
  <c r="D43" i="1"/>
  <c r="I33" i="1"/>
  <c r="P39" i="1"/>
  <c r="F42" i="1"/>
  <c r="K30" i="1"/>
  <c r="F33" i="1"/>
  <c r="N52" i="1"/>
  <c r="I36" i="1"/>
  <c r="P17" i="1"/>
  <c r="M30" i="1"/>
  <c r="H19" i="1"/>
  <c r="P15" i="1"/>
  <c r="F39" i="1"/>
  <c r="N34" i="1"/>
  <c r="K26" i="1"/>
  <c r="N39" i="1"/>
  <c r="K33" i="1"/>
  <c r="G28" i="1"/>
  <c r="I40" i="1"/>
  <c r="I23" i="1"/>
  <c r="C26" i="1"/>
  <c r="F26" i="1"/>
  <c r="M44" i="1"/>
  <c r="F43" i="1"/>
  <c r="P33" i="1"/>
  <c r="J40" i="1"/>
  <c r="F49" i="1"/>
  <c r="E28" i="1"/>
  <c r="J15" i="1"/>
  <c r="M32" i="1"/>
  <c r="E32" i="1"/>
  <c r="C27" i="1"/>
  <c r="C50" i="1"/>
  <c r="G17" i="1"/>
  <c r="O37" i="1"/>
  <c r="P41" i="1"/>
  <c r="F24" i="1"/>
  <c r="G52" i="1"/>
  <c r="I30" i="1"/>
  <c r="D49" i="1"/>
  <c r="I49" i="1"/>
  <c r="H49" i="1"/>
  <c r="K37" i="1"/>
  <c r="G32" i="1"/>
  <c r="P44" i="1"/>
  <c r="O17" i="1"/>
  <c r="K44" i="1"/>
  <c r="E42" i="1"/>
  <c r="P32" i="1"/>
  <c r="I44" i="1"/>
  <c r="D34" i="1"/>
  <c r="H30" i="1"/>
  <c r="C38" i="1"/>
  <c r="M28" i="1"/>
  <c r="J19" i="1"/>
  <c r="G49" i="1"/>
  <c r="D44" i="1"/>
  <c r="G38" i="1"/>
  <c r="L15" i="1"/>
  <c r="L35" i="1"/>
  <c r="L26" i="1"/>
  <c r="E23" i="1"/>
  <c r="J38" i="1"/>
  <c r="D15" i="1"/>
  <c r="C25" i="1"/>
  <c r="J37" i="1"/>
  <c r="D40" i="1"/>
  <c r="E30" i="1"/>
  <c r="H41" i="1"/>
  <c r="E33" i="1"/>
  <c r="H16" i="1"/>
  <c r="G25" i="1"/>
  <c r="P51" i="1"/>
  <c r="N23" i="1"/>
  <c r="I37" i="1"/>
  <c r="G37" i="1"/>
  <c r="L34" i="1"/>
  <c r="M52" i="1"/>
  <c r="N37" i="1"/>
  <c r="C41" i="1"/>
  <c r="F41" i="1"/>
  <c r="N19" i="1"/>
  <c r="F37" i="1"/>
  <c r="H52" i="1"/>
  <c r="E17" i="1"/>
  <c r="D19" i="1"/>
  <c r="K18" i="1"/>
  <c r="O34" i="1"/>
  <c r="L29" i="1"/>
  <c r="M40" i="1"/>
  <c r="H34" i="1"/>
  <c r="G26" i="1"/>
  <c r="F34" i="1"/>
  <c r="O28" i="1"/>
  <c r="N16" i="1"/>
  <c r="J39" i="1"/>
  <c r="H40" i="1"/>
  <c r="J18" i="1"/>
  <c r="N35" i="1"/>
  <c r="I26" i="1"/>
  <c r="J25" i="1"/>
  <c r="D24" i="1"/>
  <c r="G19" i="1"/>
  <c r="O19" i="1"/>
  <c r="I43" i="1"/>
  <c r="C30" i="1"/>
  <c r="L38" i="1"/>
  <c r="N25" i="1"/>
  <c r="G23" i="1"/>
  <c r="P29" i="1"/>
  <c r="L41" i="1"/>
  <c r="J30" i="1"/>
  <c r="F18" i="1"/>
  <c r="O42" i="1"/>
  <c r="L24" i="1"/>
  <c r="K23" i="1"/>
  <c r="O38" i="1"/>
  <c r="K24" i="1"/>
  <c r="P35" i="1"/>
  <c r="L39" i="1"/>
  <c r="K16" i="1"/>
  <c r="L43" i="1"/>
  <c r="O44" i="1"/>
  <c r="G42" i="1"/>
  <c r="K29" i="1"/>
  <c r="O40" i="1"/>
  <c r="L25" i="1"/>
  <c r="J41" i="1"/>
  <c r="D37" i="1"/>
  <c r="C18" i="1"/>
  <c r="I15" i="1"/>
  <c r="F16" i="1"/>
  <c r="O23" i="1"/>
  <c r="N44" i="1"/>
  <c r="P43" i="1"/>
  <c r="P30" i="1"/>
  <c r="N29" i="1"/>
  <c r="H38" i="1"/>
  <c r="M33" i="1"/>
  <c r="H42" i="1"/>
  <c r="I28" i="1"/>
  <c r="G35" i="1"/>
  <c r="N42" i="1"/>
  <c r="K40" i="1"/>
  <c r="M17" i="1"/>
  <c r="C49" i="1"/>
  <c r="P52" i="1"/>
  <c r="I24" i="1"/>
  <c r="O25" i="1"/>
  <c r="O49" i="1"/>
  <c r="L40" i="1"/>
  <c r="F29" i="1"/>
  <c r="J23" i="1"/>
  <c r="J28" i="1"/>
  <c r="K34" i="1"/>
  <c r="O26" i="1"/>
  <c r="G44" i="1"/>
  <c r="H33" i="1"/>
  <c r="H44" i="1"/>
  <c r="I39" i="1"/>
  <c r="N28" i="1"/>
  <c r="F17" i="1"/>
  <c r="M19" i="1"/>
  <c r="E43" i="1"/>
  <c r="G33" i="1"/>
  <c r="C36" i="1"/>
  <c r="H39" i="1"/>
  <c r="J33" i="1"/>
  <c r="M36" i="1"/>
  <c r="M38" i="1"/>
  <c r="I18" i="1"/>
  <c r="E44" i="1"/>
  <c r="E25" i="1"/>
  <c r="J32" i="1"/>
  <c r="E39" i="1"/>
  <c r="G39" i="1"/>
  <c r="P26" i="1"/>
  <c r="O43" i="1"/>
  <c r="J29" i="1"/>
  <c r="P19" i="1"/>
  <c r="P36" i="1"/>
  <c r="D36" i="1"/>
  <c r="K17" i="1"/>
  <c r="I25" i="1"/>
  <c r="G41" i="1"/>
  <c r="H43" i="1"/>
  <c r="I38" i="1"/>
  <c r="O29" i="1"/>
  <c r="G43" i="1"/>
  <c r="K38" i="1"/>
  <c r="M43" i="1"/>
  <c r="K36" i="1"/>
  <c r="J34" i="1"/>
  <c r="C52" i="1"/>
  <c r="P23" i="1"/>
  <c r="K15" i="1"/>
  <c r="C42" i="1"/>
  <c r="L19" i="1"/>
  <c r="H35" i="1"/>
  <c r="F40" i="1"/>
  <c r="D39" i="1"/>
  <c r="I35" i="1"/>
  <c r="K25" i="1"/>
  <c r="D42" i="1"/>
  <c r="E26" i="1"/>
  <c r="D17" i="1"/>
  <c r="D35" i="1"/>
  <c r="P18" i="1"/>
  <c r="P24" i="1"/>
  <c r="F52" i="1"/>
  <c r="L18" i="1"/>
  <c r="F15" i="1"/>
  <c r="D30" i="1"/>
  <c r="P38" i="1"/>
  <c r="N26" i="1"/>
  <c r="C23" i="1"/>
  <c r="G40" i="1"/>
  <c r="K28" i="1"/>
  <c r="H18" i="1"/>
  <c r="H17" i="1"/>
  <c r="D33" i="1"/>
  <c r="E16" i="1"/>
  <c r="H24" i="1"/>
  <c r="L49" i="1"/>
  <c r="G29" i="1"/>
  <c r="F38" i="1"/>
  <c r="H32" i="1"/>
  <c r="O15" i="1"/>
  <c r="L23" i="1"/>
  <c r="F25" i="1"/>
  <c r="H29" i="1"/>
  <c r="E24" i="1"/>
  <c r="O35" i="1"/>
  <c r="P42" i="1"/>
  <c r="J35" i="1"/>
  <c r="I29" i="1"/>
  <c r="N24" i="1"/>
  <c r="E40" i="1"/>
  <c r="H36" i="1"/>
  <c r="E41" i="1"/>
  <c r="G36" i="1"/>
  <c r="G30" i="1"/>
  <c r="F32" i="1"/>
  <c r="C33" i="1"/>
  <c r="L36" i="1"/>
  <c r="N17" i="1"/>
  <c r="E38" i="1"/>
  <c r="P40" i="1"/>
  <c r="H25" i="1"/>
  <c r="E29" i="1"/>
  <c r="F30" i="1"/>
  <c r="G18" i="1"/>
  <c r="K49" i="1"/>
  <c r="M18" i="1"/>
  <c r="O30" i="1"/>
  <c r="C15" i="1"/>
  <c r="H37" i="1"/>
  <c r="M15" i="1"/>
  <c r="C35" i="1"/>
  <c r="M42" i="1"/>
  <c r="M49" i="1"/>
  <c r="P25" i="1"/>
  <c r="N32" i="1"/>
  <c r="H26" i="1"/>
  <c r="N38" i="1"/>
  <c r="C43" i="1"/>
  <c r="P28" i="1"/>
  <c r="K41" i="1"/>
  <c r="M35" i="1"/>
  <c r="C39" i="1"/>
  <c r="D52" i="1"/>
  <c r="D23" i="1"/>
  <c r="L42" i="1"/>
  <c r="D26" i="1"/>
  <c r="L33" i="1"/>
  <c r="L17" i="1"/>
  <c r="N36" i="1"/>
  <c r="J17" i="1"/>
  <c r="M41" i="1"/>
  <c r="L16" i="1"/>
  <c r="K19" i="1"/>
  <c r="P49" i="1"/>
  <c r="C24" i="1"/>
  <c r="E18" i="1"/>
  <c r="P34" i="1"/>
  <c r="N41" i="1"/>
  <c r="M25" i="1"/>
  <c r="L44" i="1"/>
  <c r="H23" i="1"/>
  <c r="I52" i="1"/>
  <c r="L30" i="1"/>
  <c r="O39" i="1"/>
  <c r="C34" i="1"/>
  <c r="J49" i="1"/>
  <c r="J36" i="1"/>
  <c r="M24" i="1"/>
  <c r="G16" i="1"/>
  <c r="K32" i="1"/>
  <c r="N15" i="1"/>
  <c r="H15" i="1"/>
  <c r="K52" i="1"/>
  <c r="J44" i="1"/>
  <c r="K39" i="1"/>
  <c r="I41" i="1"/>
  <c r="K43" i="1"/>
  <c r="F23" i="1"/>
  <c r="O33" i="1"/>
  <c r="M34" i="1"/>
  <c r="D41" i="1"/>
  <c r="N30" i="1"/>
  <c r="P16" i="1"/>
  <c r="J43" i="1"/>
  <c r="I17" i="1"/>
  <c r="N49" i="1"/>
  <c r="E52" i="1"/>
  <c r="E15" i="1"/>
  <c r="M39" i="1"/>
  <c r="C40" i="1"/>
  <c r="C37" i="1"/>
  <c r="G22" i="1"/>
  <c r="D38" i="1"/>
  <c r="N40" i="1"/>
  <c r="O18" i="1"/>
  <c r="I34" i="1"/>
  <c r="M23" i="1"/>
  <c r="J52" i="1"/>
  <c r="D25" i="1"/>
  <c r="I32" i="1"/>
  <c r="F28" i="1"/>
  <c r="N18" i="1"/>
  <c r="M26" i="1"/>
  <c r="D32" i="1"/>
  <c r="L52" i="1"/>
  <c r="L28" i="1"/>
  <c r="C44" i="1"/>
  <c r="O24" i="1"/>
  <c r="J22" i="1"/>
  <c r="J24" i="1"/>
  <c r="K35" i="1"/>
  <c r="K42" i="1"/>
  <c r="I42" i="1"/>
  <c r="H28" i="1"/>
  <c r="J26" i="1"/>
  <c r="O32" i="1"/>
  <c r="I19" i="1"/>
  <c r="O41" i="1"/>
  <c r="O36" i="1"/>
  <c r="F44" i="1"/>
  <c r="E36" i="1"/>
  <c r="D18" i="1"/>
  <c r="G34" i="1"/>
  <c r="F19" i="1"/>
  <c r="N43" i="1"/>
  <c r="O16" i="1"/>
  <c r="J16" i="1"/>
  <c r="O52" i="1"/>
  <c r="J42" i="1"/>
  <c r="F36" i="1"/>
  <c r="E34" i="1"/>
  <c r="G24" i="1"/>
  <c r="I16" i="1"/>
  <c r="E19" i="1"/>
  <c r="N14" i="1"/>
  <c r="H22" i="1"/>
  <c r="O14" i="1"/>
  <c r="M22" i="1"/>
  <c r="F22" i="1"/>
  <c r="L22" i="1"/>
  <c r="O22" i="1"/>
  <c r="J14" i="1"/>
  <c r="C22" i="1"/>
  <c r="K22" i="1"/>
  <c r="I22" i="1"/>
  <c r="P27" i="1"/>
  <c r="F14" i="1"/>
  <c r="H14" i="1"/>
  <c r="G47" i="1"/>
  <c r="C29" i="1"/>
  <c r="K50" i="1"/>
  <c r="L47" i="1"/>
  <c r="D28" i="1"/>
  <c r="C28" i="1"/>
  <c r="C17" i="1"/>
  <c r="D16" i="1"/>
  <c r="C16" i="1"/>
  <c r="P47" i="1"/>
  <c r="P31" i="1"/>
  <c r="L51" i="1"/>
  <c r="P50" i="1" l="1"/>
  <c r="P53" i="1" s="1"/>
  <c r="E20" i="1"/>
  <c r="N20" i="1"/>
  <c r="I20" i="1"/>
  <c r="D29" i="1"/>
  <c r="E38" i="3"/>
  <c r="E39" i="3" s="1"/>
  <c r="C12" i="1" s="1"/>
  <c r="N51" i="1"/>
  <c r="N50" i="1"/>
  <c r="K47" i="1"/>
  <c r="C47" i="1"/>
  <c r="N47" i="1"/>
  <c r="I47" i="1"/>
  <c r="F50" i="1"/>
  <c r="J50" i="1"/>
  <c r="F47" i="1"/>
  <c r="D20" i="1"/>
  <c r="L20" i="1"/>
  <c r="E47" i="1"/>
  <c r="C51" i="1"/>
  <c r="H51" i="1"/>
  <c r="O51" i="1"/>
  <c r="D47" i="1"/>
  <c r="M48" i="1"/>
  <c r="E48" i="1"/>
  <c r="H48" i="1"/>
  <c r="G48" i="1"/>
  <c r="L48" i="1"/>
  <c r="D48" i="1"/>
  <c r="N48" i="1"/>
  <c r="J48" i="1"/>
  <c r="I48" i="1"/>
  <c r="O48" i="1"/>
  <c r="F48" i="1"/>
  <c r="K48" i="1"/>
  <c r="C20" i="1"/>
  <c r="P20" i="1"/>
  <c r="P45" i="1"/>
  <c r="K20" i="1"/>
  <c r="L31" i="1"/>
  <c r="M31" i="1"/>
  <c r="O31" i="1"/>
  <c r="J31" i="1"/>
  <c r="G31" i="1"/>
  <c r="F31" i="1"/>
  <c r="N31" i="1"/>
  <c r="E31" i="1"/>
  <c r="H31" i="1"/>
  <c r="D31" i="1"/>
  <c r="I31" i="1"/>
  <c r="K31" i="1"/>
  <c r="O20" i="1"/>
  <c r="H50" i="1"/>
  <c r="C31" i="1"/>
  <c r="C45" i="1" s="1"/>
  <c r="G51" i="1"/>
  <c r="G50" i="1"/>
  <c r="D50" i="1"/>
  <c r="M51" i="1"/>
  <c r="J51" i="1"/>
  <c r="E50" i="1"/>
  <c r="O50" i="1"/>
  <c r="H20" i="1"/>
  <c r="F20" i="1"/>
  <c r="J20" i="1"/>
  <c r="I50" i="1"/>
  <c r="L50" i="1"/>
  <c r="C48" i="1"/>
  <c r="M47" i="1"/>
  <c r="M50" i="1"/>
  <c r="K51" i="1"/>
  <c r="O47" i="1"/>
  <c r="G20" i="1"/>
  <c r="G27" i="1"/>
  <c r="M27" i="1"/>
  <c r="I27" i="1"/>
  <c r="D27" i="1"/>
  <c r="J27" i="1"/>
  <c r="L27" i="1"/>
  <c r="K27" i="1"/>
  <c r="E27" i="1"/>
  <c r="F27" i="1"/>
  <c r="F45" i="1" s="1"/>
  <c r="N27" i="1"/>
  <c r="H27" i="1"/>
  <c r="O27" i="1"/>
  <c r="E51" i="1"/>
  <c r="D51" i="1"/>
  <c r="I51" i="1"/>
  <c r="F51" i="1"/>
  <c r="J47" i="1"/>
  <c r="M20" i="1"/>
  <c r="H47" i="1"/>
  <c r="I45" i="1" l="1"/>
  <c r="O45" i="1"/>
  <c r="G45" i="1"/>
  <c r="E45" i="1"/>
  <c r="K45" i="1"/>
  <c r="J45" i="1"/>
  <c r="N45" i="1"/>
  <c r="H45" i="1"/>
  <c r="L45" i="1"/>
  <c r="H53" i="1"/>
  <c r="D45" i="1"/>
  <c r="J53" i="1"/>
  <c r="M45" i="1"/>
  <c r="G53" i="1"/>
  <c r="L53" i="1"/>
  <c r="O53" i="1"/>
  <c r="F53" i="1"/>
  <c r="C53" i="1"/>
  <c r="C54" i="1" s="1"/>
  <c r="D53" i="1"/>
  <c r="K53" i="1"/>
  <c r="I53" i="1"/>
  <c r="M53" i="1"/>
  <c r="N53" i="1"/>
  <c r="E53" i="1"/>
  <c r="C56" i="1" l="1"/>
  <c r="D12" i="1"/>
  <c r="D54" i="1" s="1"/>
  <c r="E12" i="1" l="1"/>
  <c r="E54" i="1" s="1"/>
  <c r="D56" i="1"/>
  <c r="E56" i="1" l="1"/>
  <c r="F12" i="1"/>
  <c r="F54" i="1" s="1"/>
  <c r="G12" i="1" l="1"/>
  <c r="G54" i="1" s="1"/>
  <c r="F56" i="1"/>
  <c r="G56" i="1" l="1"/>
  <c r="H12" i="1"/>
  <c r="H54" i="1" s="1"/>
  <c r="H56" i="1" l="1"/>
  <c r="I12" i="1"/>
  <c r="I54" i="1" s="1"/>
  <c r="J12" i="1" l="1"/>
  <c r="J54" i="1" s="1"/>
  <c r="I56" i="1"/>
  <c r="K12" i="1" l="1"/>
  <c r="K54" i="1" s="1"/>
  <c r="J56" i="1"/>
  <c r="L12" i="1" l="1"/>
  <c r="L54" i="1" s="1"/>
  <c r="K56" i="1"/>
  <c r="L56" i="1" l="1"/>
  <c r="M12" i="1"/>
  <c r="M54" i="1" s="1"/>
  <c r="M56" i="1" l="1"/>
  <c r="N12" i="1"/>
  <c r="N54" i="1" s="1"/>
  <c r="N56" i="1" l="1"/>
  <c r="O12" i="1"/>
  <c r="O54" i="1" s="1"/>
  <c r="P12" i="1" l="1"/>
  <c r="P54" i="1" s="1"/>
  <c r="P56" i="1" s="1"/>
  <c r="O56" i="1"/>
</calcChain>
</file>

<file path=xl/connections.xml><?xml version="1.0" encoding="utf-8"?>
<connections xmlns="http://schemas.openxmlformats.org/spreadsheetml/2006/main">
  <connection id="1" interval="1440" name="Rates ECB" type="4" refreshedVersion="6" background="1" refreshOnLoad="1" saveData="1">
    <webPr sourceData="1" consecutive="1" xl2000="1" url="http://khe.dns2.us/~KE/oanda" htmlTables="1"/>
  </connection>
</connections>
</file>

<file path=xl/sharedStrings.xml><?xml version="1.0" encoding="utf-8"?>
<sst xmlns="http://schemas.openxmlformats.org/spreadsheetml/2006/main" count="199" uniqueCount="103">
  <si>
    <t>TOTAL FREE CASH</t>
  </si>
  <si>
    <t xml:space="preserve">Cash pledged </t>
  </si>
  <si>
    <t xml:space="preserve">Cash available before pledges </t>
  </si>
  <si>
    <t>Net cash flows from financing activities</t>
  </si>
  <si>
    <t>Other Cash Flows</t>
  </si>
  <si>
    <t>Interest on Borrowings</t>
  </si>
  <si>
    <t>Repayment of Borrowings</t>
  </si>
  <si>
    <t>Proceeds from Borrowings</t>
  </si>
  <si>
    <t>Interest received</t>
  </si>
  <si>
    <t>Loan repayments Received</t>
  </si>
  <si>
    <t>Financing Activity</t>
  </si>
  <si>
    <t>Net Cash flows from investing activity</t>
  </si>
  <si>
    <t xml:space="preserve">Dividends / Personal </t>
  </si>
  <si>
    <t>(I) Other</t>
  </si>
  <si>
    <t>Norpol</t>
  </si>
  <si>
    <t>Investing activity</t>
  </si>
  <si>
    <t>Net cash flows from operating activity</t>
  </si>
  <si>
    <t>Other</t>
  </si>
  <si>
    <t>Taxes</t>
  </si>
  <si>
    <t>Legal and Consulting</t>
  </si>
  <si>
    <t>Office Administration</t>
  </si>
  <si>
    <t>Wages and Salaries</t>
  </si>
  <si>
    <t>Income from consultancy services</t>
  </si>
  <si>
    <t>Operational activity</t>
  </si>
  <si>
    <t>Cash at start of the period</t>
  </si>
  <si>
    <t>Further</t>
  </si>
  <si>
    <t>Past due</t>
  </si>
  <si>
    <t>Budget</t>
  </si>
  <si>
    <t>Cash balance alert minimum</t>
  </si>
  <si>
    <t>Starting date</t>
  </si>
  <si>
    <t>Date:</t>
  </si>
  <si>
    <t>Cash Flows Statement</t>
  </si>
  <si>
    <t>USD</t>
  </si>
  <si>
    <t>EUR</t>
  </si>
  <si>
    <t>Personal</t>
  </si>
  <si>
    <t>NOK</t>
  </si>
  <si>
    <t>Solal</t>
  </si>
  <si>
    <t>Sayan Princess</t>
  </si>
  <si>
    <t>ASM</t>
  </si>
  <si>
    <t>Lagano</t>
  </si>
  <si>
    <t>RUB</t>
  </si>
  <si>
    <t>GBP</t>
  </si>
  <si>
    <t>Column1</t>
  </si>
  <si>
    <t>FX OANDA</t>
  </si>
  <si>
    <t>FX ECB</t>
  </si>
  <si>
    <t>Errors</t>
  </si>
  <si>
    <t>PlaningHorizon</t>
  </si>
  <si>
    <t>Overdue</t>
  </si>
  <si>
    <t>Cash flow</t>
  </si>
  <si>
    <t>Effective Date</t>
  </si>
  <si>
    <t>Actual week</t>
  </si>
  <si>
    <t>Actual Year</t>
  </si>
  <si>
    <t>fx-rate</t>
  </si>
  <si>
    <t>InUSD</t>
  </si>
  <si>
    <t>week</t>
  </si>
  <si>
    <t>Class</t>
  </si>
  <si>
    <t>Was Paid</t>
  </si>
  <si>
    <t>Settled</t>
  </si>
  <si>
    <t>Estimated</t>
  </si>
  <si>
    <t>Currency</t>
  </si>
  <si>
    <t>Company</t>
  </si>
  <si>
    <t>Date</t>
  </si>
  <si>
    <t>Amount</t>
  </si>
  <si>
    <t>Description</t>
  </si>
  <si>
    <t>Text</t>
  </si>
  <si>
    <t>Contractor</t>
  </si>
  <si>
    <t>Class Description</t>
  </si>
  <si>
    <t>F</t>
  </si>
  <si>
    <t>I</t>
  </si>
  <si>
    <t>O</t>
  </si>
  <si>
    <t>Class2</t>
  </si>
  <si>
    <t>Adjusted balance</t>
  </si>
  <si>
    <t>Additions  / Disposals</t>
  </si>
  <si>
    <t>Amount per bank statements</t>
  </si>
  <si>
    <t>First date of report</t>
  </si>
  <si>
    <t>Date of the bank statements</t>
  </si>
  <si>
    <t>Pledged value</t>
  </si>
  <si>
    <t>Adjusted free collateral</t>
  </si>
  <si>
    <t>Free collateral on refference day</t>
  </si>
  <si>
    <t>Adjustment</t>
  </si>
  <si>
    <t>Total cash on refference day according to the bank</t>
  </si>
  <si>
    <t>Cash pledged (Estimation)</t>
  </si>
  <si>
    <t xml:space="preserve"> </t>
  </si>
  <si>
    <t xml:space="preserve">Total in USD </t>
  </si>
  <si>
    <t>All</t>
  </si>
  <si>
    <t>Total in USD</t>
  </si>
  <si>
    <t>Total</t>
  </si>
  <si>
    <t xml:space="preserve">SEVNOR </t>
  </si>
  <si>
    <t>Bank</t>
  </si>
  <si>
    <t>Forex</t>
  </si>
  <si>
    <t xml:space="preserve">List of Bank Balances </t>
  </si>
  <si>
    <t>CHF</t>
  </si>
  <si>
    <t>JPY</t>
  </si>
  <si>
    <t>MAX ECB</t>
  </si>
  <si>
    <t>Rate</t>
  </si>
  <si>
    <t>Column</t>
  </si>
  <si>
    <t>ECB</t>
  </si>
  <si>
    <t>COMPANY NAME</t>
  </si>
  <si>
    <t xml:space="preserve">Total cash Amount </t>
  </si>
  <si>
    <t>IVAN IVANOV</t>
  </si>
  <si>
    <t xml:space="preserve">This is Slary </t>
  </si>
  <si>
    <t>Slary for Ivan Ivanov</t>
  </si>
  <si>
    <t>Company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</si>
</sst>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(* #,##0.00_);_(* \(#,##0.00\);_(* &quot;-&quot;??_);_(@_)"/>
    <numFmt numFmtId="164" formatCode="_-* #,##0;\(#,##0\);_-* &quot;-&quot;??;_-@"/>
    <numFmt numFmtId="165" formatCode="dd\ mmm"/>
    <numFmt numFmtId="166" formatCode="_-* #,##0.0000;\(#,##0.0000\);_-* &quot;-&quot;??;_-@"/>
    <numFmt numFmtId="167" formatCode="_-* #,##0.00_-;\-* #,##0.00_-;_-* &quot;-&quot;??_-;_-@_-"/>
    <numFmt numFmtId="168" formatCode="_-* #,##0.00;\(#,##0.00\);_-* &quot;-&quot;??;_-@"/>
    <numFmt numFmtId="169" formatCode="0.000"/>
  </numFmts>
  <fonts count="27" x14ac:knownFonts="1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  <charset val="204"/>
    </font>
    <font>
      <sz val="9"/>
      <name val="Arial"/>
      <family val="2"/>
    </font>
    <font>
      <b/>
      <sz val="8"/>
      <name val="Arial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9"/>
      <name val="Arial"/>
      <family val="2"/>
    </font>
    <font>
      <b/>
      <sz val="8"/>
      <color theme="1"/>
      <name val="Arial"/>
      <family val="2"/>
    </font>
    <font>
      <b/>
      <sz val="9"/>
      <color theme="1"/>
      <name val="Arial"/>
      <family val="2"/>
    </font>
    <font>
      <sz val="8"/>
      <name val="Arial"/>
      <family val="2"/>
    </font>
    <font>
      <sz val="9"/>
      <color rgb="FFFF0000"/>
      <name val="Arial"/>
      <family val="2"/>
    </font>
    <font>
      <sz val="10"/>
      <color indexed="8"/>
      <name val="Arial"/>
      <family val="2"/>
    </font>
    <font>
      <sz val="8"/>
      <color indexed="9"/>
      <name val="Arial"/>
      <family val="2"/>
    </font>
    <font>
      <sz val="9"/>
      <name val="Arial"/>
      <family val="2"/>
      <charset val="204"/>
    </font>
    <font>
      <b/>
      <sz val="14"/>
      <color indexed="18"/>
      <name val="Tahoma"/>
      <family val="2"/>
    </font>
    <font>
      <u/>
      <sz val="10"/>
      <name val="Arial"/>
      <family val="2"/>
      <charset val="204"/>
    </font>
    <font>
      <sz val="12"/>
      <name val="Arial"/>
      <family val="2"/>
      <charset val="204"/>
    </font>
    <font>
      <sz val="9"/>
      <color theme="1"/>
      <name val="Arial"/>
      <family val="2"/>
      <charset val="204"/>
    </font>
    <font>
      <sz val="8"/>
      <color theme="0"/>
      <name val="Arial"/>
      <family val="2"/>
    </font>
    <font>
      <sz val="8"/>
      <color theme="0" tint="-0.34998626667073579"/>
      <name val="Arial"/>
      <family val="2"/>
      <charset val="204"/>
    </font>
    <font>
      <sz val="8"/>
      <color rgb="FF695D54"/>
      <name val="Arial"/>
      <family val="2"/>
      <charset val="204"/>
    </font>
    <font>
      <b/>
      <sz val="8"/>
      <name val="Arial"/>
      <family val="2"/>
      <charset val="204"/>
    </font>
    <font>
      <sz val="8"/>
      <color rgb="FF000000"/>
      <name val="Arial"/>
      <family val="2"/>
      <charset val="204"/>
    </font>
    <font>
      <sz val="11"/>
      <color rgb="FF4C4C4C"/>
      <name val="Arial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indexed="1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43" fontId="2" fillId="0" borderId="0" applyFont="0" applyFill="0" applyBorder="0" applyAlignment="0" applyProtection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3" fillId="0" borderId="0"/>
    <xf numFmtId="0" fontId="3" fillId="0" borderId="0"/>
    <xf numFmtId="167" fontId="6" fillId="0" borderId="0" applyFont="0" applyFill="0" applyBorder="0" applyAlignment="0" applyProtection="0"/>
    <xf numFmtId="0" fontId="1" fillId="0" borderId="0"/>
  </cellStyleXfs>
  <cellXfs count="156">
    <xf numFmtId="0" fontId="0" fillId="0" borderId="0" xfId="0"/>
    <xf numFmtId="0" fontId="3" fillId="0" borderId="0" xfId="5"/>
    <xf numFmtId="0" fontId="3" fillId="0" borderId="0" xfId="5" applyAlignment="1">
      <alignment wrapText="1"/>
    </xf>
    <xf numFmtId="164" fontId="3" fillId="0" borderId="0" xfId="5" applyNumberFormat="1"/>
    <xf numFmtId="164" fontId="4" fillId="5" borderId="0" xfId="5" applyNumberFormat="1" applyFont="1" applyFill="1" applyBorder="1"/>
    <xf numFmtId="0" fontId="5" fillId="0" borderId="0" xfId="5" applyFont="1" applyBorder="1" applyAlignment="1">
      <alignment wrapText="1"/>
    </xf>
    <xf numFmtId="164" fontId="7" fillId="6" borderId="0" xfId="0" applyNumberFormat="1" applyFont="1" applyFill="1" applyBorder="1"/>
    <xf numFmtId="164" fontId="8" fillId="7" borderId="0" xfId="0" applyNumberFormat="1" applyFont="1" applyFill="1" applyBorder="1"/>
    <xf numFmtId="164" fontId="7" fillId="7" borderId="1" xfId="0" applyNumberFormat="1" applyFont="1" applyFill="1" applyBorder="1"/>
    <xf numFmtId="164" fontId="9" fillId="7" borderId="1" xfId="0" applyNumberFormat="1" applyFont="1" applyFill="1" applyBorder="1" applyAlignment="1">
      <alignment wrapText="1"/>
    </xf>
    <xf numFmtId="164" fontId="10" fillId="7" borderId="0" xfId="0" applyNumberFormat="1" applyFont="1" applyFill="1"/>
    <xf numFmtId="164" fontId="10" fillId="7" borderId="2" xfId="0" applyNumberFormat="1" applyFont="1" applyFill="1" applyBorder="1"/>
    <xf numFmtId="164" fontId="10" fillId="7" borderId="0" xfId="0" applyNumberFormat="1" applyFont="1" applyFill="1" applyBorder="1"/>
    <xf numFmtId="164" fontId="11" fillId="8" borderId="0" xfId="0" applyNumberFormat="1" applyFont="1" applyFill="1" applyBorder="1"/>
    <xf numFmtId="164" fontId="10" fillId="8" borderId="3" xfId="0" applyNumberFormat="1" applyFont="1" applyFill="1" applyBorder="1"/>
    <xf numFmtId="164" fontId="11" fillId="8" borderId="4" xfId="0" applyNumberFormat="1" applyFont="1" applyFill="1" applyBorder="1" applyAlignment="1">
      <alignment horizontal="left"/>
    </xf>
    <xf numFmtId="0" fontId="12" fillId="0" borderId="0" xfId="5" applyFont="1"/>
    <xf numFmtId="164" fontId="7" fillId="4" borderId="0" xfId="4" applyNumberFormat="1" applyFont="1" applyBorder="1" applyProtection="1">
      <protection hidden="1"/>
    </xf>
    <xf numFmtId="164" fontId="4" fillId="0" borderId="0" xfId="5" applyNumberFormat="1" applyFont="1" applyBorder="1" applyProtection="1">
      <protection hidden="1"/>
    </xf>
    <xf numFmtId="164" fontId="4" fillId="0" borderId="1" xfId="5" applyNumberFormat="1" applyFont="1" applyBorder="1" applyAlignment="1">
      <alignment horizontal="left" wrapText="1" indent="1"/>
    </xf>
    <xf numFmtId="164" fontId="13" fillId="0" borderId="0" xfId="5" applyNumberFormat="1" applyFont="1" applyBorder="1" applyProtection="1">
      <protection hidden="1"/>
    </xf>
    <xf numFmtId="164" fontId="4" fillId="0" borderId="0" xfId="5" applyNumberFormat="1" applyFont="1" applyFill="1" applyBorder="1" applyProtection="1">
      <protection hidden="1"/>
    </xf>
    <xf numFmtId="164" fontId="7" fillId="8" borderId="0" xfId="0" applyNumberFormat="1" applyFont="1" applyFill="1" applyBorder="1"/>
    <xf numFmtId="164" fontId="8" fillId="8" borderId="5" xfId="0" applyNumberFormat="1" applyFont="1" applyFill="1" applyBorder="1"/>
    <xf numFmtId="164" fontId="11" fillId="8" borderId="6" xfId="0" applyNumberFormat="1" applyFont="1" applyFill="1" applyBorder="1"/>
    <xf numFmtId="164" fontId="10" fillId="8" borderId="7" xfId="0" applyNumberFormat="1" applyFont="1" applyFill="1" applyBorder="1"/>
    <xf numFmtId="164" fontId="11" fillId="8" borderId="8" xfId="0" applyNumberFormat="1" applyFont="1" applyFill="1" applyBorder="1" applyAlignment="1">
      <alignment horizontal="left"/>
    </xf>
    <xf numFmtId="164" fontId="4" fillId="0" borderId="1" xfId="5" applyNumberFormat="1" applyFont="1" applyFill="1" applyBorder="1" applyAlignment="1">
      <alignment horizontal="left" indent="1"/>
    </xf>
    <xf numFmtId="0" fontId="3" fillId="0" borderId="1" xfId="5" applyBorder="1"/>
    <xf numFmtId="164" fontId="7" fillId="6" borderId="1" xfId="0" applyNumberFormat="1" applyFont="1" applyFill="1" applyBorder="1" applyAlignment="1">
      <alignment horizontal="left" indent="1"/>
    </xf>
    <xf numFmtId="164" fontId="11" fillId="8" borderId="8" xfId="0" applyNumberFormat="1" applyFont="1" applyFill="1" applyBorder="1" applyAlignment="1">
      <alignment horizontal="left" wrapText="1"/>
    </xf>
    <xf numFmtId="164" fontId="4" fillId="0" borderId="1" xfId="5" applyNumberFormat="1" applyFont="1" applyFill="1" applyBorder="1" applyAlignment="1" applyProtection="1">
      <alignment horizontal="left" indent="1"/>
    </xf>
    <xf numFmtId="0" fontId="8" fillId="8" borderId="0" xfId="0" applyFont="1" applyFill="1" applyBorder="1"/>
    <xf numFmtId="0" fontId="8" fillId="8" borderId="5" xfId="0" applyFont="1" applyFill="1" applyBorder="1"/>
    <xf numFmtId="0" fontId="8" fillId="8" borderId="9" xfId="0" applyFont="1" applyFill="1" applyBorder="1"/>
    <xf numFmtId="164" fontId="12" fillId="7" borderId="10" xfId="0" applyNumberFormat="1" applyFont="1" applyFill="1" applyBorder="1"/>
    <xf numFmtId="164" fontId="9" fillId="7" borderId="11" xfId="0" applyNumberFormat="1" applyFont="1" applyFill="1" applyBorder="1" applyAlignment="1">
      <alignment wrapText="1"/>
    </xf>
    <xf numFmtId="0" fontId="12" fillId="0" borderId="0" xfId="5" applyFont="1" applyBorder="1"/>
    <xf numFmtId="165" fontId="6" fillId="3" borderId="10" xfId="3" applyNumberFormat="1" applyFont="1" applyBorder="1" applyAlignment="1">
      <alignment horizontal="center" wrapText="1"/>
    </xf>
    <xf numFmtId="165" fontId="6" fillId="3" borderId="10" xfId="3" applyNumberFormat="1" applyBorder="1" applyAlignment="1">
      <alignment horizontal="center" wrapText="1"/>
    </xf>
    <xf numFmtId="165" fontId="6" fillId="2" borderId="10" xfId="2" applyNumberFormat="1" applyBorder="1" applyAlignment="1">
      <alignment horizontal="center" wrapText="1"/>
    </xf>
    <xf numFmtId="165" fontId="6" fillId="9" borderId="10" xfId="2" applyNumberFormat="1" applyFont="1" applyFill="1" applyBorder="1" applyAlignment="1">
      <alignment horizontal="center" wrapText="1"/>
    </xf>
    <xf numFmtId="0" fontId="3" fillId="0" borderId="0" xfId="5" applyAlignment="1"/>
    <xf numFmtId="0" fontId="6" fillId="3" borderId="10" xfId="3" applyNumberFormat="1" applyBorder="1" applyAlignment="1">
      <alignment horizontal="center" wrapText="1"/>
    </xf>
    <xf numFmtId="0" fontId="6" fillId="2" borderId="10" xfId="2" applyNumberFormat="1" applyBorder="1" applyAlignment="1">
      <alignment horizontal="center" wrapText="1"/>
    </xf>
    <xf numFmtId="0" fontId="6" fillId="9" borderId="10" xfId="2" applyNumberFormat="1" applyFont="1" applyFill="1" applyBorder="1" applyAlignment="1">
      <alignment horizontal="center" wrapText="1"/>
    </xf>
    <xf numFmtId="0" fontId="14" fillId="0" borderId="0" xfId="5" applyFont="1" applyFill="1" applyProtection="1"/>
    <xf numFmtId="0" fontId="12" fillId="0" borderId="0" xfId="5" applyFont="1" applyAlignment="1">
      <alignment horizontal="center" vertical="center"/>
    </xf>
    <xf numFmtId="0" fontId="12" fillId="0" borderId="0" xfId="5" applyFont="1" applyAlignment="1">
      <alignment horizontal="center" vertical="center" wrapText="1"/>
    </xf>
    <xf numFmtId="0" fontId="12" fillId="0" borderId="0" xfId="5" applyFont="1" applyBorder="1" applyAlignment="1">
      <alignment horizontal="center" vertical="center"/>
    </xf>
    <xf numFmtId="0" fontId="12" fillId="0" borderId="0" xfId="5" applyFont="1" applyAlignment="1"/>
    <xf numFmtId="3" fontId="15" fillId="0" borderId="0" xfId="5" applyNumberFormat="1" applyFont="1" applyAlignment="1"/>
    <xf numFmtId="164" fontId="16" fillId="0" borderId="12" xfId="5" applyNumberFormat="1" applyFont="1" applyBorder="1" applyProtection="1">
      <protection locked="0"/>
    </xf>
    <xf numFmtId="14" fontId="3" fillId="0" borderId="0" xfId="5" applyNumberFormat="1" applyAlignment="1"/>
    <xf numFmtId="14" fontId="7" fillId="0" borderId="10" xfId="2" applyNumberFormat="1" applyFont="1" applyFill="1" applyBorder="1" applyAlignment="1">
      <alignment horizontal="center" wrapText="1"/>
    </xf>
    <xf numFmtId="0" fontId="17" fillId="0" borderId="0" xfId="5" applyFont="1" applyFill="1" applyBorder="1" applyAlignment="1" applyProtection="1">
      <alignment wrapText="1"/>
    </xf>
    <xf numFmtId="14" fontId="18" fillId="0" borderId="0" xfId="5" applyNumberFormat="1" applyFont="1" applyAlignment="1">
      <alignment horizontal="center"/>
    </xf>
    <xf numFmtId="0" fontId="19" fillId="0" borderId="0" xfId="6" applyFont="1"/>
    <xf numFmtId="0" fontId="19" fillId="0" borderId="0" xfId="5" applyFont="1"/>
    <xf numFmtId="0" fontId="0" fillId="0" borderId="0" xfId="0" applyProtection="1">
      <protection locked="0"/>
    </xf>
    <xf numFmtId="164" fontId="20" fillId="8" borderId="0" xfId="0" applyNumberFormat="1" applyFont="1" applyFill="1"/>
    <xf numFmtId="164" fontId="7" fillId="8" borderId="0" xfId="0" applyNumberFormat="1" applyFont="1" applyFill="1"/>
    <xf numFmtId="14" fontId="7" fillId="8" borderId="0" xfId="0" applyNumberFormat="1" applyFont="1" applyFill="1"/>
    <xf numFmtId="164" fontId="4" fillId="8" borderId="0" xfId="0" applyNumberFormat="1" applyFont="1" applyFill="1"/>
    <xf numFmtId="166" fontId="7" fillId="8" borderId="0" xfId="0" applyNumberFormat="1" applyFont="1" applyFill="1"/>
    <xf numFmtId="164" fontId="4" fillId="8" borderId="0" xfId="7" applyNumberFormat="1" applyFont="1" applyFill="1"/>
    <xf numFmtId="164" fontId="16" fillId="8" borderId="0" xfId="0" applyNumberFormat="1" applyFont="1" applyFill="1" applyBorder="1" applyAlignment="1">
      <alignment horizontal="right"/>
    </xf>
    <xf numFmtId="14" fontId="4" fillId="0" borderId="0" xfId="0" applyNumberFormat="1" applyFont="1"/>
    <xf numFmtId="14" fontId="7" fillId="0" borderId="0" xfId="0" applyNumberFormat="1" applyFont="1"/>
    <xf numFmtId="164" fontId="4" fillId="0" borderId="0" xfId="0" applyNumberFormat="1" applyFont="1" applyFill="1" applyBorder="1"/>
    <xf numFmtId="164" fontId="7" fillId="9" borderId="0" xfId="0" applyNumberFormat="1" applyFont="1" applyFill="1"/>
    <xf numFmtId="164" fontId="7" fillId="0" borderId="0" xfId="0" applyNumberFormat="1" applyFont="1"/>
    <xf numFmtId="164" fontId="4" fillId="0" borderId="9" xfId="0" applyNumberFormat="1" applyFont="1" applyFill="1" applyBorder="1"/>
    <xf numFmtId="166" fontId="20" fillId="8" borderId="0" xfId="0" applyNumberFormat="1" applyFont="1" applyFill="1"/>
    <xf numFmtId="164" fontId="16" fillId="8" borderId="0" xfId="0" applyNumberFormat="1" applyFont="1" applyFill="1"/>
    <xf numFmtId="164" fontId="16" fillId="8" borderId="0" xfId="7" applyNumberFormat="1" applyFont="1" applyFill="1"/>
    <xf numFmtId="164" fontId="16" fillId="8" borderId="0" xfId="0" applyNumberFormat="1" applyFont="1" applyFill="1" applyAlignment="1">
      <alignment horizontal="right"/>
    </xf>
    <xf numFmtId="14" fontId="16" fillId="0" borderId="0" xfId="0" applyNumberFormat="1" applyFont="1"/>
    <xf numFmtId="14" fontId="20" fillId="0" borderId="0" xfId="0" applyNumberFormat="1" applyFont="1"/>
    <xf numFmtId="164" fontId="16" fillId="0" borderId="0" xfId="0" applyNumberFormat="1" applyFont="1" applyFill="1" applyBorder="1"/>
    <xf numFmtId="164" fontId="20" fillId="9" borderId="0" xfId="0" applyNumberFormat="1" applyFont="1" applyFill="1"/>
    <xf numFmtId="164" fontId="20" fillId="0" borderId="0" xfId="0" applyNumberFormat="1" applyFont="1"/>
    <xf numFmtId="164" fontId="16" fillId="0" borderId="9" xfId="0" applyNumberFormat="1" applyFont="1" applyFill="1" applyBorder="1"/>
    <xf numFmtId="164" fontId="16" fillId="8" borderId="0" xfId="0" applyNumberFormat="1" applyFont="1" applyFill="1" applyBorder="1" applyProtection="1">
      <protection locked="0" hidden="1"/>
    </xf>
    <xf numFmtId="0" fontId="3" fillId="8" borderId="0" xfId="0" applyFont="1" applyFill="1"/>
    <xf numFmtId="14" fontId="21" fillId="0" borderId="0" xfId="0" applyNumberFormat="1" applyFont="1"/>
    <xf numFmtId="0" fontId="21" fillId="0" borderId="0" xfId="0" applyFont="1"/>
    <xf numFmtId="0" fontId="21" fillId="0" borderId="0" xfId="0" applyFont="1" applyFill="1"/>
    <xf numFmtId="0" fontId="21" fillId="0" borderId="0" xfId="0" applyFont="1" applyFill="1" applyBorder="1" applyAlignment="1"/>
    <xf numFmtId="14" fontId="0" fillId="0" borderId="0" xfId="0" applyNumberFormat="1"/>
    <xf numFmtId="0" fontId="0" fillId="0" borderId="0" xfId="0" applyNumberFormat="1"/>
    <xf numFmtId="164" fontId="16" fillId="0" borderId="1" xfId="5" applyNumberFormat="1" applyFont="1" applyFill="1" applyBorder="1" applyAlignment="1">
      <alignment horizontal="left" wrapText="1" indent="1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16" fillId="8" borderId="0" xfId="0" applyNumberFormat="1" applyFont="1" applyFill="1" applyBorder="1" applyProtection="1">
      <protection locked="0"/>
    </xf>
    <xf numFmtId="0" fontId="3" fillId="6" borderId="0" xfId="5" applyFill="1"/>
    <xf numFmtId="167" fontId="3" fillId="6" borderId="0" xfId="5" applyNumberFormat="1" applyFill="1"/>
    <xf numFmtId="164" fontId="3" fillId="6" borderId="0" xfId="5" applyNumberFormat="1" applyFill="1"/>
    <xf numFmtId="4" fontId="3" fillId="6" borderId="0" xfId="5" applyNumberFormat="1" applyFill="1"/>
    <xf numFmtId="164" fontId="3" fillId="6" borderId="13" xfId="5" applyNumberFormat="1" applyFill="1" applyBorder="1"/>
    <xf numFmtId="0" fontId="3" fillId="6" borderId="0" xfId="5" applyFont="1" applyFill="1"/>
    <xf numFmtId="164" fontId="22" fillId="6" borderId="0" xfId="5" applyNumberFormat="1" applyFont="1" applyFill="1"/>
    <xf numFmtId="0" fontId="12" fillId="6" borderId="0" xfId="5" applyFont="1" applyFill="1"/>
    <xf numFmtId="14" fontId="22" fillId="6" borderId="0" xfId="5" applyNumberFormat="1" applyFont="1" applyFill="1"/>
    <xf numFmtId="14" fontId="3" fillId="10" borderId="13" xfId="5" applyNumberFormat="1" applyFill="1" applyBorder="1"/>
    <xf numFmtId="164" fontId="3" fillId="6" borderId="0" xfId="5" applyNumberFormat="1" applyFont="1" applyFill="1"/>
    <xf numFmtId="0" fontId="3" fillId="6" borderId="14" xfId="5" applyFill="1" applyBorder="1"/>
    <xf numFmtId="0" fontId="3" fillId="6" borderId="14" xfId="5" applyFont="1" applyFill="1" applyBorder="1"/>
    <xf numFmtId="164" fontId="3" fillId="6" borderId="14" xfId="5" applyNumberFormat="1" applyFont="1" applyFill="1" applyBorder="1"/>
    <xf numFmtId="14" fontId="3" fillId="8" borderId="0" xfId="5" applyNumberFormat="1" applyFont="1" applyFill="1"/>
    <xf numFmtId="164" fontId="3" fillId="8" borderId="0" xfId="5" applyNumberFormat="1" applyFont="1" applyFill="1"/>
    <xf numFmtId="14" fontId="3" fillId="6" borderId="0" xfId="5" applyNumberFormat="1" applyFont="1" applyFill="1"/>
    <xf numFmtId="14" fontId="23" fillId="8" borderId="0" xfId="5" applyNumberFormat="1" applyFont="1" applyFill="1"/>
    <xf numFmtId="0" fontId="3" fillId="6" borderId="14" xfId="5" applyFill="1" applyBorder="1" applyAlignment="1">
      <alignment horizontal="right"/>
    </xf>
    <xf numFmtId="0" fontId="3" fillId="6" borderId="14" xfId="5" applyFont="1" applyFill="1" applyBorder="1" applyAlignment="1">
      <alignment horizontal="right"/>
    </xf>
    <xf numFmtId="0" fontId="5" fillId="0" borderId="14" xfId="5" applyFont="1" applyBorder="1" applyAlignment="1"/>
    <xf numFmtId="164" fontId="24" fillId="8" borderId="15" xfId="5" applyNumberFormat="1" applyFont="1" applyFill="1" applyBorder="1"/>
    <xf numFmtId="168" fontId="3" fillId="8" borderId="15" xfId="5" applyNumberFormat="1" applyFont="1" applyFill="1" applyBorder="1"/>
    <xf numFmtId="168" fontId="25" fillId="10" borderId="16" xfId="5" applyNumberFormat="1" applyFont="1" applyFill="1" applyBorder="1"/>
    <xf numFmtId="0" fontId="3" fillId="8" borderId="15" xfId="5" applyFill="1" applyBorder="1"/>
    <xf numFmtId="0" fontId="3" fillId="8" borderId="15" xfId="5" applyFont="1" applyFill="1" applyBorder="1" applyAlignment="1">
      <alignment horizontal="center"/>
    </xf>
    <xf numFmtId="0" fontId="3" fillId="8" borderId="15" xfId="5" applyFont="1" applyFill="1" applyBorder="1"/>
    <xf numFmtId="169" fontId="3" fillId="8" borderId="15" xfId="5" applyNumberFormat="1" applyFont="1" applyFill="1" applyBorder="1" applyAlignment="1">
      <alignment horizontal="center"/>
    </xf>
    <xf numFmtId="164" fontId="24" fillId="8" borderId="0" xfId="5" applyNumberFormat="1" applyFont="1" applyFill="1"/>
    <xf numFmtId="168" fontId="3" fillId="8" borderId="0" xfId="5" applyNumberFormat="1" applyFont="1" applyFill="1"/>
    <xf numFmtId="168" fontId="25" fillId="10" borderId="17" xfId="5" applyNumberFormat="1" applyFont="1" applyFill="1" applyBorder="1"/>
    <xf numFmtId="0" fontId="3" fillId="8" borderId="0" xfId="5" applyFill="1"/>
    <xf numFmtId="0" fontId="3" fillId="8" borderId="0" xfId="5" applyFont="1" applyFill="1" applyAlignment="1">
      <alignment horizontal="center"/>
    </xf>
    <xf numFmtId="0" fontId="3" fillId="8" borderId="0" xfId="5" applyFont="1" applyFill="1"/>
    <xf numFmtId="169" fontId="3" fillId="8" borderId="0" xfId="5" applyNumberFormat="1" applyFont="1" applyFill="1" applyAlignment="1">
      <alignment horizontal="center"/>
    </xf>
    <xf numFmtId="168" fontId="3" fillId="10" borderId="17" xfId="5" applyNumberFormat="1" applyFont="1" applyFill="1" applyBorder="1"/>
    <xf numFmtId="168" fontId="25" fillId="8" borderId="0" xfId="5" applyNumberFormat="1" applyFont="1" applyFill="1" applyBorder="1"/>
    <xf numFmtId="168" fontId="25" fillId="10" borderId="0" xfId="5" applyNumberFormat="1" applyFont="1" applyFill="1" applyBorder="1"/>
    <xf numFmtId="168" fontId="3" fillId="10" borderId="0" xfId="5" applyNumberFormat="1" applyFont="1" applyFill="1"/>
    <xf numFmtId="0" fontId="3" fillId="8" borderId="0" xfId="5" applyFill="1" applyAlignment="1">
      <alignment horizontal="center"/>
    </xf>
    <xf numFmtId="169" fontId="3" fillId="8" borderId="0" xfId="5" applyNumberFormat="1" applyFill="1" applyAlignment="1">
      <alignment horizontal="center"/>
    </xf>
    <xf numFmtId="164" fontId="16" fillId="11" borderId="14" xfId="5" applyNumberFormat="1" applyFont="1" applyFill="1" applyBorder="1"/>
    <xf numFmtId="164" fontId="3" fillId="11" borderId="14" xfId="5" applyNumberFormat="1" applyFont="1" applyFill="1" applyBorder="1"/>
    <xf numFmtId="0" fontId="24" fillId="11" borderId="14" xfId="5" applyFont="1" applyFill="1" applyBorder="1"/>
    <xf numFmtId="0" fontId="3" fillId="11" borderId="14" xfId="5" applyFont="1" applyFill="1" applyBorder="1" applyAlignment="1">
      <alignment horizontal="center"/>
    </xf>
    <xf numFmtId="0" fontId="3" fillId="11" borderId="14" xfId="5" applyFont="1" applyFill="1" applyBorder="1"/>
    <xf numFmtId="169" fontId="3" fillId="11" borderId="18" xfId="5" applyNumberFormat="1" applyFont="1" applyFill="1" applyBorder="1" applyAlignment="1">
      <alignment horizontal="center"/>
    </xf>
    <xf numFmtId="0" fontId="24" fillId="6" borderId="0" xfId="5" applyFont="1" applyFill="1"/>
    <xf numFmtId="0" fontId="24" fillId="10" borderId="0" xfId="5" applyFont="1" applyFill="1"/>
    <xf numFmtId="0" fontId="1" fillId="0" borderId="0" xfId="8"/>
    <xf numFmtId="14" fontId="1" fillId="0" borderId="0" xfId="8" applyNumberFormat="1"/>
    <xf numFmtId="43" fontId="1" fillId="0" borderId="0" xfId="8" applyNumberFormat="1"/>
    <xf numFmtId="164" fontId="1" fillId="0" borderId="0" xfId="8" applyNumberFormat="1"/>
    <xf numFmtId="167" fontId="1" fillId="0" borderId="0" xfId="7" applyFont="1"/>
    <xf numFmtId="0" fontId="1" fillId="11" borderId="0" xfId="8" applyFill="1"/>
    <xf numFmtId="14" fontId="1" fillId="11" borderId="0" xfId="8" applyNumberFormat="1" applyFill="1"/>
    <xf numFmtId="4" fontId="26" fillId="0" borderId="0" xfId="8" applyNumberFormat="1" applyFont="1"/>
    <xf numFmtId="164" fontId="16" fillId="8" borderId="0" xfId="1" applyNumberFormat="1" applyFont="1" applyFill="1"/>
    <xf numFmtId="0" fontId="16" fillId="8" borderId="0" xfId="0" applyNumberFormat="1" applyFont="1" applyFill="1"/>
    <xf numFmtId="14" fontId="20" fillId="8" borderId="0" xfId="0" applyNumberFormat="1" applyFont="1" applyFill="1"/>
    <xf numFmtId="14" fontId="1" fillId="0" borderId="0" xfId="8" applyNumberFormat="1" applyAlignment="1">
      <alignment horizontal="center"/>
    </xf>
  </cellXfs>
  <cellStyles count="9">
    <cellStyle name="20% - Accent1" xfId="2" builtinId="30"/>
    <cellStyle name="20% - Accent3" xfId="4" builtinId="38"/>
    <cellStyle name="40% - Accent1" xfId="3" builtinId="31"/>
    <cellStyle name="Comma" xfId="1" builtinId="3"/>
    <cellStyle name="Comma 2" xfId="7"/>
    <cellStyle name="Normal" xfId="0" builtinId="0"/>
    <cellStyle name="Normal 2" xfId="6"/>
    <cellStyle name="Normal 4" xfId="5"/>
    <cellStyle name="Normal 5" xfId="8"/>
  </cellStyles>
  <dxfs count="8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ont>
        <color theme="0" tint="-0.24994659260841701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;\(#,##0\);_-* &quot;-&quot;??;_-@"/>
      <alignment horizontal="left" vertical="bottom" textRotation="0" wrapText="1" indent="1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outline val="0"/>
        <shadow val="0"/>
        <u val="none"/>
        <vertAlign val="baseline"/>
        <sz val="9"/>
        <name val="Arial"/>
        <charset val="204"/>
        <scheme val="none"/>
      </font>
      <numFmt numFmtId="164" formatCode="_-* #,##0;\(#,##0\);_-* &quot;-&quot;??;_-@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  <numFmt numFmtId="166" formatCode="_-* #,##0.0000;\(#,##0.0000\);_-* &quot;-&quot;??;_-@"/>
      <fill>
        <patternFill patternType="solid">
          <fgColor indexed="64"/>
          <bgColor theme="0" tint="-4.9989318521683403E-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9"/>
        <name val="Arial"/>
        <charset val="204"/>
        <scheme val="none"/>
      </font>
      <numFmt numFmtId="166" formatCode="_-* #,##0.0000;\(#,##0.0000\);_-* &quot;-&quot;??;_-@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  <numFmt numFmtId="166" formatCode="_-* #,##0.0000;\(#,##0.0000\);_-* &quot;-&quot;??;_-@"/>
      <fill>
        <patternFill patternType="solid">
          <fgColor indexed="64"/>
          <bgColor theme="0" tint="-4.9989318521683403E-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9"/>
        <name val="Arial"/>
        <charset val="204"/>
        <scheme val="none"/>
      </font>
      <numFmt numFmtId="164" formatCode="_-* #,##0;\(#,##0\);_-* &quot;-&quot;??;_-@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  <numFmt numFmtId="164" formatCode="_-* #,##0;\(#,##0\);_-* &quot;-&quot;??;_-@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outline val="0"/>
        <shadow val="0"/>
        <u val="none"/>
        <vertAlign val="baseline"/>
        <sz val="9"/>
        <name val="Arial"/>
        <charset val="204"/>
        <scheme val="none"/>
      </font>
      <numFmt numFmtId="164" formatCode="_-* #,##0;\(#,##0\);_-* &quot;-&quot;??;_-@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  <numFmt numFmtId="164" formatCode="_-* #,##0;\(#,##0\);_-* &quot;-&quot;??;_-@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outline val="0"/>
        <shadow val="0"/>
        <u val="none"/>
        <vertAlign val="baseline"/>
        <sz val="9"/>
        <name val="Arial"/>
        <charset val="204"/>
        <scheme val="none"/>
      </font>
      <numFmt numFmtId="164" formatCode="_-* #,##0;\(#,##0\);_-* &quot;-&quot;??;_-@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  <numFmt numFmtId="164" formatCode="_-* #,##0;\(#,##0\);_-* &quot;-&quot;??;_-@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outline val="0"/>
        <shadow val="0"/>
        <u val="none"/>
        <vertAlign val="baseline"/>
        <sz val="9"/>
        <name val="Arial"/>
        <charset val="204"/>
        <scheme val="none"/>
      </font>
      <numFmt numFmtId="164" formatCode="_-* #,##0;\(#,##0\);_-* &quot;-&quot;??;_-@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  <numFmt numFmtId="164" formatCode="_-* #,##0;\(#,##0\);_-* &quot;-&quot;??;_-@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outline val="0"/>
        <shadow val="0"/>
        <u val="none"/>
        <vertAlign val="baseline"/>
        <sz val="9"/>
        <name val="Arial"/>
        <charset val="204"/>
        <scheme val="none"/>
      </font>
      <numFmt numFmtId="164" formatCode="_-* #,##0;\(#,##0\);_-* &quot;-&quot;??;_-@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  <numFmt numFmtId="19" formatCode="dd/mm/yyyy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outline val="0"/>
        <shadow val="0"/>
        <u val="none"/>
        <vertAlign val="baseline"/>
        <sz val="9"/>
        <name val="Arial"/>
        <charset val="204"/>
        <scheme val="none"/>
      </font>
      <numFmt numFmtId="19" formatCode="dd/mm/yyyy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  <numFmt numFmtId="164" formatCode="_-* #,##0;\(#,##0\);_-* &quot;-&quot;??;_-@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outline val="0"/>
        <shadow val="0"/>
        <u val="none"/>
        <vertAlign val="baseline"/>
        <sz val="9"/>
        <color auto="1"/>
        <name val="Arial"/>
        <charset val="204"/>
        <scheme val="none"/>
      </font>
      <numFmt numFmtId="164" formatCode="_-* #,##0;\(#,##0\);_-* &quot;-&quot;??;_-@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4" formatCode="_-* #,##0;\(#,##0\);_-* &quot;-&quot;??;_-@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charset val="204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  <numFmt numFmtId="166" formatCode="_-* #,##0.0000;\(#,##0.0000\);_-* &quot;-&quot;??;_-@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outline val="0"/>
        <shadow val="0"/>
        <u val="none"/>
        <vertAlign val="baseline"/>
        <sz val="9"/>
        <color auto="1"/>
        <name val="Arial"/>
        <charset val="204"/>
        <scheme val="none"/>
      </font>
      <numFmt numFmtId="164" formatCode="_-* #,##0;\(#,##0\);_-* &quot;-&quot;??;_-@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4" formatCode="_-* #,##0;\(#,##0\);_-* &quot;-&quot;??;_-@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charset val="204"/>
        <scheme val="none"/>
      </font>
      <numFmt numFmtId="164" formatCode="_-* #,##0;\(#,##0\);_-* &quot;-&quot;??;_-@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  <numFmt numFmtId="164" formatCode="_-* #,##0;\(#,##0\);_-* &quot;-&quot;??;_-@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outline val="0"/>
        <shadow val="0"/>
        <u val="none"/>
        <vertAlign val="baseline"/>
        <sz val="9"/>
        <color auto="1"/>
        <name val="Arial"/>
        <charset val="204"/>
        <scheme val="none"/>
      </font>
      <numFmt numFmtId="164" formatCode="_-* #,##0;\(#,##0\);_-* &quot;-&quot;??;_-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4" formatCode="_-* #,##0;\(#,##0\);_-* &quot;-&quot;??;_-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charset val="204"/>
        <scheme val="none"/>
      </font>
      <numFmt numFmtId="164" formatCode="_-* #,##0;\(#,##0\);_-* &quot;-&quot;??;_-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4" formatCode="_-* #,##0;\(#,##0\);_-* &quot;-&quot;??;_-@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;\(#,##0\);_-* &quot;-&quot;??;_-@"/>
      <fill>
        <patternFill patternType="solid">
          <fgColor indexed="64"/>
          <bgColor theme="0" tint="-4.9989318521683403E-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  <numFmt numFmtId="19" formatCode="dd/mm/yyyy"/>
    </dxf>
    <dxf>
      <font>
        <b val="0"/>
        <i val="0"/>
        <strike val="0"/>
        <outline val="0"/>
        <shadow val="0"/>
        <u val="none"/>
        <vertAlign val="baseline"/>
        <sz val="9"/>
        <name val="Arial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4" formatCode="_-* #,##0;\(#,##0\);_-* &quot;-&quot;??;_-@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;\(#,##0\);_-* &quot;-&quot;??;_-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4" formatCode="_-* #,##0;\(#,##0\);_-* &quot;-&quot;??;_-@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;\(#,##0\);_-* &quot;-&quot;??;_-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  <numFmt numFmtId="19" formatCode="dd/mm/yyyy"/>
    </dxf>
    <dxf>
      <font>
        <b val="0"/>
        <i val="0"/>
        <strike val="0"/>
        <outline val="0"/>
        <shadow val="0"/>
        <u val="none"/>
        <vertAlign val="baseline"/>
        <sz val="9"/>
        <name val="Arial"/>
        <scheme val="none"/>
      </font>
      <numFmt numFmtId="19" formatCode="dd/mm/yyyy"/>
    </dxf>
    <dxf>
      <protection locked="0" hidden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scheme val="none"/>
      </font>
      <numFmt numFmtId="164" formatCode="_-* #,##0;\(#,##0\);_-* &quot;-&quot;??;_-@"/>
      <fill>
        <patternFill patternType="solid">
          <fgColor indexed="64"/>
          <bgColor theme="9" tint="0.79998168889431442"/>
        </patternFill>
      </fill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;\(#,##0\);_-* &quot;-&quot;??;_-@"/>
      <fill>
        <patternFill patternType="none">
          <fgColor indexed="64"/>
          <bgColor indexed="65"/>
        </patternFill>
      </fill>
    </dxf>
    <dxf>
      <protection locked="0" hidden="0"/>
    </dxf>
    <dxf>
      <font>
        <b val="0"/>
        <i val="0"/>
        <strike val="0"/>
        <outline val="0"/>
        <shadow val="0"/>
        <u val="none"/>
        <vertAlign val="baseline"/>
        <sz val="9"/>
        <name val="Arial"/>
        <scheme val="none"/>
      </font>
      <numFmt numFmtId="164" formatCode="_-* #,##0;\(#,##0\);_-* &quot;-&quot;??;_-@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;\(#,##0\);_-* &quot;-&quot;??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;\(#,##0\);_-* &quot;-&quot;??;_-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9"/>
        <name val="Arial"/>
        <charset val="204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0" tint="-4.9989318521683403E-2"/>
        </patternFill>
      </fill>
    </dxf>
    <dxf>
      <font>
        <color rgb="FFFF0000"/>
      </font>
    </dxf>
    <dxf>
      <font>
        <color rgb="FFFF000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9" tint="-0.499984740745262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harePoint\Evgeny%20Khlybov%201\Work\Financial\Weekly%20Report\1.CashFlows-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AdminCL"/>
      <sheetName val="2.Cash Flow"/>
      <sheetName val="3.Portfolio USD"/>
      <sheetName val="4.Portfolio CUR"/>
      <sheetName val="5.Pending invoices"/>
      <sheetName val="6.Balance"/>
      <sheetName val="SOURCE DATA"/>
      <sheetName val="Planing Horizon"/>
      <sheetName val="Conversion Rates"/>
      <sheetName val="Rates Oanda"/>
      <sheetName val="7.Fish"/>
      <sheetName val="Rates ECB"/>
      <sheetName val="Options"/>
      <sheetName val="Cash Flow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queryTables/queryTable1.xml><?xml version="1.0" encoding="utf-8"?>
<queryTable xmlns="http://schemas.openxmlformats.org/spreadsheetml/2006/main" name="work.pl" refreshOnLoad="1" fillFormulas="1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CashFlowsData" displayName="CashFlowsData" ref="A32:Y35" headerRowDxfId="56" dataDxfId="55">
  <autoFilter ref="A32:Y35"/>
  <tableColumns count="25">
    <tableColumn id="21" name="Class Description" dataDxfId="54" totalsRowDxfId="53" dataCellStyle="Normal 4"/>
    <tableColumn id="1" name="Contractor" dataDxfId="52" totalsRowDxfId="51"/>
    <tableColumn id="2" name="Text" dataDxfId="50" totalsRowDxfId="49"/>
    <tableColumn id="3" name="Description" dataDxfId="48" totalsRowDxfId="47"/>
    <tableColumn id="4" name="Amount" dataDxfId="46" totalsRowDxfId="45"/>
    <tableColumn id="5" name="Date" dataDxfId="44" totalsRowDxfId="43"/>
    <tableColumn id="6" name="Company" dataDxfId="42" totalsRowDxfId="41"/>
    <tableColumn id="7" name="Currency" dataDxfId="40" totalsRowDxfId="39"/>
    <tableColumn id="8" name="Estimated" dataDxfId="38" totalsRowDxfId="37"/>
    <tableColumn id="9" name="Settled" dataDxfId="36" totalsRowDxfId="35"/>
    <tableColumn id="10" name="Was Paid" dataDxfId="34" totalsRowDxfId="33">
      <calculatedColumnFormula>IF(CashFlowsData[[#This Row],[Settled]]&gt;0,1,IF(CashFlowsData[[#This Row],[Amount]]=0,1,0))</calculatedColumnFormula>
    </tableColumn>
    <tableColumn id="20" name="Class" dataDxfId="32" totalsRowDxfId="31">
      <calculatedColumnFormula>VLOOKUP(CashFlowsData[[#This Row],[Class Description]],Legenda[],2,FALSE)</calculatedColumnFormula>
    </tableColumn>
    <tableColumn id="12" name="week" dataDxfId="30" totalsRowDxfId="29">
      <calculatedColumnFormula>WEEKNUM(CashFlowsData[[#This Row],[Date]])</calculatedColumnFormula>
    </tableColumn>
    <tableColumn id="13" name="InUSD" dataDxfId="28" totalsRowDxfId="27" dataCellStyle="Comma">
      <calculatedColumnFormula>IF(ISERROR(CashFlowsData[[#This Row],[Amount]]/CashFlowsData[[#This Row],[fx-rate]]),0,CashFlowsData[[#This Row],[Amount]]/CashFlowsData[[#This Row],[fx-rate]])</calculatedColumnFormula>
    </tableColumn>
    <tableColumn id="14" name="fx-rate" dataDxfId="26" totalsRowDxfId="25" dataCellStyle="Comma">
      <calculatedColumnFormula>CashFlowsData[[#This Row],[FX ECB]]</calculatedColumnFormula>
    </tableColumn>
    <tableColumn id="15" name="Actual Year" dataDxfId="24" totalsRowDxfId="23">
      <calculatedColumnFormula>YEAR(CashFlowsData[[#This Row],[Effective Date]])</calculatedColumnFormula>
    </tableColumn>
    <tableColumn id="16" name="Actual week" dataDxfId="22" totalsRowDxfId="21">
      <calculatedColumnFormula>WEEKNUM(CashFlowsData[[#This Row],[Effective Date]])</calculatedColumnFormula>
    </tableColumn>
    <tableColumn id="17" name="Effective Date" dataDxfId="20" totalsRowDxfId="19">
      <calculatedColumnFormula>IF(CashFlowsData[[#This Row],[Settled]]&gt;0,CashFlowsData[[#This Row],[Settled]],MAX(CashFlowsData[[#This Row],[Date]],CashFlowsData[[#This Row],[Estimated]],Start_date+1))</calculatedColumnFormula>
    </tableColumn>
    <tableColumn id="18" name="Cash flow" dataDxfId="18" totalsRowDxfId="17">
      <calculatedColumnFormula>CashFlowsData[[#This Row],[InUSD]]</calculatedColumnFormula>
    </tableColumn>
    <tableColumn id="43" name="Overdue" dataDxfId="16" totalsRowDxfId="15">
      <calculatedColumnFormula>IF(CashFlowsData[[#This Row],[Was Paid]]&gt;0,0,IF(MAX(CashFlowsData[[#This Row],[Date]],CashFlowsData[[#This Row],[Estimated]])&lt;Start_date,1,0))</calculatedColumnFormula>
    </tableColumn>
    <tableColumn id="44" name="PlaningHorizon" dataDxfId="14" totalsRowDxfId="13">
      <calculatedColumnFormula>IF((CashFlowsData[[#This Row],[Was Paid]]=0 )*( CashFlowsData[[#This Row],[Actual Year]]=YEAR(Start_date)),IF(ABS(CashFlowsData[[#This Row],[Actual week]]-WEEKNUM(Start_date))&lt;2,1,0),0)</calculatedColumnFormula>
    </tableColumn>
    <tableColumn id="46" name="Errors" dataDxfId="12" totalsRowDxfId="11">
      <calculatedColumnFormula array="1">SUM(IF(ISERROR(CashFlowsData[[#This Row],[Was Paid]:[PlaningHorizon]]),1,0))</calculatedColumnFormula>
    </tableColumn>
    <tableColumn id="11" name="FX ECB" dataDxfId="10" totalsRowDxfId="9"/>
    <tableColumn id="19" name="FX OANDA" dataDxfId="8" totalsRowDxfId="7"/>
    <tableColumn id="23" name="Column1" dataDxfId="6" totalsRowDxfId="5"/>
  </tableColumns>
  <tableStyleInfo name="TableStyleLight8" showFirstColumn="0" showLastColumn="0" showRowStripes="0" showColumnStripes="0"/>
</table>
</file>

<file path=xl/tables/table2.xml><?xml version="1.0" encoding="utf-8"?>
<table xmlns="http://schemas.openxmlformats.org/spreadsheetml/2006/main" id="2" name="Legenda" displayName="Legenda" ref="A1:B29" totalsRowShown="0">
  <autoFilter ref="A1:B29"/>
  <tableColumns count="2">
    <tableColumn id="3" name="Description" dataDxfId="4" dataCellStyle="Normal 4"/>
    <tableColumn id="4" name="Class2" dataDxfId="3">
      <calculatedColumnFormula>#REF!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  <pageSetUpPr fitToPage="1"/>
  </sheetPr>
  <dimension ref="A2:Q59"/>
  <sheetViews>
    <sheetView showGridLines="0" tabSelected="1" zoomScaleNormal="100" zoomScaleSheetLayoutView="100" workbookViewId="0">
      <selection activeCell="B14" sqref="B14"/>
    </sheetView>
  </sheetViews>
  <sheetFormatPr defaultColWidth="9" defaultRowHeight="11.25" x14ac:dyDescent="0.2"/>
  <cols>
    <col min="1" max="1" width="4.375" style="1" customWidth="1"/>
    <col min="2" max="2" width="29.875" style="2" bestFit="1" customWidth="1"/>
    <col min="3" max="3" width="11.75" style="1" bestFit="1" customWidth="1"/>
    <col min="4" max="9" width="9.875" style="1" bestFit="1" customWidth="1"/>
    <col min="10" max="13" width="10.625" style="1" bestFit="1" customWidth="1"/>
    <col min="14" max="14" width="8.75" style="1" bestFit="1" customWidth="1"/>
    <col min="15" max="15" width="10.625" style="1" bestFit="1" customWidth="1"/>
    <col min="16" max="16" width="9.625" style="1" customWidth="1"/>
    <col min="17" max="16384" width="9" style="1"/>
  </cols>
  <sheetData>
    <row r="2" spans="1:16" ht="15" x14ac:dyDescent="0.2">
      <c r="B2" s="57" t="s">
        <v>97</v>
      </c>
      <c r="C2" s="58"/>
    </row>
    <row r="3" spans="1:16" ht="15.75" customHeight="1" x14ac:dyDescent="0.2">
      <c r="B3" s="57" t="s">
        <v>31</v>
      </c>
      <c r="C3" s="58"/>
    </row>
    <row r="4" spans="1:16" s="42" customFormat="1" ht="18" x14ac:dyDescent="0.25">
      <c r="B4" s="57" t="s">
        <v>30</v>
      </c>
      <c r="C4" s="56">
        <f ca="1">TODAY()</f>
        <v>42766</v>
      </c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</row>
    <row r="5" spans="1:16" s="42" customFormat="1" ht="12.75" x14ac:dyDescent="0.2">
      <c r="B5" s="46" t="s">
        <v>29</v>
      </c>
      <c r="C5" s="54">
        <f ca="1">C4+7-WEEKDAY(C4,2)</f>
        <v>42771</v>
      </c>
      <c r="D5" s="53"/>
    </row>
    <row r="6" spans="1:16" s="42" customFormat="1" ht="12.75" hidden="1" x14ac:dyDescent="0.2">
      <c r="B6" s="46" t="s">
        <v>28</v>
      </c>
      <c r="C6" s="52">
        <v>0</v>
      </c>
      <c r="D6" s="51">
        <f t="shared" ref="D6:O6" si="0">Cash_minimum</f>
        <v>0</v>
      </c>
      <c r="E6" s="51">
        <f t="shared" si="0"/>
        <v>0</v>
      </c>
      <c r="F6" s="51">
        <f t="shared" si="0"/>
        <v>0</v>
      </c>
      <c r="G6" s="51">
        <f t="shared" si="0"/>
        <v>0</v>
      </c>
      <c r="H6" s="51">
        <f t="shared" si="0"/>
        <v>0</v>
      </c>
      <c r="I6" s="51">
        <f t="shared" si="0"/>
        <v>0</v>
      </c>
      <c r="J6" s="51">
        <f t="shared" si="0"/>
        <v>0</v>
      </c>
      <c r="K6" s="51">
        <f t="shared" si="0"/>
        <v>0</v>
      </c>
      <c r="L6" s="51">
        <f t="shared" si="0"/>
        <v>0</v>
      </c>
      <c r="M6" s="51">
        <f t="shared" si="0"/>
        <v>0</v>
      </c>
      <c r="N6" s="51">
        <f t="shared" si="0"/>
        <v>0</v>
      </c>
      <c r="O6" s="51">
        <f t="shared" si="0"/>
        <v>0</v>
      </c>
      <c r="P6" s="51"/>
    </row>
    <row r="7" spans="1:16" s="42" customFormat="1" ht="12.75" hidden="1" x14ac:dyDescent="0.2">
      <c r="B7" s="46"/>
      <c r="C7" s="50"/>
      <c r="D7" s="42">
        <f t="shared" ref="D7:O7" ca="1" si="1">(MONTH(D11)-EVEN(MONTH(D11)))*-1</f>
        <v>0</v>
      </c>
      <c r="E7" s="42">
        <f t="shared" ca="1" si="1"/>
        <v>0</v>
      </c>
      <c r="F7" s="42">
        <f t="shared" ca="1" si="1"/>
        <v>0</v>
      </c>
      <c r="G7" s="42">
        <f t="shared" ca="1" si="1"/>
        <v>0</v>
      </c>
      <c r="H7" s="42">
        <f t="shared" ca="1" si="1"/>
        <v>1</v>
      </c>
      <c r="I7" s="42">
        <f t="shared" ca="1" si="1"/>
        <v>1</v>
      </c>
      <c r="J7" s="42">
        <f t="shared" ca="1" si="1"/>
        <v>1</v>
      </c>
      <c r="K7" s="42">
        <f t="shared" ca="1" si="1"/>
        <v>1</v>
      </c>
      <c r="L7" s="42">
        <f t="shared" ca="1" si="1"/>
        <v>0</v>
      </c>
      <c r="M7" s="42">
        <f t="shared" ca="1" si="1"/>
        <v>0</v>
      </c>
      <c r="N7" s="42">
        <f t="shared" ca="1" si="1"/>
        <v>0</v>
      </c>
      <c r="O7" s="42">
        <f t="shared" ca="1" si="1"/>
        <v>0</v>
      </c>
    </row>
    <row r="8" spans="1:16" s="42" customFormat="1" ht="31.5" hidden="1" customHeight="1" x14ac:dyDescent="0.2">
      <c r="B8" s="46"/>
      <c r="C8" s="48"/>
      <c r="D8" s="47" t="s">
        <v>27</v>
      </c>
      <c r="E8" s="47" t="s">
        <v>27</v>
      </c>
      <c r="F8" s="47" t="s">
        <v>27</v>
      </c>
      <c r="G8" s="47" t="s">
        <v>27</v>
      </c>
      <c r="H8" s="49" t="s">
        <v>27</v>
      </c>
      <c r="I8" s="47" t="s">
        <v>27</v>
      </c>
      <c r="J8" s="49" t="s">
        <v>27</v>
      </c>
      <c r="K8" s="49" t="s">
        <v>27</v>
      </c>
      <c r="L8" s="49" t="s">
        <v>27</v>
      </c>
      <c r="M8" s="47" t="s">
        <v>27</v>
      </c>
      <c r="N8" s="47" t="s">
        <v>27</v>
      </c>
      <c r="O8" s="47" t="s">
        <v>27</v>
      </c>
      <c r="P8" s="47"/>
    </row>
    <row r="9" spans="1:16" s="42" customFormat="1" ht="12" hidden="1" customHeight="1" x14ac:dyDescent="0.2">
      <c r="B9" s="46"/>
      <c r="C9" s="48">
        <f ca="1">YEAR(D11)</f>
        <v>2017</v>
      </c>
      <c r="D9" s="47">
        <f t="shared" ref="D9:O9" ca="1" si="2">YEAR(D11)</f>
        <v>2017</v>
      </c>
      <c r="E9" s="47">
        <f t="shared" ca="1" si="2"/>
        <v>2017</v>
      </c>
      <c r="F9" s="47">
        <f t="shared" ca="1" si="2"/>
        <v>2017</v>
      </c>
      <c r="G9" s="47">
        <f t="shared" ca="1" si="2"/>
        <v>2017</v>
      </c>
      <c r="H9" s="47">
        <f t="shared" ca="1" si="2"/>
        <v>2017</v>
      </c>
      <c r="I9" s="47">
        <f t="shared" ca="1" si="2"/>
        <v>2017</v>
      </c>
      <c r="J9" s="47">
        <f t="shared" ca="1" si="2"/>
        <v>2017</v>
      </c>
      <c r="K9" s="47">
        <f t="shared" ca="1" si="2"/>
        <v>2017</v>
      </c>
      <c r="L9" s="47">
        <f t="shared" ca="1" si="2"/>
        <v>2017</v>
      </c>
      <c r="M9" s="47">
        <f t="shared" ca="1" si="2"/>
        <v>2017</v>
      </c>
      <c r="N9" s="47">
        <f t="shared" ca="1" si="2"/>
        <v>2017</v>
      </c>
      <c r="O9" s="47">
        <f t="shared" ca="1" si="2"/>
        <v>2017</v>
      </c>
      <c r="P9" s="47"/>
    </row>
    <row r="10" spans="1:16" s="42" customFormat="1" ht="14.25" hidden="1" x14ac:dyDescent="0.2">
      <c r="B10" s="46"/>
      <c r="C10" s="45">
        <f ca="1">D10</f>
        <v>6</v>
      </c>
      <c r="D10" s="44">
        <f t="shared" ref="D10:O10" ca="1" si="3">WEEKNUM(D11)</f>
        <v>6</v>
      </c>
      <c r="E10" s="44">
        <f t="shared" ca="1" si="3"/>
        <v>7</v>
      </c>
      <c r="F10" s="43">
        <f t="shared" ca="1" si="3"/>
        <v>8</v>
      </c>
      <c r="G10" s="43">
        <f t="shared" ca="1" si="3"/>
        <v>9</v>
      </c>
      <c r="H10" s="43">
        <f t="shared" ca="1" si="3"/>
        <v>10</v>
      </c>
      <c r="I10" s="43">
        <f t="shared" ca="1" si="3"/>
        <v>11</v>
      </c>
      <c r="J10" s="44">
        <f t="shared" ca="1" si="3"/>
        <v>12</v>
      </c>
      <c r="K10" s="44">
        <f t="shared" ca="1" si="3"/>
        <v>13</v>
      </c>
      <c r="L10" s="44">
        <f t="shared" ca="1" si="3"/>
        <v>14</v>
      </c>
      <c r="M10" s="44">
        <f t="shared" ca="1" si="3"/>
        <v>15</v>
      </c>
      <c r="N10" s="44">
        <f t="shared" ca="1" si="3"/>
        <v>16</v>
      </c>
      <c r="O10" s="43">
        <f t="shared" ca="1" si="3"/>
        <v>17</v>
      </c>
      <c r="P10" s="43"/>
    </row>
    <row r="11" spans="1:16" s="37" customFormat="1" ht="14.25" x14ac:dyDescent="0.2">
      <c r="B11" s="5"/>
      <c r="C11" s="41" t="s">
        <v>26</v>
      </c>
      <c r="D11" s="40">
        <f ca="1">Start_date</f>
        <v>42771</v>
      </c>
      <c r="E11" s="40">
        <f t="shared" ref="E11:O11" ca="1" si="4">D11+7</f>
        <v>42778</v>
      </c>
      <c r="F11" s="39">
        <f t="shared" ca="1" si="4"/>
        <v>42785</v>
      </c>
      <c r="G11" s="39">
        <f t="shared" ca="1" si="4"/>
        <v>42792</v>
      </c>
      <c r="H11" s="39">
        <f t="shared" ca="1" si="4"/>
        <v>42799</v>
      </c>
      <c r="I11" s="39">
        <f t="shared" ca="1" si="4"/>
        <v>42806</v>
      </c>
      <c r="J11" s="40">
        <f t="shared" ca="1" si="4"/>
        <v>42813</v>
      </c>
      <c r="K11" s="40">
        <f t="shared" ca="1" si="4"/>
        <v>42820</v>
      </c>
      <c r="L11" s="40">
        <f t="shared" ca="1" si="4"/>
        <v>42827</v>
      </c>
      <c r="M11" s="40">
        <f t="shared" ca="1" si="4"/>
        <v>42834</v>
      </c>
      <c r="N11" s="40">
        <f t="shared" ca="1" si="4"/>
        <v>42841</v>
      </c>
      <c r="O11" s="39">
        <f t="shared" ca="1" si="4"/>
        <v>42848</v>
      </c>
      <c r="P11" s="38" t="s">
        <v>25</v>
      </c>
    </row>
    <row r="12" spans="1:16" ht="12" x14ac:dyDescent="0.2">
      <c r="B12" s="36" t="s">
        <v>24</v>
      </c>
      <c r="C12" s="35">
        <f ca="1">'6.Balance'!E39</f>
        <v>106299.99999999999</v>
      </c>
      <c r="D12" s="35">
        <f t="shared" ref="D12:P12" ca="1" si="5">C54</f>
        <v>106299.99999999999</v>
      </c>
      <c r="E12" s="35">
        <f t="shared" ca="1" si="5"/>
        <v>106299.99999999999</v>
      </c>
      <c r="F12" s="35">
        <f t="shared" ca="1" si="5"/>
        <v>106299.99999999999</v>
      </c>
      <c r="G12" s="35">
        <f t="shared" ca="1" si="5"/>
        <v>6299.9999999999854</v>
      </c>
      <c r="H12" s="35">
        <f t="shared" ca="1" si="5"/>
        <v>6299.9999999999854</v>
      </c>
      <c r="I12" s="35">
        <f t="shared" ca="1" si="5"/>
        <v>6299.9999999999854</v>
      </c>
      <c r="J12" s="35">
        <f t="shared" ca="1" si="5"/>
        <v>6299.9999999999854</v>
      </c>
      <c r="K12" s="35">
        <f t="shared" ca="1" si="5"/>
        <v>6299.9999999999854</v>
      </c>
      <c r="L12" s="35">
        <f t="shared" ca="1" si="5"/>
        <v>6299.9999999999854</v>
      </c>
      <c r="M12" s="35">
        <f t="shared" ca="1" si="5"/>
        <v>6299.9999999999854</v>
      </c>
      <c r="N12" s="35">
        <f t="shared" ca="1" si="5"/>
        <v>6299.9999999999854</v>
      </c>
      <c r="O12" s="35">
        <f t="shared" ca="1" si="5"/>
        <v>6299.9999999999854</v>
      </c>
      <c r="P12" s="35">
        <f t="shared" ca="1" si="5"/>
        <v>6299.9999999999854</v>
      </c>
    </row>
    <row r="13" spans="1:16" ht="12" x14ac:dyDescent="0.2">
      <c r="B13" s="13" t="s">
        <v>23</v>
      </c>
      <c r="C13" s="34"/>
      <c r="D13" s="32"/>
      <c r="E13" s="33"/>
      <c r="F13" s="33"/>
      <c r="G13" s="32"/>
      <c r="H13" s="32"/>
      <c r="I13" s="32"/>
      <c r="J13" s="32"/>
      <c r="K13" s="32"/>
      <c r="L13" s="32"/>
      <c r="M13" s="32"/>
      <c r="N13" s="32"/>
      <c r="O13" s="32"/>
      <c r="P13" s="32"/>
    </row>
    <row r="14" spans="1:16" ht="12" x14ac:dyDescent="0.2">
      <c r="B14" s="19" t="s">
        <v>22</v>
      </c>
      <c r="C14" s="18">
        <f ca="1">SUMIFS(CashFlowsData[InUSD],CashFlowsData[Overdue],1,CashFlowsData[Class Description],'2.Cash Flow'!$B14,CashFlowsData[Actual week],'2.Cash Flow'!C$10,CashFlowsData[Actual Year],'2.Cash Flow'!C$9)</f>
        <v>0</v>
      </c>
      <c r="D14" s="18">
        <f ca="1">SUMIFS(CashFlowsData[InUSD],CashFlowsData[Overdue],0,CashFlowsData[Class Description],'2.Cash Flow'!$B14,CashFlowsData[Actual week],'2.Cash Flow'!D$10,CashFlowsData[Actual Year],'2.Cash Flow'!D$9)</f>
        <v>0</v>
      </c>
      <c r="E14" s="18">
        <f ca="1">SUMIFS(CashFlowsData[InUSD],CashFlowsData[Overdue],0,CashFlowsData[Class Description],'2.Cash Flow'!$B14,CashFlowsData[Actual week],'2.Cash Flow'!E$10,CashFlowsData[Actual Year],'2.Cash Flow'!E$9)</f>
        <v>0</v>
      </c>
      <c r="F14" s="18">
        <f ca="1">SUMIFS(CashFlowsData[InUSD],CashFlowsData[Overdue],0,CashFlowsData[Class Description],'2.Cash Flow'!$B14,CashFlowsData[Actual week],'2.Cash Flow'!F$10,CashFlowsData[Actual Year],'2.Cash Flow'!F$9)</f>
        <v>0</v>
      </c>
      <c r="G14" s="18">
        <f ca="1">SUMIFS(CashFlowsData[InUSD],CashFlowsData[Overdue],0,CashFlowsData[Class Description],'2.Cash Flow'!$B14,CashFlowsData[Actual week],'2.Cash Flow'!G$10,CashFlowsData[Actual Year],'2.Cash Flow'!G$9)</f>
        <v>0</v>
      </c>
      <c r="H14" s="18">
        <f ca="1">SUMIFS(CashFlowsData[InUSD],CashFlowsData[Overdue],0,CashFlowsData[Class Description],'2.Cash Flow'!$B14,CashFlowsData[Actual week],'2.Cash Flow'!H$10,CashFlowsData[Actual Year],'2.Cash Flow'!H$9)</f>
        <v>0</v>
      </c>
      <c r="I14" s="18">
        <f ca="1">SUMIFS(CashFlowsData[InUSD],CashFlowsData[Overdue],0,CashFlowsData[Class Description],'2.Cash Flow'!$B14,CashFlowsData[Actual week],'2.Cash Flow'!I$10,CashFlowsData[Actual Year],'2.Cash Flow'!I$9)</f>
        <v>0</v>
      </c>
      <c r="J14" s="18">
        <f ca="1">SUMIFS(CashFlowsData[InUSD],CashFlowsData[Overdue],0,CashFlowsData[Class Description],'2.Cash Flow'!$B14,CashFlowsData[Actual week],'2.Cash Flow'!J$10,CashFlowsData[Actual Year],'2.Cash Flow'!J$9)</f>
        <v>0</v>
      </c>
      <c r="K14" s="18">
        <f ca="1">SUMIFS(CashFlowsData[InUSD],CashFlowsData[Overdue],0,CashFlowsData[Class Description],'2.Cash Flow'!$B14,CashFlowsData[Actual week],'2.Cash Flow'!K$10,CashFlowsData[Actual Year],'2.Cash Flow'!K$9)</f>
        <v>0</v>
      </c>
      <c r="L14" s="18">
        <f ca="1">SUMIFS(CashFlowsData[InUSD],CashFlowsData[Overdue],0,CashFlowsData[Class Description],'2.Cash Flow'!$B14,CashFlowsData[Actual week],'2.Cash Flow'!L$10,CashFlowsData[Actual Year],'2.Cash Flow'!L$9)</f>
        <v>0</v>
      </c>
      <c r="M14" s="18">
        <f ca="1">SUMIFS(CashFlowsData[InUSD],CashFlowsData[Overdue],0,CashFlowsData[Class Description],'2.Cash Flow'!$B14,CashFlowsData[Actual week],'2.Cash Flow'!M$10,CashFlowsData[Actual Year],'2.Cash Flow'!M$9)</f>
        <v>0</v>
      </c>
      <c r="N14" s="18">
        <f ca="1">SUMIFS(CashFlowsData[InUSD],CashFlowsData[Overdue],0,CashFlowsData[Class Description],'2.Cash Flow'!$B14,CashFlowsData[Actual week],'2.Cash Flow'!N$10,CashFlowsData[Actual Year],'2.Cash Flow'!N$9)</f>
        <v>0</v>
      </c>
      <c r="O14" s="18">
        <f ca="1">SUMIFS(CashFlowsData[InUSD],CashFlowsData[Overdue],0,CashFlowsData[Class Description],'2.Cash Flow'!$B14,CashFlowsData[Actual week],'2.Cash Flow'!O$10,CashFlowsData[Actual Year],'2.Cash Flow'!O$9)</f>
        <v>0</v>
      </c>
      <c r="P14" s="17">
        <f ca="1">SUMIFS(CashFlowsData[InUSD],CashFlowsData[Overdue],0,CashFlowsData[Class Description],'2.Cash Flow'!$B14,CashFlowsData[Effective Date],"&gt;"&amp;(O$11+7))</f>
        <v>0</v>
      </c>
    </row>
    <row r="15" spans="1:16" ht="12" x14ac:dyDescent="0.2">
      <c r="A15" s="16"/>
      <c r="B15" s="31" t="s">
        <v>21</v>
      </c>
      <c r="C15" s="18">
        <f ca="1">SUMIFS(CashFlowsData[InUSD],CashFlowsData[Overdue],1,CashFlowsData[Class Description],'2.Cash Flow'!$B15,CashFlowsData[Actual week],'2.Cash Flow'!C$10,CashFlowsData[Actual Year],'2.Cash Flow'!C$9)</f>
        <v>0</v>
      </c>
      <c r="D15" s="18">
        <f ca="1">SUMIFS(CashFlowsData[InUSD],CashFlowsData[Overdue],0,CashFlowsData[Class Description],'2.Cash Flow'!$B15,CashFlowsData[Actual week],'2.Cash Flow'!D$10,CashFlowsData[Actual Year],'2.Cash Flow'!D$9)</f>
        <v>0</v>
      </c>
      <c r="E15" s="18">
        <f ca="1">SUMIFS(CashFlowsData[InUSD],CashFlowsData[Overdue],0,CashFlowsData[Class Description],'2.Cash Flow'!$B15,CashFlowsData[Actual week],'2.Cash Flow'!E$10,CashFlowsData[Actual Year],'2.Cash Flow'!E$9)</f>
        <v>0</v>
      </c>
      <c r="F15" s="18">
        <f ca="1">SUMIFS(CashFlowsData[InUSD],CashFlowsData[Overdue],0,CashFlowsData[Class Description],'2.Cash Flow'!$B15,CashFlowsData[Actual week],'2.Cash Flow'!F$10,CashFlowsData[Actual Year],'2.Cash Flow'!F$9)</f>
        <v>-100000</v>
      </c>
      <c r="G15" s="18">
        <f ca="1">SUMIFS(CashFlowsData[InUSD],CashFlowsData[Overdue],0,CashFlowsData[Class Description],'2.Cash Flow'!$B15,CashFlowsData[Actual week],'2.Cash Flow'!G$10,CashFlowsData[Actual Year],'2.Cash Flow'!G$9)</f>
        <v>0</v>
      </c>
      <c r="H15" s="18">
        <f ca="1">SUMIFS(CashFlowsData[InUSD],CashFlowsData[Overdue],0,CashFlowsData[Class Description],'2.Cash Flow'!$B15,CashFlowsData[Actual week],'2.Cash Flow'!H$10,CashFlowsData[Actual Year],'2.Cash Flow'!H$9)</f>
        <v>0</v>
      </c>
      <c r="I15" s="18">
        <f ca="1">SUMIFS(CashFlowsData[InUSD],CashFlowsData[Overdue],0,CashFlowsData[Class Description],'2.Cash Flow'!$B15,CashFlowsData[Actual week],'2.Cash Flow'!I$10,CashFlowsData[Actual Year],'2.Cash Flow'!I$9)</f>
        <v>0</v>
      </c>
      <c r="J15" s="18">
        <f ca="1">SUMIFS(CashFlowsData[InUSD],CashFlowsData[Overdue],0,CashFlowsData[Class Description],'2.Cash Flow'!$B15,CashFlowsData[Actual week],'2.Cash Flow'!J$10,CashFlowsData[Actual Year],'2.Cash Flow'!J$9)</f>
        <v>0</v>
      </c>
      <c r="K15" s="18">
        <f ca="1">SUMIFS(CashFlowsData[InUSD],CashFlowsData[Overdue],0,CashFlowsData[Class Description],'2.Cash Flow'!$B15,CashFlowsData[Actual week],'2.Cash Flow'!K$10,CashFlowsData[Actual Year],'2.Cash Flow'!K$9)</f>
        <v>0</v>
      </c>
      <c r="L15" s="18">
        <f ca="1">SUMIFS(CashFlowsData[InUSD],CashFlowsData[Overdue],0,CashFlowsData[Class Description],'2.Cash Flow'!$B15,CashFlowsData[Actual week],'2.Cash Flow'!L$10,CashFlowsData[Actual Year],'2.Cash Flow'!L$9)</f>
        <v>0</v>
      </c>
      <c r="M15" s="18">
        <f ca="1">SUMIFS(CashFlowsData[InUSD],CashFlowsData[Overdue],0,CashFlowsData[Class Description],'2.Cash Flow'!$B15,CashFlowsData[Actual week],'2.Cash Flow'!M$10,CashFlowsData[Actual Year],'2.Cash Flow'!M$9)</f>
        <v>0</v>
      </c>
      <c r="N15" s="18">
        <f ca="1">SUMIFS(CashFlowsData[InUSD],CashFlowsData[Overdue],0,CashFlowsData[Class Description],'2.Cash Flow'!$B15,CashFlowsData[Actual week],'2.Cash Flow'!N$10,CashFlowsData[Actual Year],'2.Cash Flow'!N$9)</f>
        <v>0</v>
      </c>
      <c r="O15" s="18">
        <f ca="1">SUMIFS(CashFlowsData[InUSD],CashFlowsData[Overdue],0,CashFlowsData[Class Description],'2.Cash Flow'!$B15,CashFlowsData[Actual week],'2.Cash Flow'!O$10,CashFlowsData[Actual Year],'2.Cash Flow'!O$9)</f>
        <v>0</v>
      </c>
      <c r="P15" s="17">
        <f ca="1">SUMIFS(CashFlowsData[InUSD],CashFlowsData[Overdue],0,CashFlowsData[Class Description],'2.Cash Flow'!$B15,CashFlowsData[Effective Date],"&gt;"&amp;(O$11+7))</f>
        <v>0</v>
      </c>
    </row>
    <row r="16" spans="1:16" ht="12" x14ac:dyDescent="0.2">
      <c r="A16" s="16"/>
      <c r="B16" s="31" t="s">
        <v>20</v>
      </c>
      <c r="C16" s="18">
        <f ca="1">SUMIFS(CashFlowsData[InUSD],CashFlowsData[Overdue],1,CashFlowsData[Class Description],'2.Cash Flow'!$B16,CashFlowsData[Actual week],'2.Cash Flow'!C$10,CashFlowsData[Actual Year],'2.Cash Flow'!C$9)</f>
        <v>0</v>
      </c>
      <c r="D16" s="21">
        <f ca="1">SUMIFS(CashFlowsData[InUSD],CashFlowsData[Overdue],0,CashFlowsData[Class Description],'2.Cash Flow'!$B16,CashFlowsData[Actual week],'2.Cash Flow'!D$10,CashFlowsData[Actual Year],'2.Cash Flow'!D$9)</f>
        <v>0</v>
      </c>
      <c r="E16" s="18">
        <f ca="1">SUMIFS(CashFlowsData[InUSD],CashFlowsData[Overdue],0,CashFlowsData[Class Description],'2.Cash Flow'!$B16,CashFlowsData[Actual week],'2.Cash Flow'!E$10,CashFlowsData[Actual Year],'2.Cash Flow'!E$9)</f>
        <v>0</v>
      </c>
      <c r="F16" s="18">
        <f ca="1">SUMIFS(CashFlowsData[InUSD],CashFlowsData[Overdue],0,CashFlowsData[Class Description],'2.Cash Flow'!$B16,CashFlowsData[Actual week],'2.Cash Flow'!F$10,CashFlowsData[Actual Year],'2.Cash Flow'!F$9)</f>
        <v>0</v>
      </c>
      <c r="G16" s="18">
        <f ca="1">SUMIFS(CashFlowsData[InUSD],CashFlowsData[Overdue],0,CashFlowsData[Class Description],'2.Cash Flow'!$B16,CashFlowsData[Actual week],'2.Cash Flow'!G$10,CashFlowsData[Actual Year],'2.Cash Flow'!G$9)</f>
        <v>0</v>
      </c>
      <c r="H16" s="18">
        <f ca="1">SUMIFS(CashFlowsData[InUSD],CashFlowsData[Overdue],0,CashFlowsData[Class Description],'2.Cash Flow'!$B16,CashFlowsData[Actual week],'2.Cash Flow'!H$10,CashFlowsData[Actual Year],'2.Cash Flow'!H$9)</f>
        <v>0</v>
      </c>
      <c r="I16" s="18">
        <f ca="1">SUMIFS(CashFlowsData[InUSD],CashFlowsData[Overdue],0,CashFlowsData[Class Description],'2.Cash Flow'!$B16,CashFlowsData[Actual week],'2.Cash Flow'!I$10,CashFlowsData[Actual Year],'2.Cash Flow'!I$9)</f>
        <v>0</v>
      </c>
      <c r="J16" s="18">
        <f ca="1">SUMIFS(CashFlowsData[InUSD],CashFlowsData[Overdue],0,CashFlowsData[Class Description],'2.Cash Flow'!$B16,CashFlowsData[Actual week],'2.Cash Flow'!J$10,CashFlowsData[Actual Year],'2.Cash Flow'!J$9)</f>
        <v>0</v>
      </c>
      <c r="K16" s="18">
        <f ca="1">SUMIFS(CashFlowsData[InUSD],CashFlowsData[Overdue],0,CashFlowsData[Class Description],'2.Cash Flow'!$B16,CashFlowsData[Actual week],'2.Cash Flow'!K$10,CashFlowsData[Actual Year],'2.Cash Flow'!K$9)</f>
        <v>0</v>
      </c>
      <c r="L16" s="18">
        <f ca="1">SUMIFS(CashFlowsData[InUSD],CashFlowsData[Overdue],0,CashFlowsData[Class Description],'2.Cash Flow'!$B16,CashFlowsData[Actual week],'2.Cash Flow'!L$10,CashFlowsData[Actual Year],'2.Cash Flow'!L$9)</f>
        <v>0</v>
      </c>
      <c r="M16" s="18">
        <f ca="1">SUMIFS(CashFlowsData[InUSD],CashFlowsData[Overdue],0,CashFlowsData[Class Description],'2.Cash Flow'!$B16,CashFlowsData[Actual week],'2.Cash Flow'!M$10,CashFlowsData[Actual Year],'2.Cash Flow'!M$9)</f>
        <v>0</v>
      </c>
      <c r="N16" s="18">
        <f ca="1">SUMIFS(CashFlowsData[InUSD],CashFlowsData[Overdue],0,CashFlowsData[Class Description],'2.Cash Flow'!$B16,CashFlowsData[Actual week],'2.Cash Flow'!N$10,CashFlowsData[Actual Year],'2.Cash Flow'!N$9)</f>
        <v>0</v>
      </c>
      <c r="O16" s="18">
        <f ca="1">SUMIFS(CashFlowsData[InUSD],CashFlowsData[Overdue],0,CashFlowsData[Class Description],'2.Cash Flow'!$B16,CashFlowsData[Actual week],'2.Cash Flow'!O$10,CashFlowsData[Actual Year],'2.Cash Flow'!O$9)</f>
        <v>0</v>
      </c>
      <c r="P16" s="17">
        <f ca="1">SUMIFS(CashFlowsData[InUSD],CashFlowsData[Overdue],0,CashFlowsData[Class Description],'2.Cash Flow'!$B16,CashFlowsData[Effective Date],"&gt;"&amp;(O$11+7))</f>
        <v>0</v>
      </c>
    </row>
    <row r="17" spans="1:16" ht="12" collapsed="1" x14ac:dyDescent="0.2">
      <c r="A17" s="16"/>
      <c r="B17" s="31" t="s">
        <v>19</v>
      </c>
      <c r="C17" s="18">
        <f ca="1">SUMIFS(CashFlowsData[InUSD],CashFlowsData[Overdue],1,CashFlowsData[Class Description],'2.Cash Flow'!$B17,CashFlowsData[Actual week],'2.Cash Flow'!C$10,CashFlowsData[Actual Year],'2.Cash Flow'!C$9)</f>
        <v>0</v>
      </c>
      <c r="D17" s="18">
        <f ca="1">SUMIFS(CashFlowsData[InUSD],CashFlowsData[Overdue],0,CashFlowsData[Class Description],'2.Cash Flow'!$B17,CashFlowsData[Actual week],'2.Cash Flow'!D$10,CashFlowsData[Actual Year],'2.Cash Flow'!D$9)</f>
        <v>0</v>
      </c>
      <c r="E17" s="18">
        <f ca="1">SUMIFS(CashFlowsData[InUSD],CashFlowsData[Overdue],0,CashFlowsData[Class Description],'2.Cash Flow'!$B17,CashFlowsData[Actual week],'2.Cash Flow'!E$10,CashFlowsData[Actual Year],'2.Cash Flow'!E$9)</f>
        <v>0</v>
      </c>
      <c r="F17" s="18">
        <f ca="1">SUMIFS(CashFlowsData[InUSD],CashFlowsData[Overdue],0,CashFlowsData[Class Description],'2.Cash Flow'!$B17,CashFlowsData[Actual week],'2.Cash Flow'!F$10,CashFlowsData[Actual Year],'2.Cash Flow'!F$9)</f>
        <v>0</v>
      </c>
      <c r="G17" s="18">
        <f ca="1">SUMIFS(CashFlowsData[InUSD],CashFlowsData[Overdue],0,CashFlowsData[Class Description],'2.Cash Flow'!$B17,CashFlowsData[Actual week],'2.Cash Flow'!G$10,CashFlowsData[Actual Year],'2.Cash Flow'!G$9)</f>
        <v>0</v>
      </c>
      <c r="H17" s="18">
        <f ca="1">SUMIFS(CashFlowsData[InUSD],CashFlowsData[Overdue],0,CashFlowsData[Class Description],'2.Cash Flow'!$B17,CashFlowsData[Actual week],'2.Cash Flow'!H$10,CashFlowsData[Actual Year],'2.Cash Flow'!H$9)</f>
        <v>0</v>
      </c>
      <c r="I17" s="18">
        <f ca="1">SUMIFS(CashFlowsData[InUSD],CashFlowsData[Overdue],0,CashFlowsData[Class Description],'2.Cash Flow'!$B17,CashFlowsData[Actual week],'2.Cash Flow'!I$10,CashFlowsData[Actual Year],'2.Cash Flow'!I$9)</f>
        <v>0</v>
      </c>
      <c r="J17" s="18">
        <f ca="1">SUMIFS(CashFlowsData[InUSD],CashFlowsData[Overdue],0,CashFlowsData[Class Description],'2.Cash Flow'!$B17,CashFlowsData[Actual week],'2.Cash Flow'!J$10,CashFlowsData[Actual Year],'2.Cash Flow'!J$9)</f>
        <v>0</v>
      </c>
      <c r="K17" s="18">
        <f ca="1">SUMIFS(CashFlowsData[InUSD],CashFlowsData[Overdue],0,CashFlowsData[Class Description],'2.Cash Flow'!$B17,CashFlowsData[Actual week],'2.Cash Flow'!K$10,CashFlowsData[Actual Year],'2.Cash Flow'!K$9)</f>
        <v>0</v>
      </c>
      <c r="L17" s="18">
        <f ca="1">SUMIFS(CashFlowsData[InUSD],CashFlowsData[Overdue],0,CashFlowsData[Class Description],'2.Cash Flow'!$B17,CashFlowsData[Actual week],'2.Cash Flow'!L$10,CashFlowsData[Actual Year],'2.Cash Flow'!L$9)</f>
        <v>0</v>
      </c>
      <c r="M17" s="18">
        <f ca="1">SUMIFS(CashFlowsData[InUSD],CashFlowsData[Overdue],0,CashFlowsData[Class Description],'2.Cash Flow'!$B17,CashFlowsData[Actual week],'2.Cash Flow'!M$10,CashFlowsData[Actual Year],'2.Cash Flow'!M$9)</f>
        <v>0</v>
      </c>
      <c r="N17" s="18">
        <f ca="1">SUMIFS(CashFlowsData[InUSD],CashFlowsData[Overdue],0,CashFlowsData[Class Description],'2.Cash Flow'!$B17,CashFlowsData[Actual week],'2.Cash Flow'!N$10,CashFlowsData[Actual Year],'2.Cash Flow'!N$9)</f>
        <v>0</v>
      </c>
      <c r="O17" s="18">
        <f ca="1">SUMIFS(CashFlowsData[InUSD],CashFlowsData[Overdue],0,CashFlowsData[Class Description],'2.Cash Flow'!$B17,CashFlowsData[Actual week],'2.Cash Flow'!O$10,CashFlowsData[Actual Year],'2.Cash Flow'!O$9)</f>
        <v>0</v>
      </c>
      <c r="P17" s="17">
        <f ca="1">SUMIFS(CashFlowsData[InUSD],CashFlowsData[Overdue],0,CashFlowsData[Class Description],'2.Cash Flow'!$B17,CashFlowsData[Effective Date],"&gt;"&amp;(O$11+7))</f>
        <v>0</v>
      </c>
    </row>
    <row r="18" spans="1:16" ht="12" x14ac:dyDescent="0.2">
      <c r="A18" s="16"/>
      <c r="B18" s="31" t="s">
        <v>18</v>
      </c>
      <c r="C18" s="18">
        <f ca="1">SUMIFS(CashFlowsData[InUSD],CashFlowsData[Overdue],1,CashFlowsData[Class Description],'2.Cash Flow'!$B18,CashFlowsData[Actual week],'2.Cash Flow'!C$10,CashFlowsData[Actual Year],'2.Cash Flow'!C$9)</f>
        <v>0</v>
      </c>
      <c r="D18" s="18">
        <f ca="1">SUMIFS(CashFlowsData[InUSD],CashFlowsData[Overdue],0,CashFlowsData[Class Description],'2.Cash Flow'!$B18,CashFlowsData[Actual week],'2.Cash Flow'!D$10,CashFlowsData[Actual Year],'2.Cash Flow'!D$9)</f>
        <v>0</v>
      </c>
      <c r="E18" s="18">
        <f ca="1">SUMIFS(CashFlowsData[InUSD],CashFlowsData[Overdue],0,CashFlowsData[Class Description],'2.Cash Flow'!$B18,CashFlowsData[Actual week],'2.Cash Flow'!E$10,CashFlowsData[Actual Year],'2.Cash Flow'!E$9)</f>
        <v>0</v>
      </c>
      <c r="F18" s="18">
        <f ca="1">SUMIFS(CashFlowsData[InUSD],CashFlowsData[Overdue],0,CashFlowsData[Class Description],'2.Cash Flow'!$B18,CashFlowsData[Actual week],'2.Cash Flow'!F$10,CashFlowsData[Actual Year],'2.Cash Flow'!F$9)</f>
        <v>0</v>
      </c>
      <c r="G18" s="18">
        <f ca="1">SUMIFS(CashFlowsData[InUSD],CashFlowsData[Overdue],0,CashFlowsData[Class Description],'2.Cash Flow'!$B18,CashFlowsData[Actual week],'2.Cash Flow'!G$10,CashFlowsData[Actual Year],'2.Cash Flow'!G$9)</f>
        <v>0</v>
      </c>
      <c r="H18" s="18">
        <f ca="1">SUMIFS(CashFlowsData[InUSD],CashFlowsData[Overdue],0,CashFlowsData[Class Description],'2.Cash Flow'!$B18,CashFlowsData[Actual week],'2.Cash Flow'!H$10,CashFlowsData[Actual Year],'2.Cash Flow'!H$9)</f>
        <v>0</v>
      </c>
      <c r="I18" s="18">
        <f ca="1">SUMIFS(CashFlowsData[InUSD],CashFlowsData[Overdue],0,CashFlowsData[Class Description],'2.Cash Flow'!$B18,CashFlowsData[Actual week],'2.Cash Flow'!I$10,CashFlowsData[Actual Year],'2.Cash Flow'!I$9)</f>
        <v>0</v>
      </c>
      <c r="J18" s="18">
        <f ca="1">SUMIFS(CashFlowsData[InUSD],CashFlowsData[Overdue],0,CashFlowsData[Class Description],'2.Cash Flow'!$B18,CashFlowsData[Actual week],'2.Cash Flow'!J$10,CashFlowsData[Actual Year],'2.Cash Flow'!J$9)</f>
        <v>0</v>
      </c>
      <c r="K18" s="18">
        <f ca="1">SUMIFS(CashFlowsData[InUSD],CashFlowsData[Overdue],0,CashFlowsData[Class Description],'2.Cash Flow'!$B18,CashFlowsData[Actual week],'2.Cash Flow'!K$10,CashFlowsData[Actual Year],'2.Cash Flow'!K$9)</f>
        <v>0</v>
      </c>
      <c r="L18" s="18">
        <f ca="1">SUMIFS(CashFlowsData[InUSD],CashFlowsData[Overdue],0,CashFlowsData[Class Description],'2.Cash Flow'!$B18,CashFlowsData[Actual week],'2.Cash Flow'!L$10,CashFlowsData[Actual Year],'2.Cash Flow'!L$9)</f>
        <v>0</v>
      </c>
      <c r="M18" s="18">
        <f ca="1">SUMIFS(CashFlowsData[InUSD],CashFlowsData[Overdue],0,CashFlowsData[Class Description],'2.Cash Flow'!$B18,CashFlowsData[Actual week],'2.Cash Flow'!M$10,CashFlowsData[Actual Year],'2.Cash Flow'!M$9)</f>
        <v>0</v>
      </c>
      <c r="N18" s="18">
        <f ca="1">SUMIFS(CashFlowsData[InUSD],CashFlowsData[Overdue],0,CashFlowsData[Class Description],'2.Cash Flow'!$B18,CashFlowsData[Actual week],'2.Cash Flow'!N$10,CashFlowsData[Actual Year],'2.Cash Flow'!N$9)</f>
        <v>0</v>
      </c>
      <c r="O18" s="18">
        <f ca="1">SUMIFS(CashFlowsData[InUSD],CashFlowsData[Overdue],0,CashFlowsData[Class Description],'2.Cash Flow'!$B18,CashFlowsData[Actual week],'2.Cash Flow'!O$10,CashFlowsData[Actual Year],'2.Cash Flow'!O$9)</f>
        <v>0</v>
      </c>
      <c r="P18" s="17">
        <f ca="1">SUMIFS(CashFlowsData[InUSD],CashFlowsData[Overdue],0,CashFlowsData[Class Description],'2.Cash Flow'!$B18,CashFlowsData[Effective Date],"&gt;"&amp;(O$11+7))</f>
        <v>0</v>
      </c>
    </row>
    <row r="19" spans="1:16" ht="12" x14ac:dyDescent="0.2">
      <c r="A19" s="16"/>
      <c r="B19" s="31" t="s">
        <v>17</v>
      </c>
      <c r="C19" s="18">
        <f ca="1">SUMIFS(CashFlowsData[InUSD],CashFlowsData[Overdue],1,CashFlowsData[Class Description],'2.Cash Flow'!$B19,CashFlowsData[Actual week],'2.Cash Flow'!C$10,CashFlowsData[Actual Year],'2.Cash Flow'!C$9)</f>
        <v>0</v>
      </c>
      <c r="D19" s="18">
        <f ca="1">SUMIFS(CashFlowsData[InUSD],CashFlowsData[Overdue],0,CashFlowsData[Class Description],'2.Cash Flow'!$B19,CashFlowsData[Actual week],'2.Cash Flow'!D$10,CashFlowsData[Actual Year],'2.Cash Flow'!D$9)</f>
        <v>0</v>
      </c>
      <c r="E19" s="21">
        <f ca="1">SUMIFS(CashFlowsData[InUSD],CashFlowsData[Overdue],0,CashFlowsData[Class Description],'2.Cash Flow'!$B19,CashFlowsData[Actual week],'2.Cash Flow'!E$10,CashFlowsData[Actual Year],'2.Cash Flow'!E$9)</f>
        <v>0</v>
      </c>
      <c r="F19" s="21">
        <f ca="1">SUMIFS(CashFlowsData[InUSD],CashFlowsData[Overdue],0,CashFlowsData[Class Description],'2.Cash Flow'!$B19,CashFlowsData[Actual week],'2.Cash Flow'!F$10,CashFlowsData[Actual Year],'2.Cash Flow'!F$9)</f>
        <v>0</v>
      </c>
      <c r="G19" s="18">
        <f ca="1">SUMIFS(CashFlowsData[InUSD],CashFlowsData[Overdue],0,CashFlowsData[Class Description],'2.Cash Flow'!$B19,CashFlowsData[Actual week],'2.Cash Flow'!G$10,CashFlowsData[Actual Year],'2.Cash Flow'!G$9)</f>
        <v>0</v>
      </c>
      <c r="H19" s="18">
        <f ca="1">SUMIFS(CashFlowsData[InUSD],CashFlowsData[Overdue],0,CashFlowsData[Class Description],'2.Cash Flow'!$B19,CashFlowsData[Actual week],'2.Cash Flow'!H$10,CashFlowsData[Actual Year],'2.Cash Flow'!H$9)</f>
        <v>0</v>
      </c>
      <c r="I19" s="18">
        <f ca="1">SUMIFS(CashFlowsData[InUSD],CashFlowsData[Overdue],0,CashFlowsData[Class Description],'2.Cash Flow'!$B19,CashFlowsData[Actual week],'2.Cash Flow'!I$10,CashFlowsData[Actual Year],'2.Cash Flow'!I$9)</f>
        <v>0</v>
      </c>
      <c r="J19" s="18">
        <f ca="1">SUMIFS(CashFlowsData[InUSD],CashFlowsData[Overdue],0,CashFlowsData[Class Description],'2.Cash Flow'!$B19,CashFlowsData[Actual week],'2.Cash Flow'!J$10,CashFlowsData[Actual Year],'2.Cash Flow'!J$9)</f>
        <v>0</v>
      </c>
      <c r="K19" s="18">
        <f ca="1">SUMIFS(CashFlowsData[InUSD],CashFlowsData[Overdue],0,CashFlowsData[Class Description],'2.Cash Flow'!$B19,CashFlowsData[Actual week],'2.Cash Flow'!K$10,CashFlowsData[Actual Year],'2.Cash Flow'!K$9)</f>
        <v>0</v>
      </c>
      <c r="L19" s="18">
        <f ca="1">SUMIFS(CashFlowsData[InUSD],CashFlowsData[Overdue],0,CashFlowsData[Class Description],'2.Cash Flow'!$B19,CashFlowsData[Actual week],'2.Cash Flow'!L$10,CashFlowsData[Actual Year],'2.Cash Flow'!L$9)</f>
        <v>0</v>
      </c>
      <c r="M19" s="18">
        <f ca="1">SUMIFS(CashFlowsData[InUSD],CashFlowsData[Overdue],0,CashFlowsData[Class Description],'2.Cash Flow'!$B19,CashFlowsData[Actual week],'2.Cash Flow'!M$10,CashFlowsData[Actual Year],'2.Cash Flow'!M$9)</f>
        <v>0</v>
      </c>
      <c r="N19" s="18">
        <f ca="1">SUMIFS(CashFlowsData[InUSD],CashFlowsData[Overdue],0,CashFlowsData[Class Description],'2.Cash Flow'!$B19,CashFlowsData[Actual week],'2.Cash Flow'!N$10,CashFlowsData[Actual Year],'2.Cash Flow'!N$9)</f>
        <v>0</v>
      </c>
      <c r="O19" s="18">
        <f ca="1">SUMIFS(CashFlowsData[InUSD],CashFlowsData[Overdue],0,CashFlowsData[Class Description],'2.Cash Flow'!$B19,CashFlowsData[Actual week],'2.Cash Flow'!O$10,CashFlowsData[Actual Year],'2.Cash Flow'!O$9)</f>
        <v>0</v>
      </c>
      <c r="P19" s="17">
        <f ca="1">SUMIFS(CashFlowsData[InUSD],CashFlowsData[Overdue],0,CashFlowsData[Class Description],'2.Cash Flow'!$B19,CashFlowsData[Effective Date],"&gt;"&amp;(O$11+7))</f>
        <v>0</v>
      </c>
    </row>
    <row r="20" spans="1:16" ht="12" x14ac:dyDescent="0.2">
      <c r="B20" s="30" t="s">
        <v>16</v>
      </c>
      <c r="C20" s="25">
        <f t="shared" ref="C20:P20" ca="1" si="6">SUM(C14:C19)</f>
        <v>0</v>
      </c>
      <c r="D20" s="25">
        <f t="shared" ca="1" si="6"/>
        <v>0</v>
      </c>
      <c r="E20" s="25">
        <f t="shared" ca="1" si="6"/>
        <v>0</v>
      </c>
      <c r="F20" s="25">
        <f t="shared" ca="1" si="6"/>
        <v>-100000</v>
      </c>
      <c r="G20" s="25">
        <f t="shared" ca="1" si="6"/>
        <v>0</v>
      </c>
      <c r="H20" s="25">
        <f t="shared" ca="1" si="6"/>
        <v>0</v>
      </c>
      <c r="I20" s="25">
        <f t="shared" ca="1" si="6"/>
        <v>0</v>
      </c>
      <c r="J20" s="25">
        <f t="shared" ca="1" si="6"/>
        <v>0</v>
      </c>
      <c r="K20" s="25">
        <f t="shared" ca="1" si="6"/>
        <v>0</v>
      </c>
      <c r="L20" s="25">
        <f t="shared" ca="1" si="6"/>
        <v>0</v>
      </c>
      <c r="M20" s="25">
        <f t="shared" ca="1" si="6"/>
        <v>0</v>
      </c>
      <c r="N20" s="25">
        <f t="shared" ca="1" si="6"/>
        <v>0</v>
      </c>
      <c r="O20" s="25">
        <f t="shared" ca="1" si="6"/>
        <v>0</v>
      </c>
      <c r="P20" s="25">
        <f t="shared" ca="1" si="6"/>
        <v>0</v>
      </c>
    </row>
    <row r="21" spans="1:16" ht="12" x14ac:dyDescent="0.2">
      <c r="B21" s="24" t="s">
        <v>15</v>
      </c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</row>
    <row r="22" spans="1:16" ht="12" x14ac:dyDescent="0.2">
      <c r="A22" s="16"/>
      <c r="B22" s="27"/>
      <c r="C22" s="18">
        <f ca="1">SUMIFS(CashFlowsData[InUSD],CashFlowsData[Overdue],1,CashFlowsData[Class Description],'2.Cash Flow'!$B22,CashFlowsData[Actual week],'2.Cash Flow'!C$10,CashFlowsData[Actual Year],'2.Cash Flow'!C$9)</f>
        <v>0</v>
      </c>
      <c r="D22" s="18">
        <f ca="1">SUMIFS(CashFlowsData[InUSD],CashFlowsData[Overdue],0,CashFlowsData[Class Description],'2.Cash Flow'!$B22,CashFlowsData[Actual week],'2.Cash Flow'!D$10,CashFlowsData[Actual Year],'2.Cash Flow'!D$9)</f>
        <v>0</v>
      </c>
      <c r="E22" s="18">
        <f ca="1">SUMIFS(CashFlowsData[InUSD],CashFlowsData[Overdue],0,CashFlowsData[Class Description],'2.Cash Flow'!$B22,CashFlowsData[Actual week],'2.Cash Flow'!E$10,CashFlowsData[Actual Year],'2.Cash Flow'!E$9)</f>
        <v>0</v>
      </c>
      <c r="F22" s="18">
        <f ca="1">SUMIFS(CashFlowsData[InUSD],CashFlowsData[Overdue],0,CashFlowsData[Class Description],'2.Cash Flow'!$B22,CashFlowsData[Actual week],'2.Cash Flow'!F$10,CashFlowsData[Actual Year],'2.Cash Flow'!F$9)</f>
        <v>0</v>
      </c>
      <c r="G22" s="18">
        <f ca="1">SUMIFS(CashFlowsData[InUSD],CashFlowsData[Overdue],0,CashFlowsData[Class Description],'2.Cash Flow'!$B22,CashFlowsData[Actual week],'2.Cash Flow'!G$10,CashFlowsData[Actual Year],'2.Cash Flow'!G$9)</f>
        <v>0</v>
      </c>
      <c r="H22" s="18">
        <f ca="1">SUMIFS(CashFlowsData[InUSD],CashFlowsData[Overdue],0,CashFlowsData[Class Description],'2.Cash Flow'!$B22,CashFlowsData[Actual week],'2.Cash Flow'!H$10,CashFlowsData[Actual Year],'2.Cash Flow'!H$9)</f>
        <v>0</v>
      </c>
      <c r="I22" s="18">
        <f ca="1">SUMIFS(CashFlowsData[InUSD],CashFlowsData[Overdue],0,CashFlowsData[Class Description],'2.Cash Flow'!$B22,CashFlowsData[Actual week],'2.Cash Flow'!I$10,CashFlowsData[Actual Year],'2.Cash Flow'!I$9)</f>
        <v>0</v>
      </c>
      <c r="J22" s="18">
        <f ca="1">SUMIFS(CashFlowsData[InUSD],CashFlowsData[Overdue],0,CashFlowsData[Class Description],'2.Cash Flow'!$B22,CashFlowsData[Actual week],'2.Cash Flow'!J$10,CashFlowsData[Actual Year],'2.Cash Flow'!J$9)</f>
        <v>0</v>
      </c>
      <c r="K22" s="18">
        <f ca="1">SUMIFS(CashFlowsData[InUSD],CashFlowsData[Overdue],0,CashFlowsData[Class Description],'2.Cash Flow'!$B22,CashFlowsData[Actual week],'2.Cash Flow'!K$10,CashFlowsData[Actual Year],'2.Cash Flow'!K$9)</f>
        <v>0</v>
      </c>
      <c r="L22" s="18">
        <f ca="1">SUMIFS(CashFlowsData[InUSD],CashFlowsData[Overdue],0,CashFlowsData[Class Description],'2.Cash Flow'!$B22,CashFlowsData[Actual week],'2.Cash Flow'!L$10,CashFlowsData[Actual Year],'2.Cash Flow'!L$9)</f>
        <v>0</v>
      </c>
      <c r="M22" s="18">
        <f ca="1">SUMIFS(CashFlowsData[InUSD],CashFlowsData[Overdue],0,CashFlowsData[Class Description],'2.Cash Flow'!$B22,CashFlowsData[Actual week],'2.Cash Flow'!M$10,CashFlowsData[Actual Year],'2.Cash Flow'!M$9)</f>
        <v>0</v>
      </c>
      <c r="N22" s="18">
        <f ca="1">SUMIFS(CashFlowsData[InUSD],CashFlowsData[Overdue],0,CashFlowsData[Class Description],'2.Cash Flow'!$B22,CashFlowsData[Actual week],'2.Cash Flow'!N$10,CashFlowsData[Actual Year],'2.Cash Flow'!N$9)</f>
        <v>0</v>
      </c>
      <c r="O22" s="18">
        <f ca="1">SUMIFS(CashFlowsData[InUSD],CashFlowsData[Overdue],0,CashFlowsData[Class Description],'2.Cash Flow'!$B22,CashFlowsData[Actual week],'2.Cash Flow'!O$10,CashFlowsData[Actual Year],'2.Cash Flow'!O$9)</f>
        <v>0</v>
      </c>
      <c r="P22" s="17">
        <f ca="1">SUMIFS(CashFlowsData[InUSD],CashFlowsData[Overdue],0,CashFlowsData[Class Description],'2.Cash Flow'!$B22,CashFlowsData[Effective Date],"&gt;"&amp;(O$11+7))</f>
        <v>0</v>
      </c>
    </row>
    <row r="23" spans="1:16" ht="12" x14ac:dyDescent="0.2">
      <c r="A23" s="16"/>
      <c r="B23" s="19"/>
      <c r="C23" s="18">
        <f ca="1">SUMIFS(CashFlowsData[InUSD],CashFlowsData[Overdue],1,CashFlowsData[Class Description],'2.Cash Flow'!$B23,CashFlowsData[Actual week],'2.Cash Flow'!C$10,CashFlowsData[Actual Year],'2.Cash Flow'!C$9)</f>
        <v>0</v>
      </c>
      <c r="D23" s="18">
        <f ca="1">SUMIFS(CashFlowsData[InUSD],CashFlowsData[Overdue],0,CashFlowsData[Class Description],'2.Cash Flow'!$B23,CashFlowsData[Actual week],'2.Cash Flow'!D$10,CashFlowsData[Actual Year],'2.Cash Flow'!D$9)</f>
        <v>0</v>
      </c>
      <c r="E23" s="18">
        <f ca="1">SUMIFS(CashFlowsData[InUSD],CashFlowsData[Overdue],0,CashFlowsData[Class Description],'2.Cash Flow'!$B23,CashFlowsData[Actual week],'2.Cash Flow'!E$10,CashFlowsData[Actual Year],'2.Cash Flow'!E$9)</f>
        <v>0</v>
      </c>
      <c r="F23" s="18">
        <f ca="1">SUMIFS(CashFlowsData[InUSD],CashFlowsData[Overdue],0,CashFlowsData[Class Description],'2.Cash Flow'!$B23,CashFlowsData[Actual week],'2.Cash Flow'!F$10,CashFlowsData[Actual Year],'2.Cash Flow'!F$9)</f>
        <v>0</v>
      </c>
      <c r="G23" s="18">
        <f ca="1">SUMIFS(CashFlowsData[InUSD],CashFlowsData[Overdue],0,CashFlowsData[Class Description],'2.Cash Flow'!$B23,CashFlowsData[Actual week],'2.Cash Flow'!G$10,CashFlowsData[Actual Year],'2.Cash Flow'!G$9)</f>
        <v>0</v>
      </c>
      <c r="H23" s="18">
        <f ca="1">SUMIFS(CashFlowsData[InUSD],CashFlowsData[Overdue],0,CashFlowsData[Class Description],'2.Cash Flow'!$B23,CashFlowsData[Actual week],'2.Cash Flow'!H$10,CashFlowsData[Actual Year],'2.Cash Flow'!H$9)</f>
        <v>0</v>
      </c>
      <c r="I23" s="18">
        <f ca="1">SUMIFS(CashFlowsData[InUSD],CashFlowsData[Overdue],0,CashFlowsData[Class Description],'2.Cash Flow'!$B23,CashFlowsData[Actual week],'2.Cash Flow'!I$10,CashFlowsData[Actual Year],'2.Cash Flow'!I$9)</f>
        <v>0</v>
      </c>
      <c r="J23" s="18">
        <f ca="1">SUMIFS(CashFlowsData[InUSD],CashFlowsData[Overdue],0,CashFlowsData[Class Description],'2.Cash Flow'!$B23,CashFlowsData[Actual week],'2.Cash Flow'!J$10,CashFlowsData[Actual Year],'2.Cash Flow'!J$9)</f>
        <v>0</v>
      </c>
      <c r="K23" s="18">
        <f ca="1">SUMIFS(CashFlowsData[InUSD],CashFlowsData[Overdue],0,CashFlowsData[Class Description],'2.Cash Flow'!$B23,CashFlowsData[Actual week],'2.Cash Flow'!K$10,CashFlowsData[Actual Year],'2.Cash Flow'!K$9)</f>
        <v>0</v>
      </c>
      <c r="L23" s="18">
        <f ca="1">SUMIFS(CashFlowsData[InUSD],CashFlowsData[Overdue],0,CashFlowsData[Class Description],'2.Cash Flow'!$B23,CashFlowsData[Actual week],'2.Cash Flow'!L$10,CashFlowsData[Actual Year],'2.Cash Flow'!L$9)</f>
        <v>0</v>
      </c>
      <c r="M23" s="18">
        <f ca="1">SUMIFS(CashFlowsData[InUSD],CashFlowsData[Overdue],0,CashFlowsData[Class Description],'2.Cash Flow'!$B23,CashFlowsData[Actual week],'2.Cash Flow'!M$10,CashFlowsData[Actual Year],'2.Cash Flow'!M$9)</f>
        <v>0</v>
      </c>
      <c r="N23" s="18">
        <f ca="1">SUMIFS(CashFlowsData[InUSD],CashFlowsData[Overdue],0,CashFlowsData[Class Description],'2.Cash Flow'!$B23,CashFlowsData[Actual week],'2.Cash Flow'!N$10,CashFlowsData[Actual Year],'2.Cash Flow'!N$9)</f>
        <v>0</v>
      </c>
      <c r="O23" s="18">
        <f ca="1">SUMIFS(CashFlowsData[InUSD],CashFlowsData[Overdue],0,CashFlowsData[Class Description],'2.Cash Flow'!$B23,CashFlowsData[Actual week],'2.Cash Flow'!O$10,CashFlowsData[Actual Year],'2.Cash Flow'!O$9)</f>
        <v>0</v>
      </c>
      <c r="P23" s="17">
        <f ca="1">SUMIFS(CashFlowsData[InUSD],CashFlowsData[Overdue],0,CashFlowsData[Class Description],'2.Cash Flow'!$B23,CashFlowsData[Effective Date],"&gt;"&amp;(O$11+7))</f>
        <v>0</v>
      </c>
    </row>
    <row r="24" spans="1:16" ht="12" collapsed="1" x14ac:dyDescent="0.2">
      <c r="A24" s="16"/>
      <c r="B24" s="27"/>
      <c r="C24" s="18">
        <f ca="1">SUMIFS(CashFlowsData[InUSD],CashFlowsData[Overdue],1,CashFlowsData[Class Description],'2.Cash Flow'!$B24,CashFlowsData[Actual week],'2.Cash Flow'!C$10,CashFlowsData[Actual Year],'2.Cash Flow'!C$9)</f>
        <v>0</v>
      </c>
      <c r="D24" s="18">
        <f ca="1">SUMIFS(CashFlowsData[InUSD],CashFlowsData[Overdue],0,CashFlowsData[Class Description],'2.Cash Flow'!$B24,CashFlowsData[Actual week],'2.Cash Flow'!D$10,CashFlowsData[Actual Year],'2.Cash Flow'!D$9)</f>
        <v>0</v>
      </c>
      <c r="E24" s="18">
        <f ca="1">SUMIFS(CashFlowsData[InUSD],CashFlowsData[Overdue],0,CashFlowsData[Class Description],'2.Cash Flow'!$B24,CashFlowsData[Actual week],'2.Cash Flow'!E$10,CashFlowsData[Actual Year],'2.Cash Flow'!E$9)</f>
        <v>0</v>
      </c>
      <c r="F24" s="18">
        <f ca="1">SUMIFS(CashFlowsData[InUSD],CashFlowsData[Overdue],0,CashFlowsData[Class Description],'2.Cash Flow'!$B24,CashFlowsData[Actual week],'2.Cash Flow'!F$10,CashFlowsData[Actual Year],'2.Cash Flow'!F$9)</f>
        <v>0</v>
      </c>
      <c r="G24" s="18">
        <f ca="1">SUMIFS(CashFlowsData[InUSD],CashFlowsData[Overdue],0,CashFlowsData[Class Description],'2.Cash Flow'!$B24,CashFlowsData[Actual week],'2.Cash Flow'!G$10,CashFlowsData[Actual Year],'2.Cash Flow'!G$9)</f>
        <v>0</v>
      </c>
      <c r="H24" s="18">
        <f ca="1">SUMIFS(CashFlowsData[InUSD],CashFlowsData[Overdue],0,CashFlowsData[Class Description],'2.Cash Flow'!$B24,CashFlowsData[Actual week],'2.Cash Flow'!H$10,CashFlowsData[Actual Year],'2.Cash Flow'!H$9)</f>
        <v>0</v>
      </c>
      <c r="I24" s="18">
        <f ca="1">SUMIFS(CashFlowsData[InUSD],CashFlowsData[Overdue],0,CashFlowsData[Class Description],'2.Cash Flow'!$B24,CashFlowsData[Actual week],'2.Cash Flow'!I$10,CashFlowsData[Actual Year],'2.Cash Flow'!I$9)</f>
        <v>0</v>
      </c>
      <c r="J24" s="18">
        <f ca="1">SUMIFS(CashFlowsData[InUSD],CashFlowsData[Overdue],0,CashFlowsData[Class Description],'2.Cash Flow'!$B24,CashFlowsData[Actual week],'2.Cash Flow'!J$10,CashFlowsData[Actual Year],'2.Cash Flow'!J$9)</f>
        <v>0</v>
      </c>
      <c r="K24" s="18">
        <f ca="1">SUMIFS(CashFlowsData[InUSD],CashFlowsData[Overdue],0,CashFlowsData[Class Description],'2.Cash Flow'!$B24,CashFlowsData[Actual week],'2.Cash Flow'!K$10,CashFlowsData[Actual Year],'2.Cash Flow'!K$9)</f>
        <v>0</v>
      </c>
      <c r="L24" s="18">
        <f ca="1">SUMIFS(CashFlowsData[InUSD],CashFlowsData[Overdue],0,CashFlowsData[Class Description],'2.Cash Flow'!$B24,CashFlowsData[Actual week],'2.Cash Flow'!L$10,CashFlowsData[Actual Year],'2.Cash Flow'!L$9)</f>
        <v>0</v>
      </c>
      <c r="M24" s="18">
        <f ca="1">SUMIFS(CashFlowsData[InUSD],CashFlowsData[Overdue],0,CashFlowsData[Class Description],'2.Cash Flow'!$B24,CashFlowsData[Actual week],'2.Cash Flow'!M$10,CashFlowsData[Actual Year],'2.Cash Flow'!M$9)</f>
        <v>0</v>
      </c>
      <c r="N24" s="18">
        <f ca="1">SUMIFS(CashFlowsData[InUSD],CashFlowsData[Overdue],0,CashFlowsData[Class Description],'2.Cash Flow'!$B24,CashFlowsData[Actual week],'2.Cash Flow'!N$10,CashFlowsData[Actual Year],'2.Cash Flow'!N$9)</f>
        <v>0</v>
      </c>
      <c r="O24" s="18">
        <f ca="1">SUMIFS(CashFlowsData[InUSD],CashFlowsData[Overdue],0,CashFlowsData[Class Description],'2.Cash Flow'!$B24,CashFlowsData[Actual week],'2.Cash Flow'!O$10,CashFlowsData[Actual Year],'2.Cash Flow'!O$9)</f>
        <v>0</v>
      </c>
      <c r="P24" s="17">
        <f ca="1">SUMIFS(CashFlowsData[InUSD],CashFlowsData[Overdue],0,CashFlowsData[Class Description],'2.Cash Flow'!$B24,CashFlowsData[Effective Date],"&gt;"&amp;(O$11+7))</f>
        <v>0</v>
      </c>
    </row>
    <row r="25" spans="1:16" ht="12" x14ac:dyDescent="0.2">
      <c r="A25" s="16"/>
      <c r="B25" s="27"/>
      <c r="C25" s="18">
        <f ca="1">SUMIFS(CashFlowsData[InUSD],CashFlowsData[Overdue],1,CashFlowsData[Class Description],'2.Cash Flow'!$B25,CashFlowsData[Actual week],'2.Cash Flow'!C$10,CashFlowsData[Actual Year],'2.Cash Flow'!C$9)</f>
        <v>0</v>
      </c>
      <c r="D25" s="18">
        <f ca="1">SUMIFS(CashFlowsData[InUSD],CashFlowsData[Overdue],0,CashFlowsData[Class Description],'2.Cash Flow'!$B25,CashFlowsData[Actual week],'2.Cash Flow'!D$10,CashFlowsData[Actual Year],'2.Cash Flow'!D$9)</f>
        <v>0</v>
      </c>
      <c r="E25" s="18">
        <f ca="1">SUMIFS(CashFlowsData[InUSD],CashFlowsData[Overdue],0,CashFlowsData[Class Description],'2.Cash Flow'!$B25,CashFlowsData[Actual week],'2.Cash Flow'!E$10,CashFlowsData[Actual Year],'2.Cash Flow'!E$9)</f>
        <v>0</v>
      </c>
      <c r="F25" s="18">
        <f ca="1">SUMIFS(CashFlowsData[InUSD],CashFlowsData[Overdue],0,CashFlowsData[Class Description],'2.Cash Flow'!$B25,CashFlowsData[Actual week],'2.Cash Flow'!F$10,CashFlowsData[Actual Year],'2.Cash Flow'!F$9)</f>
        <v>0</v>
      </c>
      <c r="G25" s="18">
        <f ca="1">SUMIFS(CashFlowsData[InUSD],CashFlowsData[Overdue],0,CashFlowsData[Class Description],'2.Cash Flow'!$B25,CashFlowsData[Actual week],'2.Cash Flow'!G$10,CashFlowsData[Actual Year],'2.Cash Flow'!G$9)</f>
        <v>0</v>
      </c>
      <c r="H25" s="18">
        <f ca="1">SUMIFS(CashFlowsData[InUSD],CashFlowsData[Overdue],0,CashFlowsData[Class Description],'2.Cash Flow'!$B25,CashFlowsData[Actual week],'2.Cash Flow'!H$10,CashFlowsData[Actual Year],'2.Cash Flow'!H$9)</f>
        <v>0</v>
      </c>
      <c r="I25" s="18">
        <f ca="1">SUMIFS(CashFlowsData[InUSD],CashFlowsData[Overdue],0,CashFlowsData[Class Description],'2.Cash Flow'!$B25,CashFlowsData[Actual week],'2.Cash Flow'!I$10,CashFlowsData[Actual Year],'2.Cash Flow'!I$9)</f>
        <v>0</v>
      </c>
      <c r="J25" s="18">
        <f ca="1">SUMIFS(CashFlowsData[InUSD],CashFlowsData[Overdue],0,CashFlowsData[Class Description],'2.Cash Flow'!$B25,CashFlowsData[Actual week],'2.Cash Flow'!J$10,CashFlowsData[Actual Year],'2.Cash Flow'!J$9)</f>
        <v>0</v>
      </c>
      <c r="K25" s="18">
        <f ca="1">SUMIFS(CashFlowsData[InUSD],CashFlowsData[Overdue],0,CashFlowsData[Class Description],'2.Cash Flow'!$B25,CashFlowsData[Actual week],'2.Cash Flow'!K$10,CashFlowsData[Actual Year],'2.Cash Flow'!K$9)</f>
        <v>0</v>
      </c>
      <c r="L25" s="18">
        <f ca="1">SUMIFS(CashFlowsData[InUSD],CashFlowsData[Overdue],0,CashFlowsData[Class Description],'2.Cash Flow'!$B25,CashFlowsData[Actual week],'2.Cash Flow'!L$10,CashFlowsData[Actual Year],'2.Cash Flow'!L$9)</f>
        <v>0</v>
      </c>
      <c r="M25" s="18">
        <f ca="1">SUMIFS(CashFlowsData[InUSD],CashFlowsData[Overdue],0,CashFlowsData[Class Description],'2.Cash Flow'!$B25,CashFlowsData[Actual week],'2.Cash Flow'!M$10,CashFlowsData[Actual Year],'2.Cash Flow'!M$9)</f>
        <v>0</v>
      </c>
      <c r="N25" s="18">
        <f ca="1">SUMIFS(CashFlowsData[InUSD],CashFlowsData[Overdue],0,CashFlowsData[Class Description],'2.Cash Flow'!$B25,CashFlowsData[Actual week],'2.Cash Flow'!N$10,CashFlowsData[Actual Year],'2.Cash Flow'!N$9)</f>
        <v>0</v>
      </c>
      <c r="O25" s="18">
        <f ca="1">SUMIFS(CashFlowsData[InUSD],CashFlowsData[Overdue],0,CashFlowsData[Class Description],'2.Cash Flow'!$B25,CashFlowsData[Actual week],'2.Cash Flow'!O$10,CashFlowsData[Actual Year],'2.Cash Flow'!O$9)</f>
        <v>0</v>
      </c>
      <c r="P25" s="17">
        <f ca="1">SUMIFS(CashFlowsData[InUSD],CashFlowsData[Overdue],0,CashFlowsData[Class Description],'2.Cash Flow'!$B25,CashFlowsData[Effective Date],"&gt;"&amp;(O$11+7))</f>
        <v>0</v>
      </c>
    </row>
    <row r="26" spans="1:16" ht="12" x14ac:dyDescent="0.2">
      <c r="A26" s="16"/>
      <c r="B26" s="27"/>
      <c r="C26" s="18">
        <f ca="1">SUMIFS(CashFlowsData[InUSD],CashFlowsData[Overdue],1,CashFlowsData[Class Description],'2.Cash Flow'!$B26,CashFlowsData[Actual week],'2.Cash Flow'!C$10,CashFlowsData[Actual Year],'2.Cash Flow'!C$9)</f>
        <v>0</v>
      </c>
      <c r="D26" s="18">
        <f ca="1">SUMIFS(CashFlowsData[InUSD],CashFlowsData[Overdue],0,CashFlowsData[Class Description],'2.Cash Flow'!$B26,CashFlowsData[Actual week],'2.Cash Flow'!D$10,CashFlowsData[Actual Year],'2.Cash Flow'!D$9)</f>
        <v>0</v>
      </c>
      <c r="E26" s="18">
        <f ca="1">SUMIFS(CashFlowsData[InUSD],CashFlowsData[Overdue],0,CashFlowsData[Class Description],'2.Cash Flow'!$B26,CashFlowsData[Actual week],'2.Cash Flow'!E$10,CashFlowsData[Actual Year],'2.Cash Flow'!E$9)</f>
        <v>0</v>
      </c>
      <c r="F26" s="18">
        <f ca="1">SUMIFS(CashFlowsData[InUSD],CashFlowsData[Overdue],0,CashFlowsData[Class Description],'2.Cash Flow'!$B26,CashFlowsData[Actual week],'2.Cash Flow'!F$10,CashFlowsData[Actual Year],'2.Cash Flow'!F$9)</f>
        <v>0</v>
      </c>
      <c r="G26" s="18">
        <f ca="1">SUMIFS(CashFlowsData[InUSD],CashFlowsData[Overdue],0,CashFlowsData[Class Description],'2.Cash Flow'!$B26,CashFlowsData[Actual week],'2.Cash Flow'!G$10,CashFlowsData[Actual Year],'2.Cash Flow'!G$9)</f>
        <v>0</v>
      </c>
      <c r="H26" s="18">
        <f ca="1">SUMIFS(CashFlowsData[InUSD],CashFlowsData[Overdue],0,CashFlowsData[Class Description],'2.Cash Flow'!$B26,CashFlowsData[Actual week],'2.Cash Flow'!H$10,CashFlowsData[Actual Year],'2.Cash Flow'!H$9)</f>
        <v>0</v>
      </c>
      <c r="I26" s="18">
        <f ca="1">SUMIFS(CashFlowsData[InUSD],CashFlowsData[Overdue],0,CashFlowsData[Class Description],'2.Cash Flow'!$B26,CashFlowsData[Actual week],'2.Cash Flow'!I$10,CashFlowsData[Actual Year],'2.Cash Flow'!I$9)</f>
        <v>0</v>
      </c>
      <c r="J26" s="18">
        <f ca="1">SUMIFS(CashFlowsData[InUSD],CashFlowsData[Overdue],0,CashFlowsData[Class Description],'2.Cash Flow'!$B26,CashFlowsData[Actual week],'2.Cash Flow'!J$10,CashFlowsData[Actual Year],'2.Cash Flow'!J$9)</f>
        <v>0</v>
      </c>
      <c r="K26" s="18">
        <f ca="1">SUMIFS(CashFlowsData[InUSD],CashFlowsData[Overdue],0,CashFlowsData[Class Description],'2.Cash Flow'!$B26,CashFlowsData[Actual week],'2.Cash Flow'!K$10,CashFlowsData[Actual Year],'2.Cash Flow'!K$9)</f>
        <v>0</v>
      </c>
      <c r="L26" s="18">
        <f ca="1">SUMIFS(CashFlowsData[InUSD],CashFlowsData[Overdue],0,CashFlowsData[Class Description],'2.Cash Flow'!$B26,CashFlowsData[Actual week],'2.Cash Flow'!L$10,CashFlowsData[Actual Year],'2.Cash Flow'!L$9)</f>
        <v>0</v>
      </c>
      <c r="M26" s="18">
        <f ca="1">SUMIFS(CashFlowsData[InUSD],CashFlowsData[Overdue],0,CashFlowsData[Class Description],'2.Cash Flow'!$B26,CashFlowsData[Actual week],'2.Cash Flow'!M$10,CashFlowsData[Actual Year],'2.Cash Flow'!M$9)</f>
        <v>0</v>
      </c>
      <c r="N26" s="18">
        <f ca="1">SUMIFS(CashFlowsData[InUSD],CashFlowsData[Overdue],0,CashFlowsData[Class Description],'2.Cash Flow'!$B26,CashFlowsData[Actual week],'2.Cash Flow'!N$10,CashFlowsData[Actual Year],'2.Cash Flow'!N$9)</f>
        <v>0</v>
      </c>
      <c r="O26" s="18">
        <f ca="1">SUMIFS(CashFlowsData[InUSD],CashFlowsData[Overdue],0,CashFlowsData[Class Description],'2.Cash Flow'!$B26,CashFlowsData[Actual week],'2.Cash Flow'!O$10,CashFlowsData[Actual Year],'2.Cash Flow'!O$9)</f>
        <v>0</v>
      </c>
      <c r="P26" s="17">
        <f ca="1">SUMIFS(CashFlowsData[InUSD],CashFlowsData[Overdue],0,CashFlowsData[Class Description],'2.Cash Flow'!$B26,CashFlowsData[Effective Date],"&gt;"&amp;(O$11+7))</f>
        <v>0</v>
      </c>
    </row>
    <row r="27" spans="1:16" ht="12" x14ac:dyDescent="0.2">
      <c r="A27" s="16"/>
      <c r="B27" s="27"/>
      <c r="C27" s="18">
        <f ca="1">SUMIFS(CashFlowsData[InUSD],CashFlowsData[Overdue],1,CashFlowsData[Class Description],'2.Cash Flow'!$B27,CashFlowsData[Actual week],'2.Cash Flow'!C$10,CashFlowsData[Actual Year],'2.Cash Flow'!C$9)</f>
        <v>0</v>
      </c>
      <c r="D27" s="18">
        <f ca="1">SUMIFS(CashFlowsData[InUSD],CashFlowsData[Overdue],0,CashFlowsData[Class Description],'2.Cash Flow'!$B27,CashFlowsData[Actual week],'2.Cash Flow'!D$10,CashFlowsData[Actual Year],'2.Cash Flow'!D$9)</f>
        <v>0</v>
      </c>
      <c r="E27" s="18">
        <f ca="1">SUMIFS(CashFlowsData[InUSD],CashFlowsData[Overdue],0,CashFlowsData[Class Description],'2.Cash Flow'!$B27,CashFlowsData[Actual week],'2.Cash Flow'!E$10,CashFlowsData[Actual Year],'2.Cash Flow'!E$9)</f>
        <v>0</v>
      </c>
      <c r="F27" s="18">
        <f ca="1">SUMIFS(CashFlowsData[InUSD],CashFlowsData[Overdue],0,CashFlowsData[Class Description],'2.Cash Flow'!$B27,CashFlowsData[Actual week],'2.Cash Flow'!F$10,CashFlowsData[Actual Year],'2.Cash Flow'!F$9)</f>
        <v>0</v>
      </c>
      <c r="G27" s="18">
        <f ca="1">SUMIFS(CashFlowsData[InUSD],CashFlowsData[Overdue],0,CashFlowsData[Class Description],'2.Cash Flow'!$B27,CashFlowsData[Actual week],'2.Cash Flow'!G$10,CashFlowsData[Actual Year],'2.Cash Flow'!G$9)</f>
        <v>0</v>
      </c>
      <c r="H27" s="18">
        <f ca="1">SUMIFS(CashFlowsData[InUSD],CashFlowsData[Overdue],0,CashFlowsData[Class Description],'2.Cash Flow'!$B27,CashFlowsData[Actual week],'2.Cash Flow'!H$10,CashFlowsData[Actual Year],'2.Cash Flow'!H$9)</f>
        <v>0</v>
      </c>
      <c r="I27" s="18">
        <f ca="1">SUMIFS(CashFlowsData[InUSD],CashFlowsData[Overdue],0,CashFlowsData[Class Description],'2.Cash Flow'!$B27,CashFlowsData[Actual week],'2.Cash Flow'!I$10,CashFlowsData[Actual Year],'2.Cash Flow'!I$9)</f>
        <v>0</v>
      </c>
      <c r="J27" s="18">
        <f ca="1">SUMIFS(CashFlowsData[InUSD],CashFlowsData[Overdue],0,CashFlowsData[Class Description],'2.Cash Flow'!$B27,CashFlowsData[Actual week],'2.Cash Flow'!J$10,CashFlowsData[Actual Year],'2.Cash Flow'!J$9)</f>
        <v>0</v>
      </c>
      <c r="K27" s="18">
        <f ca="1">SUMIFS(CashFlowsData[InUSD],CashFlowsData[Overdue],0,CashFlowsData[Class Description],'2.Cash Flow'!$B27,CashFlowsData[Actual week],'2.Cash Flow'!K$10,CashFlowsData[Actual Year],'2.Cash Flow'!K$9)</f>
        <v>0</v>
      </c>
      <c r="L27" s="18">
        <f ca="1">SUMIFS(CashFlowsData[InUSD],CashFlowsData[Overdue],0,CashFlowsData[Class Description],'2.Cash Flow'!$B27,CashFlowsData[Actual week],'2.Cash Flow'!L$10,CashFlowsData[Actual Year],'2.Cash Flow'!L$9)</f>
        <v>0</v>
      </c>
      <c r="M27" s="18">
        <f ca="1">SUMIFS(CashFlowsData[InUSD],CashFlowsData[Overdue],0,CashFlowsData[Class Description],'2.Cash Flow'!$B27,CashFlowsData[Actual week],'2.Cash Flow'!M$10,CashFlowsData[Actual Year],'2.Cash Flow'!M$9)</f>
        <v>0</v>
      </c>
      <c r="N27" s="18">
        <f ca="1">SUMIFS(CashFlowsData[InUSD],CashFlowsData[Overdue],0,CashFlowsData[Class Description],'2.Cash Flow'!$B27,CashFlowsData[Actual week],'2.Cash Flow'!N$10,CashFlowsData[Actual Year],'2.Cash Flow'!N$9)</f>
        <v>0</v>
      </c>
      <c r="O27" s="18">
        <f ca="1">SUMIFS(CashFlowsData[InUSD],CashFlowsData[Overdue],0,CashFlowsData[Class Description],'2.Cash Flow'!$B27,CashFlowsData[Actual week],'2.Cash Flow'!O$10,CashFlowsData[Actual Year],'2.Cash Flow'!O$9)</f>
        <v>0</v>
      </c>
      <c r="P27" s="17">
        <f ca="1">SUMIFS(CashFlowsData[InUSD],CashFlowsData[Overdue],0,CashFlowsData[Class Description],'2.Cash Flow'!$B27,CashFlowsData[Effective Date],"&gt;"&amp;(O$11+7))</f>
        <v>0</v>
      </c>
    </row>
    <row r="28" spans="1:16" ht="12" x14ac:dyDescent="0.2">
      <c r="A28" s="16"/>
      <c r="B28" s="29"/>
      <c r="C28" s="18">
        <f ca="1">SUMIFS(CashFlowsData[InUSD],CashFlowsData[Overdue],1,CashFlowsData[Class Description],'2.Cash Flow'!$B28,CashFlowsData[Actual week],'2.Cash Flow'!C$10,CashFlowsData[Actual Year],'2.Cash Flow'!C$9)</f>
        <v>0</v>
      </c>
      <c r="D28" s="21">
        <f ca="1">SUMIFS(CashFlowsData[InUSD],CashFlowsData[Overdue],0,CashFlowsData[Class Description],'2.Cash Flow'!$B28,CashFlowsData[Actual week],'2.Cash Flow'!D$10,CashFlowsData[Actual Year],'2.Cash Flow'!D$9)</f>
        <v>0</v>
      </c>
      <c r="E28" s="18">
        <f ca="1">SUMIFS(CashFlowsData[InUSD],CashFlowsData[Overdue],0,CashFlowsData[Class Description],'2.Cash Flow'!$B28,CashFlowsData[Actual week],'2.Cash Flow'!E$10,CashFlowsData[Actual Year],'2.Cash Flow'!E$9)</f>
        <v>0</v>
      </c>
      <c r="F28" s="18">
        <f ca="1">SUMIFS(CashFlowsData[InUSD],CashFlowsData[Overdue],0,CashFlowsData[Class Description],'2.Cash Flow'!$B28,CashFlowsData[Actual week],'2.Cash Flow'!F$10,CashFlowsData[Actual Year],'2.Cash Flow'!F$9)</f>
        <v>0</v>
      </c>
      <c r="G28" s="18">
        <f ca="1">SUMIFS(CashFlowsData[InUSD],CashFlowsData[Overdue],0,CashFlowsData[Class Description],'2.Cash Flow'!$B28,CashFlowsData[Actual week],'2.Cash Flow'!G$10,CashFlowsData[Actual Year],'2.Cash Flow'!G$9)</f>
        <v>0</v>
      </c>
      <c r="H28" s="18">
        <f ca="1">SUMIFS(CashFlowsData[InUSD],CashFlowsData[Overdue],0,CashFlowsData[Class Description],'2.Cash Flow'!$B28,CashFlowsData[Actual week],'2.Cash Flow'!H$10,CashFlowsData[Actual Year],'2.Cash Flow'!H$9)</f>
        <v>0</v>
      </c>
      <c r="I28" s="18">
        <f ca="1">SUMIFS(CashFlowsData[InUSD],CashFlowsData[Overdue],0,CashFlowsData[Class Description],'2.Cash Flow'!$B28,CashFlowsData[Actual week],'2.Cash Flow'!I$10,CashFlowsData[Actual Year],'2.Cash Flow'!I$9)</f>
        <v>0</v>
      </c>
      <c r="J28" s="18">
        <f ca="1">SUMIFS(CashFlowsData[InUSD],CashFlowsData[Overdue],0,CashFlowsData[Class Description],'2.Cash Flow'!$B28,CashFlowsData[Actual week],'2.Cash Flow'!J$10,CashFlowsData[Actual Year],'2.Cash Flow'!J$9)</f>
        <v>0</v>
      </c>
      <c r="K28" s="18">
        <f ca="1">SUMIFS(CashFlowsData[InUSD],CashFlowsData[Overdue],0,CashFlowsData[Class Description],'2.Cash Flow'!$B28,CashFlowsData[Actual week],'2.Cash Flow'!K$10,CashFlowsData[Actual Year],'2.Cash Flow'!K$9)</f>
        <v>0</v>
      </c>
      <c r="L28" s="18">
        <f ca="1">SUMIFS(CashFlowsData[InUSD],CashFlowsData[Overdue],0,CashFlowsData[Class Description],'2.Cash Flow'!$B28,CashFlowsData[Actual week],'2.Cash Flow'!L$10,CashFlowsData[Actual Year],'2.Cash Flow'!L$9)</f>
        <v>0</v>
      </c>
      <c r="M28" s="18">
        <f ca="1">SUMIFS(CashFlowsData[InUSD],CashFlowsData[Overdue],0,CashFlowsData[Class Description],'2.Cash Flow'!$B28,CashFlowsData[Actual week],'2.Cash Flow'!M$10,CashFlowsData[Actual Year],'2.Cash Flow'!M$9)</f>
        <v>0</v>
      </c>
      <c r="N28" s="18">
        <f ca="1">SUMIFS(CashFlowsData[InUSD],CashFlowsData[Overdue],0,CashFlowsData[Class Description],'2.Cash Flow'!$B28,CashFlowsData[Actual week],'2.Cash Flow'!N$10,CashFlowsData[Actual Year],'2.Cash Flow'!N$9)</f>
        <v>0</v>
      </c>
      <c r="O28" s="18">
        <f ca="1">SUMIFS(CashFlowsData[InUSD],CashFlowsData[Overdue],0,CashFlowsData[Class Description],'2.Cash Flow'!$B28,CashFlowsData[Actual week],'2.Cash Flow'!O$10,CashFlowsData[Actual Year],'2.Cash Flow'!O$9)</f>
        <v>0</v>
      </c>
      <c r="P28" s="17">
        <f ca="1">SUMIFS(CashFlowsData[InUSD],CashFlowsData[Overdue],0,CashFlowsData[Class Description],'2.Cash Flow'!$B28,CashFlowsData[Effective Date],"&gt;"&amp;(O$11+7))</f>
        <v>0</v>
      </c>
    </row>
    <row r="29" spans="1:16" ht="12" x14ac:dyDescent="0.2">
      <c r="A29" s="16"/>
      <c r="B29" s="29"/>
      <c r="C29" s="18">
        <f ca="1">SUMIFS(CashFlowsData[InUSD],CashFlowsData[Overdue],1,CashFlowsData[Class Description],'2.Cash Flow'!$B29,CashFlowsData[Actual week],'2.Cash Flow'!C$10,CashFlowsData[Actual Year],'2.Cash Flow'!C$9)</f>
        <v>0</v>
      </c>
      <c r="D29" s="21">
        <f ca="1">SUMIFS(CashFlowsData[InUSD],CashFlowsData[Overdue],0,CashFlowsData[Class Description],'2.Cash Flow'!$B29,CashFlowsData[Actual week],'2.Cash Flow'!D$10,CashFlowsData[Actual Year],'2.Cash Flow'!D$9)</f>
        <v>0</v>
      </c>
      <c r="E29" s="18">
        <f ca="1">SUMIFS(CashFlowsData[InUSD],CashFlowsData[Overdue],0,CashFlowsData[Class Description],'2.Cash Flow'!$B29,CashFlowsData[Actual week],'2.Cash Flow'!E$10,CashFlowsData[Actual Year],'2.Cash Flow'!E$9)</f>
        <v>0</v>
      </c>
      <c r="F29" s="18">
        <f ca="1">SUMIFS(CashFlowsData[InUSD],CashFlowsData[Overdue],0,CashFlowsData[Class Description],'2.Cash Flow'!$B29,CashFlowsData[Actual week],'2.Cash Flow'!F$10,CashFlowsData[Actual Year],'2.Cash Flow'!F$9)</f>
        <v>0</v>
      </c>
      <c r="G29" s="18">
        <f ca="1">SUMIFS(CashFlowsData[InUSD],CashFlowsData[Overdue],0,CashFlowsData[Class Description],'2.Cash Flow'!$B29,CashFlowsData[Actual week],'2.Cash Flow'!G$10,CashFlowsData[Actual Year],'2.Cash Flow'!G$9)</f>
        <v>0</v>
      </c>
      <c r="H29" s="18">
        <f ca="1">SUMIFS(CashFlowsData[InUSD],CashFlowsData[Overdue],0,CashFlowsData[Class Description],'2.Cash Flow'!$B29,CashFlowsData[Actual week],'2.Cash Flow'!H$10,CashFlowsData[Actual Year],'2.Cash Flow'!H$9)</f>
        <v>0</v>
      </c>
      <c r="I29" s="21">
        <f ca="1">SUMIFS(CashFlowsData[InUSD],CashFlowsData[Overdue],0,CashFlowsData[Class Description],'2.Cash Flow'!$B29,CashFlowsData[Actual week],'2.Cash Flow'!I$10,CashFlowsData[Actual Year],'2.Cash Flow'!I$9)</f>
        <v>0</v>
      </c>
      <c r="J29" s="21">
        <f ca="1">SUMIFS(CashFlowsData[InUSD],CashFlowsData[Overdue],0,CashFlowsData[Class Description],'2.Cash Flow'!$B29,CashFlowsData[Actual week],'2.Cash Flow'!J$10,CashFlowsData[Actual Year],'2.Cash Flow'!J$9)</f>
        <v>0</v>
      </c>
      <c r="K29" s="18">
        <f ca="1">SUMIFS(CashFlowsData[InUSD],CashFlowsData[Overdue],0,CashFlowsData[Class Description],'2.Cash Flow'!$B29,CashFlowsData[Actual week],'2.Cash Flow'!K$10,CashFlowsData[Actual Year],'2.Cash Flow'!K$9)</f>
        <v>0</v>
      </c>
      <c r="L29" s="18">
        <f ca="1">SUMIFS(CashFlowsData[InUSD],CashFlowsData[Overdue],0,CashFlowsData[Class Description],'2.Cash Flow'!$B29,CashFlowsData[Actual week],'2.Cash Flow'!L$10,CashFlowsData[Actual Year],'2.Cash Flow'!L$9)</f>
        <v>0</v>
      </c>
      <c r="M29" s="18">
        <f ca="1">SUMIFS(CashFlowsData[InUSD],CashFlowsData[Overdue],0,CashFlowsData[Class Description],'2.Cash Flow'!$B29,CashFlowsData[Actual week],'2.Cash Flow'!M$10,CashFlowsData[Actual Year],'2.Cash Flow'!M$9)</f>
        <v>0</v>
      </c>
      <c r="N29" s="18">
        <f ca="1">SUMIFS(CashFlowsData[InUSD],CashFlowsData[Overdue],0,CashFlowsData[Class Description],'2.Cash Flow'!$B29,CashFlowsData[Actual week],'2.Cash Flow'!N$10,CashFlowsData[Actual Year],'2.Cash Flow'!N$9)</f>
        <v>0</v>
      </c>
      <c r="O29" s="18">
        <f ca="1">SUMIFS(CashFlowsData[InUSD],CashFlowsData[Overdue],0,CashFlowsData[Class Description],'2.Cash Flow'!$B29,CashFlowsData[Actual week],'2.Cash Flow'!O$10,CashFlowsData[Actual Year],'2.Cash Flow'!O$9)</f>
        <v>0</v>
      </c>
      <c r="P29" s="17">
        <f ca="1">SUMIFS(CashFlowsData[InUSD],CashFlowsData[Overdue],0,CashFlowsData[Class Description],'2.Cash Flow'!$B29,CashFlowsData[Effective Date],"&gt;"&amp;(O$11+7))</f>
        <v>0</v>
      </c>
    </row>
    <row r="30" spans="1:16" ht="12" x14ac:dyDescent="0.2">
      <c r="A30" s="16"/>
      <c r="B30" s="29" t="s">
        <v>13</v>
      </c>
      <c r="C30" s="18">
        <f ca="1">SUMIFS(CashFlowsData[InUSD],CashFlowsData[Overdue],1,CashFlowsData[Class Description],'2.Cash Flow'!$B30,CashFlowsData[Actual week],'2.Cash Flow'!C$10,CashFlowsData[Actual Year],'2.Cash Flow'!C$9)</f>
        <v>0</v>
      </c>
      <c r="D30" s="18">
        <f ca="1">SUMIFS(CashFlowsData[InUSD],CashFlowsData[Overdue],0,CashFlowsData[Class Description],'2.Cash Flow'!$B30,CashFlowsData[Actual week],'2.Cash Flow'!D$10,CashFlowsData[Actual Year],'2.Cash Flow'!D$9)</f>
        <v>0</v>
      </c>
      <c r="E30" s="18">
        <f ca="1">SUMIFS(CashFlowsData[InUSD],CashFlowsData[Overdue],0,CashFlowsData[Class Description],'2.Cash Flow'!$B30,CashFlowsData[Actual week],'2.Cash Flow'!E$10,CashFlowsData[Actual Year],'2.Cash Flow'!E$9)</f>
        <v>0</v>
      </c>
      <c r="F30" s="18">
        <f ca="1">SUMIFS(CashFlowsData[InUSD],CashFlowsData[Overdue],0,CashFlowsData[Class Description],'2.Cash Flow'!$B30,CashFlowsData[Actual week],'2.Cash Flow'!F$10,CashFlowsData[Actual Year],'2.Cash Flow'!F$9)</f>
        <v>0</v>
      </c>
      <c r="G30" s="18">
        <f ca="1">SUMIFS(CashFlowsData[InUSD],CashFlowsData[Overdue],0,CashFlowsData[Class Description],'2.Cash Flow'!$B30,CashFlowsData[Actual week],'2.Cash Flow'!G$10,CashFlowsData[Actual Year],'2.Cash Flow'!G$9)</f>
        <v>0</v>
      </c>
      <c r="H30" s="18">
        <f ca="1">SUMIFS(CashFlowsData[InUSD],CashFlowsData[Overdue],0,CashFlowsData[Class Description],'2.Cash Flow'!$B30,CashFlowsData[Actual week],'2.Cash Flow'!H$10,CashFlowsData[Actual Year],'2.Cash Flow'!H$9)</f>
        <v>0</v>
      </c>
      <c r="I30" s="18">
        <f ca="1">SUMIFS(CashFlowsData[InUSD],CashFlowsData[Overdue],0,CashFlowsData[Class Description],'2.Cash Flow'!$B30,CashFlowsData[Actual week],'2.Cash Flow'!I$10,CashFlowsData[Actual Year],'2.Cash Flow'!I$9)</f>
        <v>0</v>
      </c>
      <c r="J30" s="18">
        <f ca="1">SUMIFS(CashFlowsData[InUSD],CashFlowsData[Overdue],0,CashFlowsData[Class Description],'2.Cash Flow'!$B30,CashFlowsData[Actual week],'2.Cash Flow'!J$10,CashFlowsData[Actual Year],'2.Cash Flow'!J$9)</f>
        <v>0</v>
      </c>
      <c r="K30" s="18">
        <f ca="1">SUMIFS(CashFlowsData[InUSD],CashFlowsData[Overdue],0,CashFlowsData[Class Description],'2.Cash Flow'!$B30,CashFlowsData[Actual week],'2.Cash Flow'!K$10,CashFlowsData[Actual Year],'2.Cash Flow'!K$9)</f>
        <v>0</v>
      </c>
      <c r="L30" s="18">
        <f ca="1">SUMIFS(CashFlowsData[InUSD],CashFlowsData[Overdue],0,CashFlowsData[Class Description],'2.Cash Flow'!$B30,CashFlowsData[Actual week],'2.Cash Flow'!L$10,CashFlowsData[Actual Year],'2.Cash Flow'!L$9)</f>
        <v>0</v>
      </c>
      <c r="M30" s="18">
        <f ca="1">SUMIFS(CashFlowsData[InUSD],CashFlowsData[Overdue],0,CashFlowsData[Class Description],'2.Cash Flow'!$B30,CashFlowsData[Actual week],'2.Cash Flow'!M$10,CashFlowsData[Actual Year],'2.Cash Flow'!M$9)</f>
        <v>0</v>
      </c>
      <c r="N30" s="18">
        <f ca="1">SUMIFS(CashFlowsData[InUSD],CashFlowsData[Overdue],0,CashFlowsData[Class Description],'2.Cash Flow'!$B30,CashFlowsData[Actual week],'2.Cash Flow'!N$10,CashFlowsData[Actual Year],'2.Cash Flow'!N$9)</f>
        <v>0</v>
      </c>
      <c r="O30" s="18">
        <f ca="1">SUMIFS(CashFlowsData[InUSD],CashFlowsData[Overdue],0,CashFlowsData[Class Description],'2.Cash Flow'!$B30,CashFlowsData[Actual week],'2.Cash Flow'!O$10,CashFlowsData[Actual Year],'2.Cash Flow'!O$9)</f>
        <v>0</v>
      </c>
      <c r="P30" s="17">
        <f ca="1">SUMIFS(CashFlowsData[InUSD],CashFlowsData[Overdue],0,CashFlowsData[Class Description],'2.Cash Flow'!$B30,CashFlowsData[Effective Date],"&gt;"&amp;(O$11+7))</f>
        <v>0</v>
      </c>
    </row>
    <row r="31" spans="1:16" ht="12" x14ac:dyDescent="0.2">
      <c r="A31" s="16"/>
      <c r="B31" s="27" t="s">
        <v>12</v>
      </c>
      <c r="C31" s="18">
        <f ca="1">SUMIFS(CashFlowsData[InUSD],CashFlowsData[Overdue],1,CashFlowsData[Class Description],'2.Cash Flow'!$B31,CashFlowsData[Actual week],'2.Cash Flow'!C$10,CashFlowsData[Actual Year],'2.Cash Flow'!C$9)</f>
        <v>0</v>
      </c>
      <c r="D31" s="21">
        <f ca="1">SUMIFS(CashFlowsData[InUSD],CashFlowsData[Overdue],0,CashFlowsData[Class Description],'2.Cash Flow'!$B31,CashFlowsData[Actual week],'2.Cash Flow'!D$10,CashFlowsData[Actual Year],'2.Cash Flow'!D$9)</f>
        <v>0</v>
      </c>
      <c r="E31" s="18">
        <f ca="1">SUMIFS(CashFlowsData[InUSD],CashFlowsData[Overdue],0,CashFlowsData[Class Description],'2.Cash Flow'!$B31,CashFlowsData[Actual week],'2.Cash Flow'!E$10,CashFlowsData[Actual Year],'2.Cash Flow'!E$9)</f>
        <v>0</v>
      </c>
      <c r="F31" s="18">
        <f ca="1">SUMIFS(CashFlowsData[InUSD],CashFlowsData[Overdue],0,CashFlowsData[Class Description],'2.Cash Flow'!$B31,CashFlowsData[Actual week],'2.Cash Flow'!F$10,CashFlowsData[Actual Year],'2.Cash Flow'!F$9)</f>
        <v>0</v>
      </c>
      <c r="G31" s="18">
        <f ca="1">SUMIFS(CashFlowsData[InUSD],CashFlowsData[Overdue],0,CashFlowsData[Class Description],'2.Cash Flow'!$B31,CashFlowsData[Actual week],'2.Cash Flow'!G$10,CashFlowsData[Actual Year],'2.Cash Flow'!G$9)</f>
        <v>0</v>
      </c>
      <c r="H31" s="18">
        <f ca="1">SUMIFS(CashFlowsData[InUSD],CashFlowsData[Overdue],0,CashFlowsData[Class Description],'2.Cash Flow'!$B31,CashFlowsData[Actual week],'2.Cash Flow'!H$10,CashFlowsData[Actual Year],'2.Cash Flow'!H$9)</f>
        <v>0</v>
      </c>
      <c r="I31" s="18">
        <f ca="1">SUMIFS(CashFlowsData[InUSD],CashFlowsData[Overdue],0,CashFlowsData[Class Description],'2.Cash Flow'!$B31,CashFlowsData[Actual week],'2.Cash Flow'!I$10,CashFlowsData[Actual Year],'2.Cash Flow'!I$9)</f>
        <v>0</v>
      </c>
      <c r="J31" s="18">
        <f ca="1">SUMIFS(CashFlowsData[InUSD],CashFlowsData[Overdue],0,CashFlowsData[Class Description],'2.Cash Flow'!$B31,CashFlowsData[Actual week],'2.Cash Flow'!J$10,CashFlowsData[Actual Year],'2.Cash Flow'!J$9)</f>
        <v>0</v>
      </c>
      <c r="K31" s="18">
        <f ca="1">SUMIFS(CashFlowsData[InUSD],CashFlowsData[Overdue],0,CashFlowsData[Class Description],'2.Cash Flow'!$B31,CashFlowsData[Actual week],'2.Cash Flow'!K$10,CashFlowsData[Actual Year],'2.Cash Flow'!K$9)</f>
        <v>0</v>
      </c>
      <c r="L31" s="18">
        <f ca="1">SUMIFS(CashFlowsData[InUSD],CashFlowsData[Overdue],0,CashFlowsData[Class Description],'2.Cash Flow'!$B31,CashFlowsData[Actual week],'2.Cash Flow'!L$10,CashFlowsData[Actual Year],'2.Cash Flow'!L$9)</f>
        <v>0</v>
      </c>
      <c r="M31" s="18">
        <f ca="1">SUMIFS(CashFlowsData[InUSD],CashFlowsData[Overdue],0,CashFlowsData[Class Description],'2.Cash Flow'!$B31,CashFlowsData[Actual week],'2.Cash Flow'!M$10,CashFlowsData[Actual Year],'2.Cash Flow'!M$9)</f>
        <v>0</v>
      </c>
      <c r="N31" s="18">
        <f ca="1">SUMIFS(CashFlowsData[InUSD],CashFlowsData[Overdue],0,CashFlowsData[Class Description],'2.Cash Flow'!$B31,CashFlowsData[Actual week],'2.Cash Flow'!N$10,CashFlowsData[Actual Year],'2.Cash Flow'!N$9)</f>
        <v>0</v>
      </c>
      <c r="O31" s="18">
        <f ca="1">SUMIFS(CashFlowsData[InUSD],CashFlowsData[Overdue],0,CashFlowsData[Class Description],'2.Cash Flow'!$B31,CashFlowsData[Actual week],'2.Cash Flow'!O$10,CashFlowsData[Actual Year],'2.Cash Flow'!O$9)</f>
        <v>0</v>
      </c>
      <c r="P31" s="17">
        <f ca="1">SUMIFS(CashFlowsData[InUSD],CashFlowsData[Overdue],0,CashFlowsData[Class Description],'2.Cash Flow'!$B31,CashFlowsData[Effective Date],"&gt;"&amp;(O$11+7))</f>
        <v>0</v>
      </c>
    </row>
    <row r="32" spans="1:16" ht="12" hidden="1" x14ac:dyDescent="0.2">
      <c r="A32" s="16"/>
      <c r="B32" s="27"/>
      <c r="C32" s="18">
        <f ca="1">SUMIFS(CashFlowsData[InUSD],CashFlowsData[Overdue],1,CashFlowsData[Class Description],'2.Cash Flow'!$B32,CashFlowsData[Actual week],'2.Cash Flow'!C$10,CashFlowsData[Actual Year],'2.Cash Flow'!C$9)</f>
        <v>0</v>
      </c>
      <c r="D32" s="18">
        <f ca="1">SUMIFS(CashFlowsData[InUSD],CashFlowsData[Overdue],0,CashFlowsData[Class Description],'2.Cash Flow'!$B32,CashFlowsData[Actual week],'2.Cash Flow'!D$10,CashFlowsData[Actual Year],'2.Cash Flow'!D$9)</f>
        <v>0</v>
      </c>
      <c r="E32" s="18">
        <f ca="1">SUMIFS(CashFlowsData[InUSD],CashFlowsData[Overdue],0,CashFlowsData[Class Description],'2.Cash Flow'!$B32,CashFlowsData[Actual week],'2.Cash Flow'!E$10,CashFlowsData[Actual Year],'2.Cash Flow'!E$9)</f>
        <v>0</v>
      </c>
      <c r="F32" s="18">
        <f ca="1">SUMIFS(CashFlowsData[InUSD],CashFlowsData[Overdue],0,CashFlowsData[Class Description],'2.Cash Flow'!$B32,CashFlowsData[Actual week],'2.Cash Flow'!F$10,CashFlowsData[Actual Year],'2.Cash Flow'!F$9)</f>
        <v>0</v>
      </c>
      <c r="G32" s="18">
        <f ca="1">SUMIFS(CashFlowsData[InUSD],CashFlowsData[Overdue],0,CashFlowsData[Class Description],'2.Cash Flow'!$B32,CashFlowsData[Actual week],'2.Cash Flow'!G$10,CashFlowsData[Actual Year],'2.Cash Flow'!G$9)</f>
        <v>0</v>
      </c>
      <c r="H32" s="18">
        <f ca="1">SUMIFS(CashFlowsData[InUSD],CashFlowsData[Overdue],0,CashFlowsData[Class Description],'2.Cash Flow'!$B32,CashFlowsData[Actual week],'2.Cash Flow'!H$10,CashFlowsData[Actual Year],'2.Cash Flow'!H$9)</f>
        <v>0</v>
      </c>
      <c r="I32" s="18">
        <f ca="1">SUMIFS(CashFlowsData[InUSD],CashFlowsData[Overdue],0,CashFlowsData[Class Description],'2.Cash Flow'!$B32,CashFlowsData[Actual week],'2.Cash Flow'!I$10,CashFlowsData[Actual Year],'2.Cash Flow'!I$9)</f>
        <v>0</v>
      </c>
      <c r="J32" s="18">
        <f ca="1">SUMIFS(CashFlowsData[InUSD],CashFlowsData[Overdue],0,CashFlowsData[Class Description],'2.Cash Flow'!$B32,CashFlowsData[Actual week],'2.Cash Flow'!J$10,CashFlowsData[Actual Year],'2.Cash Flow'!J$9)</f>
        <v>0</v>
      </c>
      <c r="K32" s="18">
        <f ca="1">SUMIFS(CashFlowsData[InUSD],CashFlowsData[Overdue],0,CashFlowsData[Class Description],'2.Cash Flow'!$B32,CashFlowsData[Actual week],'2.Cash Flow'!K$10,CashFlowsData[Actual Year],'2.Cash Flow'!K$9)</f>
        <v>0</v>
      </c>
      <c r="L32" s="18">
        <f ca="1">SUMIFS(CashFlowsData[InUSD],CashFlowsData[Overdue],0,CashFlowsData[Class Description],'2.Cash Flow'!$B32,CashFlowsData[Actual week],'2.Cash Flow'!L$10,CashFlowsData[Actual Year],'2.Cash Flow'!L$9)</f>
        <v>0</v>
      </c>
      <c r="M32" s="18">
        <f ca="1">SUMIFS(CashFlowsData[InUSD],CashFlowsData[Overdue],0,CashFlowsData[Class Description],'2.Cash Flow'!$B32,CashFlowsData[Actual week],'2.Cash Flow'!M$10,CashFlowsData[Actual Year],'2.Cash Flow'!M$9)</f>
        <v>0</v>
      </c>
      <c r="N32" s="18">
        <f ca="1">SUMIFS(CashFlowsData[InUSD],CashFlowsData[Overdue],0,CashFlowsData[Class Description],'2.Cash Flow'!$B32,CashFlowsData[Actual week],'2.Cash Flow'!N$10,CashFlowsData[Actual Year],'2.Cash Flow'!N$9)</f>
        <v>0</v>
      </c>
      <c r="O32" s="18">
        <f ca="1">SUMIFS(CashFlowsData[InUSD],CashFlowsData[Overdue],0,CashFlowsData[Class Description],'2.Cash Flow'!$B32,CashFlowsData[Actual week],'2.Cash Flow'!O$10,CashFlowsData[Actual Year],'2.Cash Flow'!O$9)</f>
        <v>0</v>
      </c>
      <c r="P32" s="17">
        <f ca="1">SUMIFS(CashFlowsData[InUSD],CashFlowsData[Overdue],0,CashFlowsData[Class Description],'2.Cash Flow'!$B32,CashFlowsData[Effective Date],"&gt;"&amp;(O$11+7))</f>
        <v>0</v>
      </c>
    </row>
    <row r="33" spans="1:17" ht="12" hidden="1" x14ac:dyDescent="0.2">
      <c r="A33" s="16"/>
      <c r="B33" s="28"/>
      <c r="C33" s="18">
        <f ca="1">SUMIFS(CashFlowsData[InUSD],CashFlowsData[Overdue],1,CashFlowsData[Class Description],'2.Cash Flow'!#REF!,CashFlowsData[Actual week],'2.Cash Flow'!C$10,CashFlowsData[Actual Year],'2.Cash Flow'!C$9)</f>
        <v>0</v>
      </c>
      <c r="D33" s="18">
        <f ca="1">SUMIFS(CashFlowsData[InUSD],CashFlowsData[Overdue],0,CashFlowsData[Class Description],'2.Cash Flow'!#REF!,CashFlowsData[Actual week],'2.Cash Flow'!D$10,CashFlowsData[Actual Year],'2.Cash Flow'!D$9)</f>
        <v>0</v>
      </c>
      <c r="E33" s="18">
        <f ca="1">SUMIFS(CashFlowsData[InUSD],CashFlowsData[Overdue],0,CashFlowsData[Class Description],'2.Cash Flow'!#REF!,CashFlowsData[Actual week],'2.Cash Flow'!E$10,CashFlowsData[Actual Year],'2.Cash Flow'!E$9)</f>
        <v>0</v>
      </c>
      <c r="F33" s="18">
        <f ca="1">SUMIFS(CashFlowsData[InUSD],CashFlowsData[Overdue],0,CashFlowsData[Class Description],'2.Cash Flow'!#REF!,CashFlowsData[Actual week],'2.Cash Flow'!F$10,CashFlowsData[Actual Year],'2.Cash Flow'!F$9)</f>
        <v>0</v>
      </c>
      <c r="G33" s="18">
        <f ca="1">SUMIFS(CashFlowsData[InUSD],CashFlowsData[Overdue],0,CashFlowsData[Class Description],'2.Cash Flow'!#REF!,CashFlowsData[Actual week],'2.Cash Flow'!G$10,CashFlowsData[Actual Year],'2.Cash Flow'!G$9)</f>
        <v>0</v>
      </c>
      <c r="H33" s="18">
        <f ca="1">SUMIFS(CashFlowsData[InUSD],CashFlowsData[Overdue],0,CashFlowsData[Class Description],'2.Cash Flow'!#REF!,CashFlowsData[Actual week],'2.Cash Flow'!H$10,CashFlowsData[Actual Year],'2.Cash Flow'!H$9)</f>
        <v>0</v>
      </c>
      <c r="I33" s="18">
        <f ca="1">SUMIFS(CashFlowsData[InUSD],CashFlowsData[Overdue],0,CashFlowsData[Class Description],'2.Cash Flow'!#REF!,CashFlowsData[Actual week],'2.Cash Flow'!I$10,CashFlowsData[Actual Year],'2.Cash Flow'!I$9)</f>
        <v>0</v>
      </c>
      <c r="J33" s="18">
        <f ca="1">SUMIFS(CashFlowsData[InUSD],CashFlowsData[Overdue],0,CashFlowsData[Class Description],'2.Cash Flow'!#REF!,CashFlowsData[Actual week],'2.Cash Flow'!J$10,CashFlowsData[Actual Year],'2.Cash Flow'!J$9)</f>
        <v>0</v>
      </c>
      <c r="K33" s="18">
        <f ca="1">SUMIFS(CashFlowsData[InUSD],CashFlowsData[Overdue],0,CashFlowsData[Class Description],'2.Cash Flow'!#REF!,CashFlowsData[Actual week],'2.Cash Flow'!K$10,CashFlowsData[Actual Year],'2.Cash Flow'!K$9)</f>
        <v>0</v>
      </c>
      <c r="L33" s="18">
        <f ca="1">SUMIFS(CashFlowsData[InUSD],CashFlowsData[Overdue],0,CashFlowsData[Class Description],'2.Cash Flow'!#REF!,CashFlowsData[Actual week],'2.Cash Flow'!L$10,CashFlowsData[Actual Year],'2.Cash Flow'!L$9)</f>
        <v>0</v>
      </c>
      <c r="M33" s="18">
        <f ca="1">SUMIFS(CashFlowsData[InUSD],CashFlowsData[Overdue],0,CashFlowsData[Class Description],'2.Cash Flow'!#REF!,CashFlowsData[Actual week],'2.Cash Flow'!M$10,CashFlowsData[Actual Year],'2.Cash Flow'!M$9)</f>
        <v>0</v>
      </c>
      <c r="N33" s="18">
        <f ca="1">SUMIFS(CashFlowsData[InUSD],CashFlowsData[Overdue],0,CashFlowsData[Class Description],'2.Cash Flow'!#REF!,CashFlowsData[Actual week],'2.Cash Flow'!N$10,CashFlowsData[Actual Year],'2.Cash Flow'!N$9)</f>
        <v>0</v>
      </c>
      <c r="O33" s="18">
        <f ca="1">SUMIFS(CashFlowsData[InUSD],CashFlowsData[Overdue],0,CashFlowsData[Class Description],'2.Cash Flow'!#REF!,CashFlowsData[Actual week],'2.Cash Flow'!O$10,CashFlowsData[Actual Year],'2.Cash Flow'!O$9)</f>
        <v>0</v>
      </c>
      <c r="P33" s="17">
        <f ca="1">SUMIFS(CashFlowsData[InUSD],CashFlowsData[Overdue],0,CashFlowsData[Class Description],'2.Cash Flow'!#REF!,CashFlowsData[Effective Date],"&gt;"&amp;(O$11+7))</f>
        <v>0</v>
      </c>
    </row>
    <row r="34" spans="1:17" ht="12" hidden="1" x14ac:dyDescent="0.2">
      <c r="A34" s="16"/>
      <c r="B34" s="27"/>
      <c r="C34" s="18">
        <f ca="1">SUMIFS(CashFlowsData[InUSD],CashFlowsData[Overdue],1,CashFlowsData[Class Description],'2.Cash Flow'!$B34,CashFlowsData[Actual week],'2.Cash Flow'!C$10,CashFlowsData[Actual Year],'2.Cash Flow'!C$9)</f>
        <v>0</v>
      </c>
      <c r="D34" s="18">
        <f ca="1">SUMIFS(CashFlowsData[InUSD],CashFlowsData[Overdue],0,CashFlowsData[Class Description],'2.Cash Flow'!$B34,CashFlowsData[Actual week],'2.Cash Flow'!D$10,CashFlowsData[Actual Year],'2.Cash Flow'!D$9)</f>
        <v>0</v>
      </c>
      <c r="E34" s="18">
        <f ca="1">SUMIFS(CashFlowsData[InUSD],CashFlowsData[Overdue],0,CashFlowsData[Class Description],'2.Cash Flow'!$B34,CashFlowsData[Actual week],'2.Cash Flow'!E$10,CashFlowsData[Actual Year],'2.Cash Flow'!E$9)</f>
        <v>0</v>
      </c>
      <c r="F34" s="18">
        <f ca="1">SUMIFS(CashFlowsData[InUSD],CashFlowsData[Overdue],0,CashFlowsData[Class Description],'2.Cash Flow'!$B34,CashFlowsData[Actual week],'2.Cash Flow'!F$10,CashFlowsData[Actual Year],'2.Cash Flow'!F$9)</f>
        <v>0</v>
      </c>
      <c r="G34" s="18">
        <f ca="1">SUMIFS(CashFlowsData[InUSD],CashFlowsData[Overdue],0,CashFlowsData[Class Description],'2.Cash Flow'!$B34,CashFlowsData[Actual week],'2.Cash Flow'!G$10,CashFlowsData[Actual Year],'2.Cash Flow'!G$9)</f>
        <v>0</v>
      </c>
      <c r="H34" s="18">
        <f ca="1">SUMIFS(CashFlowsData[InUSD],CashFlowsData[Overdue],0,CashFlowsData[Class Description],'2.Cash Flow'!$B34,CashFlowsData[Actual week],'2.Cash Flow'!H$10,CashFlowsData[Actual Year],'2.Cash Flow'!H$9)</f>
        <v>0</v>
      </c>
      <c r="I34" s="18">
        <f ca="1">SUMIFS(CashFlowsData[InUSD],CashFlowsData[Overdue],0,CashFlowsData[Class Description],'2.Cash Flow'!$B34,CashFlowsData[Actual week],'2.Cash Flow'!I$10,CashFlowsData[Actual Year],'2.Cash Flow'!I$9)</f>
        <v>0</v>
      </c>
      <c r="J34" s="18">
        <f ca="1">SUMIFS(CashFlowsData[InUSD],CashFlowsData[Overdue],0,CashFlowsData[Class Description],'2.Cash Flow'!$B34,CashFlowsData[Actual week],'2.Cash Flow'!J$10,CashFlowsData[Actual Year],'2.Cash Flow'!J$9)</f>
        <v>0</v>
      </c>
      <c r="K34" s="18">
        <f ca="1">SUMIFS(CashFlowsData[InUSD],CashFlowsData[Overdue],0,CashFlowsData[Class Description],'2.Cash Flow'!$B34,CashFlowsData[Actual week],'2.Cash Flow'!K$10,CashFlowsData[Actual Year],'2.Cash Flow'!K$9)</f>
        <v>0</v>
      </c>
      <c r="L34" s="18">
        <f ca="1">SUMIFS(CashFlowsData[InUSD],CashFlowsData[Overdue],0,CashFlowsData[Class Description],'2.Cash Flow'!$B34,CashFlowsData[Actual week],'2.Cash Flow'!L$10,CashFlowsData[Actual Year],'2.Cash Flow'!L$9)</f>
        <v>0</v>
      </c>
      <c r="M34" s="18">
        <f ca="1">SUMIFS(CashFlowsData[InUSD],CashFlowsData[Overdue],0,CashFlowsData[Class Description],'2.Cash Flow'!$B34,CashFlowsData[Actual week],'2.Cash Flow'!M$10,CashFlowsData[Actual Year],'2.Cash Flow'!M$9)</f>
        <v>0</v>
      </c>
      <c r="N34" s="18">
        <f ca="1">SUMIFS(CashFlowsData[InUSD],CashFlowsData[Overdue],0,CashFlowsData[Class Description],'2.Cash Flow'!$B34,CashFlowsData[Actual week],'2.Cash Flow'!N$10,CashFlowsData[Actual Year],'2.Cash Flow'!N$9)</f>
        <v>0</v>
      </c>
      <c r="O34" s="18">
        <f ca="1">SUMIFS(CashFlowsData[InUSD],CashFlowsData[Overdue],0,CashFlowsData[Class Description],'2.Cash Flow'!$B34,CashFlowsData[Actual week],'2.Cash Flow'!O$10,CashFlowsData[Actual Year],'2.Cash Flow'!O$9)</f>
        <v>0</v>
      </c>
      <c r="P34" s="17">
        <f ca="1">SUMIFS(CashFlowsData[InUSD],CashFlowsData[Overdue],0,CashFlowsData[Class Description],'2.Cash Flow'!$B34,CashFlowsData[Effective Date],"&gt;"&amp;(O$11+7))</f>
        <v>0</v>
      </c>
    </row>
    <row r="35" spans="1:17" ht="12" hidden="1" x14ac:dyDescent="0.2">
      <c r="A35" s="16"/>
      <c r="B35" s="27"/>
      <c r="C35" s="18">
        <f ca="1">SUMIFS(CashFlowsData[InUSD],CashFlowsData[Overdue],1,CashFlowsData[Class Description],'2.Cash Flow'!$B35,CashFlowsData[Actual week],'2.Cash Flow'!C$10,CashFlowsData[Actual Year],'2.Cash Flow'!C$9)</f>
        <v>0</v>
      </c>
      <c r="D35" s="18">
        <f ca="1">SUMIFS(CashFlowsData[InUSD],CashFlowsData[Overdue],0,CashFlowsData[Class Description],'2.Cash Flow'!$B35,CashFlowsData[Actual week],'2.Cash Flow'!D$10,CashFlowsData[Actual Year],'2.Cash Flow'!D$9)</f>
        <v>0</v>
      </c>
      <c r="E35" s="18">
        <f ca="1">SUMIFS(CashFlowsData[InUSD],CashFlowsData[Overdue],0,CashFlowsData[Class Description],'2.Cash Flow'!$B35,CashFlowsData[Actual week],'2.Cash Flow'!E$10,CashFlowsData[Actual Year],'2.Cash Flow'!E$9)</f>
        <v>0</v>
      </c>
      <c r="F35" s="18">
        <f ca="1">SUMIFS(CashFlowsData[InUSD],CashFlowsData[Overdue],0,CashFlowsData[Class Description],'2.Cash Flow'!$B35,CashFlowsData[Actual week],'2.Cash Flow'!F$10,CashFlowsData[Actual Year],'2.Cash Flow'!F$9)</f>
        <v>0</v>
      </c>
      <c r="G35" s="18">
        <f ca="1">SUMIFS(CashFlowsData[InUSD],CashFlowsData[Overdue],0,CashFlowsData[Class Description],'2.Cash Flow'!$B35,CashFlowsData[Actual week],'2.Cash Flow'!G$10,CashFlowsData[Actual Year],'2.Cash Flow'!G$9)</f>
        <v>0</v>
      </c>
      <c r="H35" s="18">
        <f ca="1">SUMIFS(CashFlowsData[InUSD],CashFlowsData[Overdue],0,CashFlowsData[Class Description],'2.Cash Flow'!$B35,CashFlowsData[Actual week],'2.Cash Flow'!H$10,CashFlowsData[Actual Year],'2.Cash Flow'!H$9)</f>
        <v>0</v>
      </c>
      <c r="I35" s="18">
        <f ca="1">SUMIFS(CashFlowsData[InUSD],CashFlowsData[Overdue],0,CashFlowsData[Class Description],'2.Cash Flow'!$B35,CashFlowsData[Actual week],'2.Cash Flow'!I$10,CashFlowsData[Actual Year],'2.Cash Flow'!I$9)</f>
        <v>0</v>
      </c>
      <c r="J35" s="18">
        <f ca="1">SUMIFS(CashFlowsData[InUSD],CashFlowsData[Overdue],0,CashFlowsData[Class Description],'2.Cash Flow'!$B35,CashFlowsData[Actual week],'2.Cash Flow'!J$10,CashFlowsData[Actual Year],'2.Cash Flow'!J$9)</f>
        <v>0</v>
      </c>
      <c r="K35" s="18">
        <f ca="1">SUMIFS(CashFlowsData[InUSD],CashFlowsData[Overdue],0,CashFlowsData[Class Description],'2.Cash Flow'!$B35,CashFlowsData[Actual week],'2.Cash Flow'!K$10,CashFlowsData[Actual Year],'2.Cash Flow'!K$9)</f>
        <v>0</v>
      </c>
      <c r="L35" s="18">
        <f ca="1">SUMIFS(CashFlowsData[InUSD],CashFlowsData[Overdue],0,CashFlowsData[Class Description],'2.Cash Flow'!$B35,CashFlowsData[Actual week],'2.Cash Flow'!L$10,CashFlowsData[Actual Year],'2.Cash Flow'!L$9)</f>
        <v>0</v>
      </c>
      <c r="M35" s="18">
        <f ca="1">SUMIFS(CashFlowsData[InUSD],CashFlowsData[Overdue],0,CashFlowsData[Class Description],'2.Cash Flow'!$B35,CashFlowsData[Actual week],'2.Cash Flow'!M$10,CashFlowsData[Actual Year],'2.Cash Flow'!M$9)</f>
        <v>0</v>
      </c>
      <c r="N35" s="18">
        <f ca="1">SUMIFS(CashFlowsData[InUSD],CashFlowsData[Overdue],0,CashFlowsData[Class Description],'2.Cash Flow'!$B35,CashFlowsData[Actual week],'2.Cash Flow'!N$10,CashFlowsData[Actual Year],'2.Cash Flow'!N$9)</f>
        <v>0</v>
      </c>
      <c r="O35" s="18">
        <f ca="1">SUMIFS(CashFlowsData[InUSD],CashFlowsData[Overdue],0,CashFlowsData[Class Description],'2.Cash Flow'!$B35,CashFlowsData[Actual week],'2.Cash Flow'!O$10,CashFlowsData[Actual Year],'2.Cash Flow'!O$9)</f>
        <v>0</v>
      </c>
      <c r="P35" s="17">
        <f ca="1">SUMIFS(CashFlowsData[InUSD],CashFlowsData[Overdue],0,CashFlowsData[Class Description],'2.Cash Flow'!$B35,CashFlowsData[Effective Date],"&gt;"&amp;(O$11+7))</f>
        <v>0</v>
      </c>
    </row>
    <row r="36" spans="1:17" ht="12" hidden="1" x14ac:dyDescent="0.2">
      <c r="A36" s="16"/>
      <c r="B36" s="27"/>
      <c r="C36" s="18">
        <f ca="1">SUMIFS(CashFlowsData[InUSD],CashFlowsData[Overdue],1,CashFlowsData[Class Description],'2.Cash Flow'!$B36,CashFlowsData[Actual week],'2.Cash Flow'!C$10,CashFlowsData[Actual Year],'2.Cash Flow'!C$9)</f>
        <v>0</v>
      </c>
      <c r="D36" s="18">
        <f ca="1">SUMIFS(CashFlowsData[InUSD],CashFlowsData[Overdue],0,CashFlowsData[Class Description],'2.Cash Flow'!$B36,CashFlowsData[Actual week],'2.Cash Flow'!D$10,CashFlowsData[Actual Year],'2.Cash Flow'!D$9)</f>
        <v>0</v>
      </c>
      <c r="E36" s="18">
        <f ca="1">SUMIFS(CashFlowsData[InUSD],CashFlowsData[Overdue],0,CashFlowsData[Class Description],'2.Cash Flow'!$B36,CashFlowsData[Actual week],'2.Cash Flow'!E$10,CashFlowsData[Actual Year],'2.Cash Flow'!E$9)</f>
        <v>0</v>
      </c>
      <c r="F36" s="18">
        <f ca="1">SUMIFS(CashFlowsData[InUSD],CashFlowsData[Overdue],0,CashFlowsData[Class Description],'2.Cash Flow'!$B36,CashFlowsData[Actual week],'2.Cash Flow'!F$10,CashFlowsData[Actual Year],'2.Cash Flow'!F$9)</f>
        <v>0</v>
      </c>
      <c r="G36" s="18">
        <f ca="1">SUMIFS(CashFlowsData[InUSD],CashFlowsData[Overdue],0,CashFlowsData[Class Description],'2.Cash Flow'!$B36,CashFlowsData[Actual week],'2.Cash Flow'!G$10,CashFlowsData[Actual Year],'2.Cash Flow'!G$9)</f>
        <v>0</v>
      </c>
      <c r="H36" s="18">
        <f ca="1">SUMIFS(CashFlowsData[InUSD],CashFlowsData[Overdue],0,CashFlowsData[Class Description],'2.Cash Flow'!$B36,CashFlowsData[Actual week],'2.Cash Flow'!H$10,CashFlowsData[Actual Year],'2.Cash Flow'!H$9)</f>
        <v>0</v>
      </c>
      <c r="I36" s="18">
        <f ca="1">SUMIFS(CashFlowsData[InUSD],CashFlowsData[Overdue],0,CashFlowsData[Class Description],'2.Cash Flow'!$B36,CashFlowsData[Actual week],'2.Cash Flow'!I$10,CashFlowsData[Actual Year],'2.Cash Flow'!I$9)</f>
        <v>0</v>
      </c>
      <c r="J36" s="18">
        <f ca="1">SUMIFS(CashFlowsData[InUSD],CashFlowsData[Overdue],0,CashFlowsData[Class Description],'2.Cash Flow'!$B36,CashFlowsData[Actual week],'2.Cash Flow'!J$10,CashFlowsData[Actual Year],'2.Cash Flow'!J$9)</f>
        <v>0</v>
      </c>
      <c r="K36" s="18">
        <f ca="1">SUMIFS(CashFlowsData[InUSD],CashFlowsData[Overdue],0,CashFlowsData[Class Description],'2.Cash Flow'!$B36,CashFlowsData[Actual week],'2.Cash Flow'!K$10,CashFlowsData[Actual Year],'2.Cash Flow'!K$9)</f>
        <v>0</v>
      </c>
      <c r="L36" s="18">
        <f ca="1">SUMIFS(CashFlowsData[InUSD],CashFlowsData[Overdue],0,CashFlowsData[Class Description],'2.Cash Flow'!$B36,CashFlowsData[Actual week],'2.Cash Flow'!L$10,CashFlowsData[Actual Year],'2.Cash Flow'!L$9)</f>
        <v>0</v>
      </c>
      <c r="M36" s="18">
        <f ca="1">SUMIFS(CashFlowsData[InUSD],CashFlowsData[Overdue],0,CashFlowsData[Class Description],'2.Cash Flow'!$B36,CashFlowsData[Actual week],'2.Cash Flow'!M$10,CashFlowsData[Actual Year],'2.Cash Flow'!M$9)</f>
        <v>0</v>
      </c>
      <c r="N36" s="18">
        <f ca="1">SUMIFS(CashFlowsData[InUSD],CashFlowsData[Overdue],0,CashFlowsData[Class Description],'2.Cash Flow'!$B36,CashFlowsData[Actual week],'2.Cash Flow'!N$10,CashFlowsData[Actual Year],'2.Cash Flow'!N$9)</f>
        <v>0</v>
      </c>
      <c r="O36" s="18">
        <f ca="1">SUMIFS(CashFlowsData[InUSD],CashFlowsData[Overdue],0,CashFlowsData[Class Description],'2.Cash Flow'!$B36,CashFlowsData[Actual week],'2.Cash Flow'!O$10,CashFlowsData[Actual Year],'2.Cash Flow'!O$9)</f>
        <v>0</v>
      </c>
      <c r="P36" s="17">
        <f ca="1">SUMIFS(CashFlowsData[InUSD],CashFlowsData[Overdue],0,CashFlowsData[Class Description],'2.Cash Flow'!$B36,CashFlowsData[Effective Date],"&gt;"&amp;(O$11+7))</f>
        <v>0</v>
      </c>
    </row>
    <row r="37" spans="1:17" ht="12" hidden="1" x14ac:dyDescent="0.2">
      <c r="A37" s="16"/>
      <c r="B37" s="27"/>
      <c r="C37" s="18">
        <f ca="1">SUMIFS(CashFlowsData[InUSD],CashFlowsData[Overdue],1,CashFlowsData[Class Description],'2.Cash Flow'!$B37,CashFlowsData[Actual week],'2.Cash Flow'!C$10,CashFlowsData[Actual Year],'2.Cash Flow'!C$9)</f>
        <v>0</v>
      </c>
      <c r="D37" s="18">
        <f ca="1">SUMIFS(CashFlowsData[InUSD],CashFlowsData[Overdue],0,CashFlowsData[Class Description],'2.Cash Flow'!$B37,CashFlowsData[Actual week],'2.Cash Flow'!D$10,CashFlowsData[Actual Year],'2.Cash Flow'!D$9)</f>
        <v>0</v>
      </c>
      <c r="E37" s="18">
        <f ca="1">SUMIFS(CashFlowsData[InUSD],CashFlowsData[Overdue],0,CashFlowsData[Class Description],'2.Cash Flow'!$B37,CashFlowsData[Actual week],'2.Cash Flow'!E$10,CashFlowsData[Actual Year],'2.Cash Flow'!E$9)</f>
        <v>0</v>
      </c>
      <c r="F37" s="18">
        <f ca="1">SUMIFS(CashFlowsData[InUSD],CashFlowsData[Overdue],0,CashFlowsData[Class Description],'2.Cash Flow'!$B37,CashFlowsData[Actual week],'2.Cash Flow'!F$10,CashFlowsData[Actual Year],'2.Cash Flow'!F$9)</f>
        <v>0</v>
      </c>
      <c r="G37" s="18">
        <f ca="1">SUMIFS(CashFlowsData[InUSD],CashFlowsData[Overdue],0,CashFlowsData[Class Description],'2.Cash Flow'!$B37,CashFlowsData[Actual week],'2.Cash Flow'!G$10,CashFlowsData[Actual Year],'2.Cash Flow'!G$9)</f>
        <v>0</v>
      </c>
      <c r="H37" s="18">
        <f ca="1">SUMIFS(CashFlowsData[InUSD],CashFlowsData[Overdue],0,CashFlowsData[Class Description],'2.Cash Flow'!$B37,CashFlowsData[Actual week],'2.Cash Flow'!H$10,CashFlowsData[Actual Year],'2.Cash Flow'!H$9)</f>
        <v>0</v>
      </c>
      <c r="I37" s="18">
        <f ca="1">SUMIFS(CashFlowsData[InUSD],CashFlowsData[Overdue],0,CashFlowsData[Class Description],'2.Cash Flow'!$B37,CashFlowsData[Actual week],'2.Cash Flow'!I$10,CashFlowsData[Actual Year],'2.Cash Flow'!I$9)</f>
        <v>0</v>
      </c>
      <c r="J37" s="18">
        <f ca="1">SUMIFS(CashFlowsData[InUSD],CashFlowsData[Overdue],0,CashFlowsData[Class Description],'2.Cash Flow'!$B37,CashFlowsData[Actual week],'2.Cash Flow'!J$10,CashFlowsData[Actual Year],'2.Cash Flow'!J$9)</f>
        <v>0</v>
      </c>
      <c r="K37" s="18">
        <f ca="1">SUMIFS(CashFlowsData[InUSD],CashFlowsData[Overdue],0,CashFlowsData[Class Description],'2.Cash Flow'!$B37,CashFlowsData[Actual week],'2.Cash Flow'!K$10,CashFlowsData[Actual Year],'2.Cash Flow'!K$9)</f>
        <v>0</v>
      </c>
      <c r="L37" s="18">
        <f ca="1">SUMIFS(CashFlowsData[InUSD],CashFlowsData[Overdue],0,CashFlowsData[Class Description],'2.Cash Flow'!$B37,CashFlowsData[Actual week],'2.Cash Flow'!L$10,CashFlowsData[Actual Year],'2.Cash Flow'!L$9)</f>
        <v>0</v>
      </c>
      <c r="M37" s="18">
        <f ca="1">SUMIFS(CashFlowsData[InUSD],CashFlowsData[Overdue],0,CashFlowsData[Class Description],'2.Cash Flow'!$B37,CashFlowsData[Actual week],'2.Cash Flow'!M$10,CashFlowsData[Actual Year],'2.Cash Flow'!M$9)</f>
        <v>0</v>
      </c>
      <c r="N37" s="18">
        <f ca="1">SUMIFS(CashFlowsData[InUSD],CashFlowsData[Overdue],0,CashFlowsData[Class Description],'2.Cash Flow'!$B37,CashFlowsData[Actual week],'2.Cash Flow'!N$10,CashFlowsData[Actual Year],'2.Cash Flow'!N$9)</f>
        <v>0</v>
      </c>
      <c r="O37" s="18">
        <f ca="1">SUMIFS(CashFlowsData[InUSD],CashFlowsData[Overdue],0,CashFlowsData[Class Description],'2.Cash Flow'!$B37,CashFlowsData[Actual week],'2.Cash Flow'!O$10,CashFlowsData[Actual Year],'2.Cash Flow'!O$9)</f>
        <v>0</v>
      </c>
      <c r="P37" s="17">
        <f ca="1">SUMIFS(CashFlowsData[InUSD],CashFlowsData[Overdue],0,CashFlowsData[Class Description],'2.Cash Flow'!$B37,CashFlowsData[Effective Date],"&gt;"&amp;(O$11+7))</f>
        <v>0</v>
      </c>
    </row>
    <row r="38" spans="1:17" ht="12" hidden="1" x14ac:dyDescent="0.2">
      <c r="A38" s="16"/>
      <c r="B38" s="27"/>
      <c r="C38" s="18">
        <f ca="1">SUMIFS(CashFlowsData[InUSD],CashFlowsData[Overdue],1,CashFlowsData[Class Description],'2.Cash Flow'!$B38,CashFlowsData[Actual week],'2.Cash Flow'!C$10,CashFlowsData[Actual Year],'2.Cash Flow'!C$9)</f>
        <v>0</v>
      </c>
      <c r="D38" s="18">
        <f ca="1">SUMIFS(CashFlowsData[InUSD],CashFlowsData[Overdue],0,CashFlowsData[Class Description],'2.Cash Flow'!$B38,CashFlowsData[Actual week],'2.Cash Flow'!D$10,CashFlowsData[Actual Year],'2.Cash Flow'!D$9)</f>
        <v>0</v>
      </c>
      <c r="E38" s="18">
        <f ca="1">SUMIFS(CashFlowsData[InUSD],CashFlowsData[Overdue],0,CashFlowsData[Class Description],'2.Cash Flow'!$B38,CashFlowsData[Actual week],'2.Cash Flow'!E$10,CashFlowsData[Actual Year],'2.Cash Flow'!E$9)</f>
        <v>0</v>
      </c>
      <c r="F38" s="18">
        <f ca="1">SUMIFS(CashFlowsData[InUSD],CashFlowsData[Overdue],0,CashFlowsData[Class Description],'2.Cash Flow'!$B38,CashFlowsData[Actual week],'2.Cash Flow'!F$10,CashFlowsData[Actual Year],'2.Cash Flow'!F$9)</f>
        <v>0</v>
      </c>
      <c r="G38" s="18">
        <f ca="1">SUMIFS(CashFlowsData[InUSD],CashFlowsData[Overdue],0,CashFlowsData[Class Description],'2.Cash Flow'!$B38,CashFlowsData[Actual week],'2.Cash Flow'!G$10,CashFlowsData[Actual Year],'2.Cash Flow'!G$9)</f>
        <v>0</v>
      </c>
      <c r="H38" s="18">
        <f ca="1">SUMIFS(CashFlowsData[InUSD],CashFlowsData[Overdue],0,CashFlowsData[Class Description],'2.Cash Flow'!$B38,CashFlowsData[Actual week],'2.Cash Flow'!H$10,CashFlowsData[Actual Year],'2.Cash Flow'!H$9)</f>
        <v>0</v>
      </c>
      <c r="I38" s="18">
        <f ca="1">SUMIFS(CashFlowsData[InUSD],CashFlowsData[Overdue],0,CashFlowsData[Class Description],'2.Cash Flow'!$B38,CashFlowsData[Actual week],'2.Cash Flow'!I$10,CashFlowsData[Actual Year],'2.Cash Flow'!I$9)</f>
        <v>0</v>
      </c>
      <c r="J38" s="18">
        <f ca="1">SUMIFS(CashFlowsData[InUSD],CashFlowsData[Overdue],0,CashFlowsData[Class Description],'2.Cash Flow'!$B38,CashFlowsData[Actual week],'2.Cash Flow'!J$10,CashFlowsData[Actual Year],'2.Cash Flow'!J$9)</f>
        <v>0</v>
      </c>
      <c r="K38" s="18">
        <f ca="1">SUMIFS(CashFlowsData[InUSD],CashFlowsData[Overdue],0,CashFlowsData[Class Description],'2.Cash Flow'!$B38,CashFlowsData[Actual week],'2.Cash Flow'!K$10,CashFlowsData[Actual Year],'2.Cash Flow'!K$9)</f>
        <v>0</v>
      </c>
      <c r="L38" s="18">
        <f ca="1">SUMIFS(CashFlowsData[InUSD],CashFlowsData[Overdue],0,CashFlowsData[Class Description],'2.Cash Flow'!$B38,CashFlowsData[Actual week],'2.Cash Flow'!L$10,CashFlowsData[Actual Year],'2.Cash Flow'!L$9)</f>
        <v>0</v>
      </c>
      <c r="M38" s="18">
        <f ca="1">SUMIFS(CashFlowsData[InUSD],CashFlowsData[Overdue],0,CashFlowsData[Class Description],'2.Cash Flow'!$B38,CashFlowsData[Actual week],'2.Cash Flow'!M$10,CashFlowsData[Actual Year],'2.Cash Flow'!M$9)</f>
        <v>0</v>
      </c>
      <c r="N38" s="18">
        <f ca="1">SUMIFS(CashFlowsData[InUSD],CashFlowsData[Overdue],0,CashFlowsData[Class Description],'2.Cash Flow'!$B38,CashFlowsData[Actual week],'2.Cash Flow'!N$10,CashFlowsData[Actual Year],'2.Cash Flow'!N$9)</f>
        <v>0</v>
      </c>
      <c r="O38" s="18">
        <f ca="1">SUMIFS(CashFlowsData[InUSD],CashFlowsData[Overdue],0,CashFlowsData[Class Description],'2.Cash Flow'!$B38,CashFlowsData[Actual week],'2.Cash Flow'!O$10,CashFlowsData[Actual Year],'2.Cash Flow'!O$9)</f>
        <v>0</v>
      </c>
      <c r="P38" s="17">
        <f ca="1">SUMIFS(CashFlowsData[InUSD],CashFlowsData[Overdue],0,CashFlowsData[Class Description],'2.Cash Flow'!$B38,CashFlowsData[Effective Date],"&gt;"&amp;(O$11+7))</f>
        <v>0</v>
      </c>
    </row>
    <row r="39" spans="1:17" ht="12" hidden="1" x14ac:dyDescent="0.2">
      <c r="A39" s="16"/>
      <c r="B39" s="27"/>
      <c r="C39" s="18">
        <f ca="1">SUMIFS(CashFlowsData[InUSD],CashFlowsData[Overdue],1,CashFlowsData[Class Description],'2.Cash Flow'!$B39,CashFlowsData[Actual week],'2.Cash Flow'!C$10,CashFlowsData[Actual Year],'2.Cash Flow'!C$9)</f>
        <v>0</v>
      </c>
      <c r="D39" s="18">
        <f ca="1">SUMIFS(CashFlowsData[InUSD],CashFlowsData[Overdue],0,CashFlowsData[Class Description],'2.Cash Flow'!$B39,CashFlowsData[Actual week],'2.Cash Flow'!D$10,CashFlowsData[Actual Year],'2.Cash Flow'!D$9)</f>
        <v>0</v>
      </c>
      <c r="E39" s="18">
        <f ca="1">SUMIFS(CashFlowsData[InUSD],CashFlowsData[Overdue],0,CashFlowsData[Class Description],'2.Cash Flow'!$B39,CashFlowsData[Actual week],'2.Cash Flow'!E$10,CashFlowsData[Actual Year],'2.Cash Flow'!E$9)</f>
        <v>0</v>
      </c>
      <c r="F39" s="18">
        <f ca="1">SUMIFS(CashFlowsData[InUSD],CashFlowsData[Overdue],0,CashFlowsData[Class Description],'2.Cash Flow'!$B39,CashFlowsData[Actual week],'2.Cash Flow'!F$10,CashFlowsData[Actual Year],'2.Cash Flow'!F$9)</f>
        <v>0</v>
      </c>
      <c r="G39" s="18">
        <f ca="1">SUMIFS(CashFlowsData[InUSD],CashFlowsData[Overdue],0,CashFlowsData[Class Description],'2.Cash Flow'!$B39,CashFlowsData[Actual week],'2.Cash Flow'!G$10,CashFlowsData[Actual Year],'2.Cash Flow'!G$9)</f>
        <v>0</v>
      </c>
      <c r="H39" s="18">
        <f ca="1">SUMIFS(CashFlowsData[InUSD],CashFlowsData[Overdue],0,CashFlowsData[Class Description],'2.Cash Flow'!$B39,CashFlowsData[Actual week],'2.Cash Flow'!H$10,CashFlowsData[Actual Year],'2.Cash Flow'!H$9)</f>
        <v>0</v>
      </c>
      <c r="I39" s="18">
        <f ca="1">SUMIFS(CashFlowsData[InUSD],CashFlowsData[Overdue],0,CashFlowsData[Class Description],'2.Cash Flow'!$B39,CashFlowsData[Actual week],'2.Cash Flow'!I$10,CashFlowsData[Actual Year],'2.Cash Flow'!I$9)</f>
        <v>0</v>
      </c>
      <c r="J39" s="18">
        <f ca="1">SUMIFS(CashFlowsData[InUSD],CashFlowsData[Overdue],0,CashFlowsData[Class Description],'2.Cash Flow'!$B39,CashFlowsData[Actual week],'2.Cash Flow'!J$10,CashFlowsData[Actual Year],'2.Cash Flow'!J$9)</f>
        <v>0</v>
      </c>
      <c r="K39" s="18">
        <f ca="1">SUMIFS(CashFlowsData[InUSD],CashFlowsData[Overdue],0,CashFlowsData[Class Description],'2.Cash Flow'!$B39,CashFlowsData[Actual week],'2.Cash Flow'!K$10,CashFlowsData[Actual Year],'2.Cash Flow'!K$9)</f>
        <v>0</v>
      </c>
      <c r="L39" s="18">
        <f ca="1">SUMIFS(CashFlowsData[InUSD],CashFlowsData[Overdue],0,CashFlowsData[Class Description],'2.Cash Flow'!$B39,CashFlowsData[Actual week],'2.Cash Flow'!L$10,CashFlowsData[Actual Year],'2.Cash Flow'!L$9)</f>
        <v>0</v>
      </c>
      <c r="M39" s="18">
        <f ca="1">SUMIFS(CashFlowsData[InUSD],CashFlowsData[Overdue],0,CashFlowsData[Class Description],'2.Cash Flow'!$B39,CashFlowsData[Actual week],'2.Cash Flow'!M$10,CashFlowsData[Actual Year],'2.Cash Flow'!M$9)</f>
        <v>0</v>
      </c>
      <c r="N39" s="18">
        <f ca="1">SUMIFS(CashFlowsData[InUSD],CashFlowsData[Overdue],0,CashFlowsData[Class Description],'2.Cash Flow'!$B39,CashFlowsData[Actual week],'2.Cash Flow'!N$10,CashFlowsData[Actual Year],'2.Cash Flow'!N$9)</f>
        <v>0</v>
      </c>
      <c r="O39" s="18">
        <f ca="1">SUMIFS(CashFlowsData[InUSD],CashFlowsData[Overdue],0,CashFlowsData[Class Description],'2.Cash Flow'!$B39,CashFlowsData[Actual week],'2.Cash Flow'!O$10,CashFlowsData[Actual Year],'2.Cash Flow'!O$9)</f>
        <v>0</v>
      </c>
      <c r="P39" s="17">
        <f ca="1">SUMIFS(CashFlowsData[InUSD],CashFlowsData[Overdue],0,CashFlowsData[Class Description],'2.Cash Flow'!$B39,CashFlowsData[Effective Date],"&gt;"&amp;(O$11+7))</f>
        <v>0</v>
      </c>
    </row>
    <row r="40" spans="1:17" ht="12" hidden="1" x14ac:dyDescent="0.2">
      <c r="A40" s="16"/>
      <c r="B40" s="27"/>
      <c r="C40" s="18">
        <f ca="1">SUMIFS(CashFlowsData[InUSD],CashFlowsData[Overdue],1,CashFlowsData[Class Description],'2.Cash Flow'!$B40,CashFlowsData[Actual week],'2.Cash Flow'!C$10,CashFlowsData[Actual Year],'2.Cash Flow'!C$9)</f>
        <v>0</v>
      </c>
      <c r="D40" s="18">
        <f ca="1">SUMIFS(CashFlowsData[InUSD],CashFlowsData[Overdue],0,CashFlowsData[Class Description],'2.Cash Flow'!$B40,CashFlowsData[Actual week],'2.Cash Flow'!D$10,CashFlowsData[Actual Year],'2.Cash Flow'!D$9)</f>
        <v>0</v>
      </c>
      <c r="E40" s="18">
        <f ca="1">SUMIFS(CashFlowsData[InUSD],CashFlowsData[Overdue],0,CashFlowsData[Class Description],'2.Cash Flow'!$B40,CashFlowsData[Actual week],'2.Cash Flow'!E$10,CashFlowsData[Actual Year],'2.Cash Flow'!E$9)</f>
        <v>0</v>
      </c>
      <c r="F40" s="18">
        <f ca="1">SUMIFS(CashFlowsData[InUSD],CashFlowsData[Overdue],0,CashFlowsData[Class Description],'2.Cash Flow'!$B40,CashFlowsData[Actual week],'2.Cash Flow'!F$10,CashFlowsData[Actual Year],'2.Cash Flow'!F$9)</f>
        <v>0</v>
      </c>
      <c r="G40" s="18">
        <f ca="1">SUMIFS(CashFlowsData[InUSD],CashFlowsData[Overdue],0,CashFlowsData[Class Description],'2.Cash Flow'!$B40,CashFlowsData[Actual week],'2.Cash Flow'!G$10,CashFlowsData[Actual Year],'2.Cash Flow'!G$9)</f>
        <v>0</v>
      </c>
      <c r="H40" s="18">
        <f ca="1">SUMIFS(CashFlowsData[InUSD],CashFlowsData[Overdue],0,CashFlowsData[Class Description],'2.Cash Flow'!$B40,CashFlowsData[Actual week],'2.Cash Flow'!H$10,CashFlowsData[Actual Year],'2.Cash Flow'!H$9)</f>
        <v>0</v>
      </c>
      <c r="I40" s="18">
        <f ca="1">SUMIFS(CashFlowsData[InUSD],CashFlowsData[Overdue],0,CashFlowsData[Class Description],'2.Cash Flow'!$B40,CashFlowsData[Actual week],'2.Cash Flow'!I$10,CashFlowsData[Actual Year],'2.Cash Flow'!I$9)</f>
        <v>0</v>
      </c>
      <c r="J40" s="18">
        <f ca="1">SUMIFS(CashFlowsData[InUSD],CashFlowsData[Overdue],0,CashFlowsData[Class Description],'2.Cash Flow'!$B40,CashFlowsData[Actual week],'2.Cash Flow'!J$10,CashFlowsData[Actual Year],'2.Cash Flow'!J$9)</f>
        <v>0</v>
      </c>
      <c r="K40" s="18">
        <f ca="1">SUMIFS(CashFlowsData[InUSD],CashFlowsData[Overdue],0,CashFlowsData[Class Description],'2.Cash Flow'!$B40,CashFlowsData[Actual week],'2.Cash Flow'!K$10,CashFlowsData[Actual Year],'2.Cash Flow'!K$9)</f>
        <v>0</v>
      </c>
      <c r="L40" s="18">
        <f ca="1">SUMIFS(CashFlowsData[InUSD],CashFlowsData[Overdue],0,CashFlowsData[Class Description],'2.Cash Flow'!$B40,CashFlowsData[Actual week],'2.Cash Flow'!L$10,CashFlowsData[Actual Year],'2.Cash Flow'!L$9)</f>
        <v>0</v>
      </c>
      <c r="M40" s="18">
        <f ca="1">SUMIFS(CashFlowsData[InUSD],CashFlowsData[Overdue],0,CashFlowsData[Class Description],'2.Cash Flow'!$B40,CashFlowsData[Actual week],'2.Cash Flow'!M$10,CashFlowsData[Actual Year],'2.Cash Flow'!M$9)</f>
        <v>0</v>
      </c>
      <c r="N40" s="18">
        <f ca="1">SUMIFS(CashFlowsData[InUSD],CashFlowsData[Overdue],0,CashFlowsData[Class Description],'2.Cash Flow'!$B40,CashFlowsData[Actual week],'2.Cash Flow'!N$10,CashFlowsData[Actual Year],'2.Cash Flow'!N$9)</f>
        <v>0</v>
      </c>
      <c r="O40" s="18">
        <f ca="1">SUMIFS(CashFlowsData[InUSD],CashFlowsData[Overdue],0,CashFlowsData[Class Description],'2.Cash Flow'!$B40,CashFlowsData[Actual week],'2.Cash Flow'!O$10,CashFlowsData[Actual Year],'2.Cash Flow'!O$9)</f>
        <v>0</v>
      </c>
      <c r="P40" s="17">
        <f ca="1">SUMIFS(CashFlowsData[InUSD],CashFlowsData[Overdue],0,CashFlowsData[Class Description],'2.Cash Flow'!$B40,CashFlowsData[Effective Date],"&gt;"&amp;(O$11+7))</f>
        <v>0</v>
      </c>
    </row>
    <row r="41" spans="1:17" ht="12" hidden="1" x14ac:dyDescent="0.2">
      <c r="A41" s="16"/>
      <c r="B41" s="27"/>
      <c r="C41" s="18">
        <f ca="1">SUMIFS(CashFlowsData[InUSD],CashFlowsData[Overdue],1,CashFlowsData[Class Description],'2.Cash Flow'!$B41,CashFlowsData[Actual week],'2.Cash Flow'!C$10,CashFlowsData[Actual Year],'2.Cash Flow'!C$9)</f>
        <v>0</v>
      </c>
      <c r="D41" s="18">
        <f ca="1">SUMIFS(CashFlowsData[InUSD],CashFlowsData[Overdue],0,CashFlowsData[Class Description],'2.Cash Flow'!$B41,CashFlowsData[Actual week],'2.Cash Flow'!D$10,CashFlowsData[Actual Year],'2.Cash Flow'!D$9)</f>
        <v>0</v>
      </c>
      <c r="E41" s="18">
        <f ca="1">SUMIFS(CashFlowsData[InUSD],CashFlowsData[Overdue],0,CashFlowsData[Class Description],'2.Cash Flow'!$B41,CashFlowsData[Actual week],'2.Cash Flow'!E$10,CashFlowsData[Actual Year],'2.Cash Flow'!E$9)</f>
        <v>0</v>
      </c>
      <c r="F41" s="18">
        <f ca="1">SUMIFS(CashFlowsData[InUSD],CashFlowsData[Overdue],0,CashFlowsData[Class Description],'2.Cash Flow'!$B41,CashFlowsData[Actual week],'2.Cash Flow'!F$10,CashFlowsData[Actual Year],'2.Cash Flow'!F$9)</f>
        <v>0</v>
      </c>
      <c r="G41" s="18">
        <f ca="1">SUMIFS(CashFlowsData[InUSD],CashFlowsData[Overdue],0,CashFlowsData[Class Description],'2.Cash Flow'!$B41,CashFlowsData[Actual week],'2.Cash Flow'!G$10,CashFlowsData[Actual Year],'2.Cash Flow'!G$9)</f>
        <v>0</v>
      </c>
      <c r="H41" s="18">
        <f ca="1">SUMIFS(CashFlowsData[InUSD],CashFlowsData[Overdue],0,CashFlowsData[Class Description],'2.Cash Flow'!$B41,CashFlowsData[Actual week],'2.Cash Flow'!H$10,CashFlowsData[Actual Year],'2.Cash Flow'!H$9)</f>
        <v>0</v>
      </c>
      <c r="I41" s="18">
        <f ca="1">SUMIFS(CashFlowsData[InUSD],CashFlowsData[Overdue],0,CashFlowsData[Class Description],'2.Cash Flow'!$B41,CashFlowsData[Actual week],'2.Cash Flow'!I$10,CashFlowsData[Actual Year],'2.Cash Flow'!I$9)</f>
        <v>0</v>
      </c>
      <c r="J41" s="18">
        <f ca="1">SUMIFS(CashFlowsData[InUSD],CashFlowsData[Overdue],0,CashFlowsData[Class Description],'2.Cash Flow'!$B41,CashFlowsData[Actual week],'2.Cash Flow'!J$10,CashFlowsData[Actual Year],'2.Cash Flow'!J$9)</f>
        <v>0</v>
      </c>
      <c r="K41" s="18">
        <f ca="1">SUMIFS(CashFlowsData[InUSD],CashFlowsData[Overdue],0,CashFlowsData[Class Description],'2.Cash Flow'!$B41,CashFlowsData[Actual week],'2.Cash Flow'!K$10,CashFlowsData[Actual Year],'2.Cash Flow'!K$9)</f>
        <v>0</v>
      </c>
      <c r="L41" s="18">
        <f ca="1">SUMIFS(CashFlowsData[InUSD],CashFlowsData[Overdue],0,CashFlowsData[Class Description],'2.Cash Flow'!$B41,CashFlowsData[Actual week],'2.Cash Flow'!L$10,CashFlowsData[Actual Year],'2.Cash Flow'!L$9)</f>
        <v>0</v>
      </c>
      <c r="M41" s="18">
        <f ca="1">SUMIFS(CashFlowsData[InUSD],CashFlowsData[Overdue],0,CashFlowsData[Class Description],'2.Cash Flow'!$B41,CashFlowsData[Actual week],'2.Cash Flow'!M$10,CashFlowsData[Actual Year],'2.Cash Flow'!M$9)</f>
        <v>0</v>
      </c>
      <c r="N41" s="18">
        <f ca="1">SUMIFS(CashFlowsData[InUSD],CashFlowsData[Overdue],0,CashFlowsData[Class Description],'2.Cash Flow'!$B41,CashFlowsData[Actual week],'2.Cash Flow'!N$10,CashFlowsData[Actual Year],'2.Cash Flow'!N$9)</f>
        <v>0</v>
      </c>
      <c r="O41" s="18">
        <f ca="1">SUMIFS(CashFlowsData[InUSD],CashFlowsData[Overdue],0,CashFlowsData[Class Description],'2.Cash Flow'!$B41,CashFlowsData[Actual week],'2.Cash Flow'!O$10,CashFlowsData[Actual Year],'2.Cash Flow'!O$9)</f>
        <v>0</v>
      </c>
      <c r="P41" s="17">
        <f ca="1">SUMIFS(CashFlowsData[InUSD],CashFlowsData[Overdue],0,CashFlowsData[Class Description],'2.Cash Flow'!$B41,CashFlowsData[Effective Date],"&gt;"&amp;(O$11+7))</f>
        <v>0</v>
      </c>
    </row>
    <row r="42" spans="1:17" ht="12" hidden="1" x14ac:dyDescent="0.2">
      <c r="A42" s="16"/>
      <c r="B42" s="27"/>
      <c r="C42" s="18">
        <f ca="1">SUMIFS(CashFlowsData[InUSD],CashFlowsData[Overdue],1,CashFlowsData[Class Description],'2.Cash Flow'!$B42,CashFlowsData[Actual week],'2.Cash Flow'!C$10,CashFlowsData[Actual Year],'2.Cash Flow'!C$9)</f>
        <v>0</v>
      </c>
      <c r="D42" s="18">
        <f ca="1">SUMIFS(CashFlowsData[InUSD],CashFlowsData[Overdue],0,CashFlowsData[Class Description],'2.Cash Flow'!$B42,CashFlowsData[Actual week],'2.Cash Flow'!D$10,CashFlowsData[Actual Year],'2.Cash Flow'!D$9)</f>
        <v>0</v>
      </c>
      <c r="E42" s="18">
        <f ca="1">SUMIFS(CashFlowsData[InUSD],CashFlowsData[Overdue],0,CashFlowsData[Class Description],'2.Cash Flow'!$B42,CashFlowsData[Actual week],'2.Cash Flow'!E$10,CashFlowsData[Actual Year],'2.Cash Flow'!E$9)</f>
        <v>0</v>
      </c>
      <c r="F42" s="18">
        <f ca="1">SUMIFS(CashFlowsData[InUSD],CashFlowsData[Overdue],0,CashFlowsData[Class Description],'2.Cash Flow'!$B42,CashFlowsData[Actual week],'2.Cash Flow'!F$10,CashFlowsData[Actual Year],'2.Cash Flow'!F$9)</f>
        <v>0</v>
      </c>
      <c r="G42" s="18">
        <f ca="1">SUMIFS(CashFlowsData[InUSD],CashFlowsData[Overdue],0,CashFlowsData[Class Description],'2.Cash Flow'!$B42,CashFlowsData[Actual week],'2.Cash Flow'!G$10,CashFlowsData[Actual Year],'2.Cash Flow'!G$9)</f>
        <v>0</v>
      </c>
      <c r="H42" s="18">
        <f ca="1">SUMIFS(CashFlowsData[InUSD],CashFlowsData[Overdue],0,CashFlowsData[Class Description],'2.Cash Flow'!$B42,CashFlowsData[Actual week],'2.Cash Flow'!H$10,CashFlowsData[Actual Year],'2.Cash Flow'!H$9)</f>
        <v>0</v>
      </c>
      <c r="I42" s="18">
        <f ca="1">SUMIFS(CashFlowsData[InUSD],CashFlowsData[Overdue],0,CashFlowsData[Class Description],'2.Cash Flow'!$B42,CashFlowsData[Actual week],'2.Cash Flow'!I$10,CashFlowsData[Actual Year],'2.Cash Flow'!I$9)</f>
        <v>0</v>
      </c>
      <c r="J42" s="18">
        <f ca="1">SUMIFS(CashFlowsData[InUSD],CashFlowsData[Overdue],0,CashFlowsData[Class Description],'2.Cash Flow'!$B42,CashFlowsData[Actual week],'2.Cash Flow'!J$10,CashFlowsData[Actual Year],'2.Cash Flow'!J$9)</f>
        <v>0</v>
      </c>
      <c r="K42" s="18">
        <f ca="1">SUMIFS(CashFlowsData[InUSD],CashFlowsData[Overdue],0,CashFlowsData[Class Description],'2.Cash Flow'!$B42,CashFlowsData[Actual week],'2.Cash Flow'!K$10,CashFlowsData[Actual Year],'2.Cash Flow'!K$9)</f>
        <v>0</v>
      </c>
      <c r="L42" s="18">
        <f ca="1">SUMIFS(CashFlowsData[InUSD],CashFlowsData[Overdue],0,CashFlowsData[Class Description],'2.Cash Flow'!$B42,CashFlowsData[Actual week],'2.Cash Flow'!L$10,CashFlowsData[Actual Year],'2.Cash Flow'!L$9)</f>
        <v>0</v>
      </c>
      <c r="M42" s="18">
        <f ca="1">SUMIFS(CashFlowsData[InUSD],CashFlowsData[Overdue],0,CashFlowsData[Class Description],'2.Cash Flow'!$B42,CashFlowsData[Actual week],'2.Cash Flow'!M$10,CashFlowsData[Actual Year],'2.Cash Flow'!M$9)</f>
        <v>0</v>
      </c>
      <c r="N42" s="18">
        <f ca="1">SUMIFS(CashFlowsData[InUSD],CashFlowsData[Overdue],0,CashFlowsData[Class Description],'2.Cash Flow'!$B42,CashFlowsData[Actual week],'2.Cash Flow'!N$10,CashFlowsData[Actual Year],'2.Cash Flow'!N$9)</f>
        <v>0</v>
      </c>
      <c r="O42" s="18">
        <f ca="1">SUMIFS(CashFlowsData[InUSD],CashFlowsData[Overdue],0,CashFlowsData[Class Description],'2.Cash Flow'!$B42,CashFlowsData[Actual week],'2.Cash Flow'!O$10,CashFlowsData[Actual Year],'2.Cash Flow'!O$9)</f>
        <v>0</v>
      </c>
      <c r="P42" s="17">
        <f ca="1">SUMIFS(CashFlowsData[InUSD],CashFlowsData[Overdue],0,CashFlowsData[Class Description],'2.Cash Flow'!$B42,CashFlowsData[Effective Date],"&gt;"&amp;(O$11+7))</f>
        <v>0</v>
      </c>
    </row>
    <row r="43" spans="1:17" ht="12" hidden="1" x14ac:dyDescent="0.2">
      <c r="A43" s="16"/>
      <c r="B43" s="19"/>
      <c r="C43" s="18">
        <f ca="1">SUMIFS(CashFlowsData[InUSD],CashFlowsData[Overdue],1,CashFlowsData[Class Description],'2.Cash Flow'!$B43,CashFlowsData[Actual week],'2.Cash Flow'!C$10,CashFlowsData[Actual Year],'2.Cash Flow'!C$9)</f>
        <v>0</v>
      </c>
      <c r="D43" s="18">
        <f ca="1">SUMIFS(CashFlowsData[InUSD],CashFlowsData[Overdue],0,CashFlowsData[Class Description],'2.Cash Flow'!$B43,CashFlowsData[Actual week],'2.Cash Flow'!D$10,CashFlowsData[Actual Year],'2.Cash Flow'!D$9)</f>
        <v>0</v>
      </c>
      <c r="E43" s="18">
        <f ca="1">SUMIFS(CashFlowsData[InUSD],CashFlowsData[Overdue],0,CashFlowsData[Class Description],'2.Cash Flow'!$B43,CashFlowsData[Actual week],'2.Cash Flow'!E$10,CashFlowsData[Actual Year],'2.Cash Flow'!E$9)</f>
        <v>0</v>
      </c>
      <c r="F43" s="18">
        <f ca="1">SUMIFS(CashFlowsData[InUSD],CashFlowsData[Overdue],0,CashFlowsData[Class Description],'2.Cash Flow'!$B43,CashFlowsData[Actual week],'2.Cash Flow'!F$10,CashFlowsData[Actual Year],'2.Cash Flow'!F$9)</f>
        <v>0</v>
      </c>
      <c r="G43" s="18">
        <f ca="1">SUMIFS(CashFlowsData[InUSD],CashFlowsData[Overdue],0,CashFlowsData[Class Description],'2.Cash Flow'!$B43,CashFlowsData[Actual week],'2.Cash Flow'!G$10,CashFlowsData[Actual Year],'2.Cash Flow'!G$9)</f>
        <v>0</v>
      </c>
      <c r="H43" s="18">
        <f ca="1">SUMIFS(CashFlowsData[InUSD],CashFlowsData[Overdue],0,CashFlowsData[Class Description],'2.Cash Flow'!$B43,CashFlowsData[Actual week],'2.Cash Flow'!H$10,CashFlowsData[Actual Year],'2.Cash Flow'!H$9)</f>
        <v>0</v>
      </c>
      <c r="I43" s="18">
        <f ca="1">SUMIFS(CashFlowsData[InUSD],CashFlowsData[Overdue],0,CashFlowsData[Class Description],'2.Cash Flow'!$B43,CashFlowsData[Actual week],'2.Cash Flow'!I$10,CashFlowsData[Actual Year],'2.Cash Flow'!I$9)</f>
        <v>0</v>
      </c>
      <c r="J43" s="18">
        <f ca="1">SUMIFS(CashFlowsData[InUSD],CashFlowsData[Overdue],0,CashFlowsData[Class Description],'2.Cash Flow'!$B43,CashFlowsData[Actual week],'2.Cash Flow'!J$10,CashFlowsData[Actual Year],'2.Cash Flow'!J$9)</f>
        <v>0</v>
      </c>
      <c r="K43" s="18">
        <f ca="1">SUMIFS(CashFlowsData[InUSD],CashFlowsData[Overdue],0,CashFlowsData[Class Description],'2.Cash Flow'!$B43,CashFlowsData[Actual week],'2.Cash Flow'!K$10,CashFlowsData[Actual Year],'2.Cash Flow'!K$9)</f>
        <v>0</v>
      </c>
      <c r="L43" s="18">
        <f ca="1">SUMIFS(CashFlowsData[InUSD],CashFlowsData[Overdue],0,CashFlowsData[Class Description],'2.Cash Flow'!$B43,CashFlowsData[Actual week],'2.Cash Flow'!L$10,CashFlowsData[Actual Year],'2.Cash Flow'!L$9)</f>
        <v>0</v>
      </c>
      <c r="M43" s="18">
        <f ca="1">SUMIFS(CashFlowsData[InUSD],CashFlowsData[Overdue],0,CashFlowsData[Class Description],'2.Cash Flow'!$B43,CashFlowsData[Actual week],'2.Cash Flow'!M$10,CashFlowsData[Actual Year],'2.Cash Flow'!M$9)</f>
        <v>0</v>
      </c>
      <c r="N43" s="18">
        <f ca="1">SUMIFS(CashFlowsData[InUSD],CashFlowsData[Overdue],0,CashFlowsData[Class Description],'2.Cash Flow'!$B43,CashFlowsData[Actual week],'2.Cash Flow'!N$10,CashFlowsData[Actual Year],'2.Cash Flow'!N$9)</f>
        <v>0</v>
      </c>
      <c r="O43" s="18">
        <f ca="1">SUMIFS(CashFlowsData[InUSD],CashFlowsData[Overdue],0,CashFlowsData[Class Description],'2.Cash Flow'!$B43,CashFlowsData[Actual week],'2.Cash Flow'!O$10,CashFlowsData[Actual Year],'2.Cash Flow'!O$9)</f>
        <v>0</v>
      </c>
      <c r="P43" s="17">
        <f ca="1">SUMIFS(CashFlowsData[InUSD],CashFlowsData[Overdue],0,CashFlowsData[Class Description],'2.Cash Flow'!$B43,CashFlowsData[Effective Date],"&gt;"&amp;(O$11+7))</f>
        <v>0</v>
      </c>
    </row>
    <row r="44" spans="1:17" ht="12" hidden="1" x14ac:dyDescent="0.2">
      <c r="A44" s="16"/>
      <c r="B44" s="19"/>
      <c r="C44" s="18">
        <f ca="1">SUMIFS(CashFlowsData[InUSD],CashFlowsData[Overdue],1,CashFlowsData[Class Description],'2.Cash Flow'!$B44,CashFlowsData[Actual week],'2.Cash Flow'!C$10,CashFlowsData[Actual Year],'2.Cash Flow'!C$9)</f>
        <v>0</v>
      </c>
      <c r="D44" s="18">
        <f ca="1">SUMIFS(CashFlowsData[InUSD],CashFlowsData[Overdue],0,CashFlowsData[Class Description],'2.Cash Flow'!$B44,CashFlowsData[Actual week],'2.Cash Flow'!D$10,CashFlowsData[Actual Year],'2.Cash Flow'!D$9)</f>
        <v>0</v>
      </c>
      <c r="E44" s="18">
        <f ca="1">SUMIFS(CashFlowsData[InUSD],CashFlowsData[Overdue],0,CashFlowsData[Class Description],'2.Cash Flow'!$B44,CashFlowsData[Actual week],'2.Cash Flow'!E$10,CashFlowsData[Actual Year],'2.Cash Flow'!E$9)</f>
        <v>0</v>
      </c>
      <c r="F44" s="18">
        <f ca="1">SUMIFS(CashFlowsData[InUSD],CashFlowsData[Overdue],0,CashFlowsData[Class Description],'2.Cash Flow'!$B44,CashFlowsData[Actual week],'2.Cash Flow'!F$10,CashFlowsData[Actual Year],'2.Cash Flow'!F$9)</f>
        <v>0</v>
      </c>
      <c r="G44" s="18">
        <f ca="1">SUMIFS(CashFlowsData[InUSD],CashFlowsData[Overdue],0,CashFlowsData[Class Description],'2.Cash Flow'!$B44,CashFlowsData[Actual week],'2.Cash Flow'!G$10,CashFlowsData[Actual Year],'2.Cash Flow'!G$9)</f>
        <v>0</v>
      </c>
      <c r="H44" s="18">
        <f ca="1">SUMIFS(CashFlowsData[InUSD],CashFlowsData[Overdue],0,CashFlowsData[Class Description],'2.Cash Flow'!$B44,CashFlowsData[Actual week],'2.Cash Flow'!H$10,CashFlowsData[Actual Year],'2.Cash Flow'!H$9)</f>
        <v>0</v>
      </c>
      <c r="I44" s="18">
        <f ca="1">SUMIFS(CashFlowsData[InUSD],CashFlowsData[Overdue],0,CashFlowsData[Class Description],'2.Cash Flow'!$B44,CashFlowsData[Actual week],'2.Cash Flow'!I$10,CashFlowsData[Actual Year],'2.Cash Flow'!I$9)</f>
        <v>0</v>
      </c>
      <c r="J44" s="18">
        <f ca="1">SUMIFS(CashFlowsData[InUSD],CashFlowsData[Overdue],0,CashFlowsData[Class Description],'2.Cash Flow'!$B44,CashFlowsData[Actual week],'2.Cash Flow'!J$10,CashFlowsData[Actual Year],'2.Cash Flow'!J$9)</f>
        <v>0</v>
      </c>
      <c r="K44" s="18">
        <f ca="1">SUMIFS(CashFlowsData[InUSD],CashFlowsData[Overdue],0,CashFlowsData[Class Description],'2.Cash Flow'!$B44,CashFlowsData[Actual week],'2.Cash Flow'!K$10,CashFlowsData[Actual Year],'2.Cash Flow'!K$9)</f>
        <v>0</v>
      </c>
      <c r="L44" s="18">
        <f ca="1">SUMIFS(CashFlowsData[InUSD],CashFlowsData[Overdue],0,CashFlowsData[Class Description],'2.Cash Flow'!$B44,CashFlowsData[Actual week],'2.Cash Flow'!L$10,CashFlowsData[Actual Year],'2.Cash Flow'!L$9)</f>
        <v>0</v>
      </c>
      <c r="M44" s="18">
        <f ca="1">SUMIFS(CashFlowsData[InUSD],CashFlowsData[Overdue],0,CashFlowsData[Class Description],'2.Cash Flow'!$B44,CashFlowsData[Actual week],'2.Cash Flow'!M$10,CashFlowsData[Actual Year],'2.Cash Flow'!M$9)</f>
        <v>0</v>
      </c>
      <c r="N44" s="18">
        <f ca="1">SUMIFS(CashFlowsData[InUSD],CashFlowsData[Overdue],0,CashFlowsData[Class Description],'2.Cash Flow'!$B44,CashFlowsData[Actual week],'2.Cash Flow'!N$10,CashFlowsData[Actual Year],'2.Cash Flow'!N$9)</f>
        <v>0</v>
      </c>
      <c r="O44" s="18">
        <f ca="1">SUMIFS(CashFlowsData[InUSD],CashFlowsData[Overdue],0,CashFlowsData[Class Description],'2.Cash Flow'!$B44,CashFlowsData[Actual week],'2.Cash Flow'!O$10,CashFlowsData[Actual Year],'2.Cash Flow'!O$9)</f>
        <v>0</v>
      </c>
      <c r="P44" s="17">
        <f ca="1">SUMIFS(CashFlowsData[InUSD],CashFlowsData[Overdue],0,CashFlowsData[Class Description],'2.Cash Flow'!$B44,CashFlowsData[Effective Date],"&gt;"&amp;(O$11+7))</f>
        <v>0</v>
      </c>
    </row>
    <row r="45" spans="1:17" ht="21.75" customHeight="1" x14ac:dyDescent="0.2">
      <c r="B45" s="26" t="s">
        <v>11</v>
      </c>
      <c r="C45" s="25">
        <f t="shared" ref="C45:P45" ca="1" si="7">SUM(C22:C44)</f>
        <v>0</v>
      </c>
      <c r="D45" s="25">
        <f t="shared" ca="1" si="7"/>
        <v>0</v>
      </c>
      <c r="E45" s="25">
        <f t="shared" ca="1" si="7"/>
        <v>0</v>
      </c>
      <c r="F45" s="25">
        <f t="shared" ca="1" si="7"/>
        <v>0</v>
      </c>
      <c r="G45" s="25">
        <f t="shared" ca="1" si="7"/>
        <v>0</v>
      </c>
      <c r="H45" s="25">
        <f t="shared" ca="1" si="7"/>
        <v>0</v>
      </c>
      <c r="I45" s="25">
        <f t="shared" ca="1" si="7"/>
        <v>0</v>
      </c>
      <c r="J45" s="25">
        <f t="shared" ca="1" si="7"/>
        <v>0</v>
      </c>
      <c r="K45" s="25">
        <f t="shared" ca="1" si="7"/>
        <v>0</v>
      </c>
      <c r="L45" s="25">
        <f t="shared" ca="1" si="7"/>
        <v>0</v>
      </c>
      <c r="M45" s="25">
        <f t="shared" ca="1" si="7"/>
        <v>0</v>
      </c>
      <c r="N45" s="25">
        <f t="shared" ca="1" si="7"/>
        <v>0</v>
      </c>
      <c r="O45" s="25">
        <f t="shared" ca="1" si="7"/>
        <v>0</v>
      </c>
      <c r="P45" s="25">
        <f t="shared" ca="1" si="7"/>
        <v>0</v>
      </c>
      <c r="Q45" s="13"/>
    </row>
    <row r="46" spans="1:17" ht="21.75" customHeight="1" x14ac:dyDescent="0.2">
      <c r="B46" s="24" t="s">
        <v>10</v>
      </c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2"/>
    </row>
    <row r="47" spans="1:17" ht="12" x14ac:dyDescent="0.2">
      <c r="A47" s="16"/>
      <c r="B47" s="19" t="s">
        <v>9</v>
      </c>
      <c r="C47" s="18">
        <f ca="1">SUMIFS(CashFlowsData[InUSD],CashFlowsData[Overdue],1,CashFlowsData[Class Description],'2.Cash Flow'!$B47,CashFlowsData[Actual week],'2.Cash Flow'!C$10,CashFlowsData[Actual Year],'2.Cash Flow'!C$9)</f>
        <v>0</v>
      </c>
      <c r="D47" s="18">
        <f ca="1">SUMIFS(CashFlowsData[InUSD],CashFlowsData[Overdue],0,CashFlowsData[Class Description],'2.Cash Flow'!$B47,CashFlowsData[Actual week],'2.Cash Flow'!D$10,CashFlowsData[Actual Year],'2.Cash Flow'!D$9)</f>
        <v>0</v>
      </c>
      <c r="E47" s="21">
        <f ca="1">SUMIFS(CashFlowsData[InUSD],CashFlowsData[Overdue],0,CashFlowsData[Class Description],'2.Cash Flow'!$B47,CashFlowsData[Actual week],'2.Cash Flow'!E$10,CashFlowsData[Actual Year],'2.Cash Flow'!E$9)</f>
        <v>0</v>
      </c>
      <c r="F47" s="21">
        <f ca="1">SUMIFS(CashFlowsData[InUSD],CashFlowsData[Overdue],0,CashFlowsData[Class Description],'2.Cash Flow'!$B47,CashFlowsData[Actual week],'2.Cash Flow'!F$10,CashFlowsData[Actual Year],'2.Cash Flow'!F$9)</f>
        <v>0</v>
      </c>
      <c r="G47" s="18">
        <f ca="1">SUMIFS(CashFlowsData[InUSD],CashFlowsData[Overdue],0,CashFlowsData[Class Description],'2.Cash Flow'!$B47,CashFlowsData[Actual week],'2.Cash Flow'!G$10,CashFlowsData[Actual Year],'2.Cash Flow'!G$9)</f>
        <v>0</v>
      </c>
      <c r="H47" s="18">
        <f ca="1">SUMIFS(CashFlowsData[InUSD],CashFlowsData[Overdue],0,CashFlowsData[Class Description],'2.Cash Flow'!$B47,CashFlowsData[Actual week],'2.Cash Flow'!H$10,CashFlowsData[Actual Year],'2.Cash Flow'!H$9)</f>
        <v>0</v>
      </c>
      <c r="I47" s="18">
        <f ca="1">SUMIFS(CashFlowsData[InUSD],CashFlowsData[Overdue],0,CashFlowsData[Class Description],'2.Cash Flow'!$B47,CashFlowsData[Actual week],'2.Cash Flow'!I$10,CashFlowsData[Actual Year],'2.Cash Flow'!I$9)</f>
        <v>0</v>
      </c>
      <c r="J47" s="18">
        <f ca="1">SUMIFS(CashFlowsData[InUSD],CashFlowsData[Overdue],0,CashFlowsData[Class Description],'2.Cash Flow'!$B47,CashFlowsData[Actual week],'2.Cash Flow'!J$10,CashFlowsData[Actual Year],'2.Cash Flow'!J$9)</f>
        <v>0</v>
      </c>
      <c r="K47" s="20">
        <f ca="1">SUMIFS(CashFlowsData[InUSD],CashFlowsData[Overdue],0,CashFlowsData[Class Description],'2.Cash Flow'!$B47,CashFlowsData[Actual week],'2.Cash Flow'!K$10,CashFlowsData[Actual Year],'2.Cash Flow'!K$9)</f>
        <v>0</v>
      </c>
      <c r="L47" s="18">
        <f ca="1">SUMIFS(CashFlowsData[InUSD],CashFlowsData[Overdue],0,CashFlowsData[Class Description],'2.Cash Flow'!$B47,CashFlowsData[Actual week],'2.Cash Flow'!L$10,CashFlowsData[Actual Year],'2.Cash Flow'!L$9)</f>
        <v>0</v>
      </c>
      <c r="M47" s="18">
        <f ca="1">SUMIFS(CashFlowsData[InUSD],CashFlowsData[Overdue],0,CashFlowsData[Class Description],'2.Cash Flow'!$B47,CashFlowsData[Actual week],'2.Cash Flow'!M$10,CashFlowsData[Actual Year],'2.Cash Flow'!M$9)</f>
        <v>0</v>
      </c>
      <c r="N47" s="18">
        <f ca="1">SUMIFS(CashFlowsData[InUSD],CashFlowsData[Overdue],0,CashFlowsData[Class Description],'2.Cash Flow'!$B47,CashFlowsData[Actual week],'2.Cash Flow'!N$10,CashFlowsData[Actual Year],'2.Cash Flow'!N$9)</f>
        <v>0</v>
      </c>
      <c r="O47" s="18">
        <f ca="1">SUMIFS(CashFlowsData[InUSD],CashFlowsData[Overdue],0,CashFlowsData[Class Description],'2.Cash Flow'!$B47,CashFlowsData[Actual week],'2.Cash Flow'!O$10,CashFlowsData[Actual Year],'2.Cash Flow'!O$9)</f>
        <v>0</v>
      </c>
      <c r="P47" s="17">
        <f ca="1">SUMIFS(CashFlowsData[InUSD],CashFlowsData[Overdue],0,CashFlowsData[Class Description],'2.Cash Flow'!$B47,CashFlowsData[Effective Date],"&gt;"&amp;(O$11+7))</f>
        <v>0</v>
      </c>
    </row>
    <row r="48" spans="1:17" ht="12" x14ac:dyDescent="0.2">
      <c r="A48" s="16"/>
      <c r="B48" s="19" t="s">
        <v>8</v>
      </c>
      <c r="C48" s="18">
        <f ca="1">SUMIFS(CashFlowsData[InUSD],CashFlowsData[Overdue],1,CashFlowsData[Class Description],'2.Cash Flow'!$B48,CashFlowsData[Actual week],'2.Cash Flow'!C$10,CashFlowsData[Actual Year],'2.Cash Flow'!C$9)</f>
        <v>0</v>
      </c>
      <c r="D48" s="18">
        <f ca="1">SUMIFS(CashFlowsData[InUSD],CashFlowsData[Overdue],0,CashFlowsData[Class Description],'2.Cash Flow'!$B48,CashFlowsData[Actual week],'2.Cash Flow'!D$10,CashFlowsData[Actual Year],'2.Cash Flow'!D$9)</f>
        <v>0</v>
      </c>
      <c r="E48" s="18">
        <f ca="1">SUMIFS(CashFlowsData[InUSD],CashFlowsData[Overdue],0,CashFlowsData[Class Description],'2.Cash Flow'!$B48,CashFlowsData[Actual week],'2.Cash Flow'!E$10,CashFlowsData[Actual Year],'2.Cash Flow'!E$9)</f>
        <v>0</v>
      </c>
      <c r="F48" s="18">
        <f ca="1">SUMIFS(CashFlowsData[InUSD],CashFlowsData[Overdue],0,CashFlowsData[Class Description],'2.Cash Flow'!$B48,CashFlowsData[Actual week],'2.Cash Flow'!F$10,CashFlowsData[Actual Year],'2.Cash Flow'!F$9)</f>
        <v>0</v>
      </c>
      <c r="G48" s="18">
        <f ca="1">SUMIFS(CashFlowsData[InUSD],CashFlowsData[Overdue],0,CashFlowsData[Class Description],'2.Cash Flow'!$B48,CashFlowsData[Actual week],'2.Cash Flow'!G$10,CashFlowsData[Actual Year],'2.Cash Flow'!G$9)</f>
        <v>0</v>
      </c>
      <c r="H48" s="18">
        <f ca="1">SUMIFS(CashFlowsData[InUSD],CashFlowsData[Overdue],0,CashFlowsData[Class Description],'2.Cash Flow'!$B48,CashFlowsData[Actual week],'2.Cash Flow'!H$10,CashFlowsData[Actual Year],'2.Cash Flow'!H$9)</f>
        <v>0</v>
      </c>
      <c r="I48" s="18">
        <f ca="1">SUMIFS(CashFlowsData[InUSD],CashFlowsData[Overdue],0,CashFlowsData[Class Description],'2.Cash Flow'!$B48,CashFlowsData[Actual week],'2.Cash Flow'!I$10,CashFlowsData[Actual Year],'2.Cash Flow'!I$9)</f>
        <v>0</v>
      </c>
      <c r="J48" s="18">
        <f ca="1">SUMIFS(CashFlowsData[InUSD],CashFlowsData[Overdue],0,CashFlowsData[Class Description],'2.Cash Flow'!$B48,CashFlowsData[Actual week],'2.Cash Flow'!J$10,CashFlowsData[Actual Year],'2.Cash Flow'!J$9)</f>
        <v>0</v>
      </c>
      <c r="K48" s="18">
        <f ca="1">SUMIFS(CashFlowsData[InUSD],CashFlowsData[Overdue],0,CashFlowsData[Class Description],'2.Cash Flow'!$B48,CashFlowsData[Actual week],'2.Cash Flow'!K$10,CashFlowsData[Actual Year],'2.Cash Flow'!K$9)</f>
        <v>0</v>
      </c>
      <c r="L48" s="18">
        <f ca="1">SUMIFS(CashFlowsData[InUSD],CashFlowsData[Overdue],0,CashFlowsData[Class Description],'2.Cash Flow'!$B48,CashFlowsData[Actual week],'2.Cash Flow'!L$10,CashFlowsData[Actual Year],'2.Cash Flow'!L$9)</f>
        <v>0</v>
      </c>
      <c r="M48" s="18">
        <f ca="1">SUMIFS(CashFlowsData[InUSD],CashFlowsData[Overdue],0,CashFlowsData[Class Description],'2.Cash Flow'!$B48,CashFlowsData[Actual week],'2.Cash Flow'!M$10,CashFlowsData[Actual Year],'2.Cash Flow'!M$9)</f>
        <v>0</v>
      </c>
      <c r="N48" s="18">
        <f ca="1">SUMIFS(CashFlowsData[InUSD],CashFlowsData[Overdue],0,CashFlowsData[Class Description],'2.Cash Flow'!$B48,CashFlowsData[Actual week],'2.Cash Flow'!N$10,CashFlowsData[Actual Year],'2.Cash Flow'!N$9)</f>
        <v>0</v>
      </c>
      <c r="O48" s="18">
        <f ca="1">SUMIFS(CashFlowsData[InUSD],CashFlowsData[Overdue],0,CashFlowsData[Class Description],'2.Cash Flow'!$B48,CashFlowsData[Actual week],'2.Cash Flow'!O$10,CashFlowsData[Actual Year],'2.Cash Flow'!O$9)</f>
        <v>0</v>
      </c>
      <c r="P48" s="17">
        <f ca="1">SUMIFS(CashFlowsData[InUSD],CashFlowsData[Overdue],0,CashFlowsData[Class Description],'2.Cash Flow'!$B48,CashFlowsData[Effective Date],"&gt;"&amp;(O$11+7))</f>
        <v>0</v>
      </c>
    </row>
    <row r="49" spans="1:17" ht="12" x14ac:dyDescent="0.2">
      <c r="A49" s="16"/>
      <c r="B49" s="19" t="s">
        <v>7</v>
      </c>
      <c r="C49" s="18">
        <f ca="1">SUMIFS(CashFlowsData[InUSD],CashFlowsData[Overdue],1,CashFlowsData[Class Description],'2.Cash Flow'!$B49,CashFlowsData[Actual week],'2.Cash Flow'!C$10,CashFlowsData[Actual Year],'2.Cash Flow'!C$9)</f>
        <v>0</v>
      </c>
      <c r="D49" s="18">
        <f ca="1">SUMIFS(CashFlowsData[InUSD],CashFlowsData[Overdue],0,CashFlowsData[Class Description],'2.Cash Flow'!$B49,CashFlowsData[Actual week],'2.Cash Flow'!D$10,CashFlowsData[Actual Year],'2.Cash Flow'!D$9)</f>
        <v>0</v>
      </c>
      <c r="E49" s="18">
        <f ca="1">SUMIFS(CashFlowsData[InUSD],CashFlowsData[Overdue],0,CashFlowsData[Class Description],'2.Cash Flow'!$B49,CashFlowsData[Actual week],'2.Cash Flow'!E$10,CashFlowsData[Actual Year],'2.Cash Flow'!E$9)</f>
        <v>0</v>
      </c>
      <c r="F49" s="18">
        <f ca="1">SUMIFS(CashFlowsData[InUSD],CashFlowsData[Overdue],0,CashFlowsData[Class Description],'2.Cash Flow'!$B49,CashFlowsData[Actual week],'2.Cash Flow'!F$10,CashFlowsData[Actual Year],'2.Cash Flow'!F$9)</f>
        <v>0</v>
      </c>
      <c r="G49" s="18">
        <f ca="1">SUMIFS(CashFlowsData[InUSD],CashFlowsData[Overdue],0,CashFlowsData[Class Description],'2.Cash Flow'!$B49,CashFlowsData[Actual week],'2.Cash Flow'!G$10,CashFlowsData[Actual Year],'2.Cash Flow'!G$9)</f>
        <v>0</v>
      </c>
      <c r="H49" s="18">
        <f ca="1">SUMIFS(CashFlowsData[InUSD],CashFlowsData[Overdue],0,CashFlowsData[Class Description],'2.Cash Flow'!$B49,CashFlowsData[Actual week],'2.Cash Flow'!H$10,CashFlowsData[Actual Year],'2.Cash Flow'!H$9)</f>
        <v>0</v>
      </c>
      <c r="I49" s="18">
        <f ca="1">SUMIFS(CashFlowsData[InUSD],CashFlowsData[Overdue],0,CashFlowsData[Class Description],'2.Cash Flow'!$B49,CashFlowsData[Actual week],'2.Cash Flow'!I$10,CashFlowsData[Actual Year],'2.Cash Flow'!I$9)</f>
        <v>0</v>
      </c>
      <c r="J49" s="18">
        <f ca="1">SUMIFS(CashFlowsData[InUSD],CashFlowsData[Overdue],0,CashFlowsData[Class Description],'2.Cash Flow'!$B49,CashFlowsData[Actual week],'2.Cash Flow'!J$10,CashFlowsData[Actual Year],'2.Cash Flow'!J$9)</f>
        <v>0</v>
      </c>
      <c r="K49" s="18">
        <f ca="1">SUMIFS(CashFlowsData[InUSD],CashFlowsData[Overdue],0,CashFlowsData[Class Description],'2.Cash Flow'!$B49,CashFlowsData[Actual week],'2.Cash Flow'!K$10,CashFlowsData[Actual Year],'2.Cash Flow'!K$9)</f>
        <v>0</v>
      </c>
      <c r="L49" s="18">
        <f ca="1">SUMIFS(CashFlowsData[InUSD],CashFlowsData[Overdue],0,CashFlowsData[Class Description],'2.Cash Flow'!$B49,CashFlowsData[Actual week],'2.Cash Flow'!L$10,CashFlowsData[Actual Year],'2.Cash Flow'!L$9)</f>
        <v>0</v>
      </c>
      <c r="M49" s="18">
        <f ca="1">SUMIFS(CashFlowsData[InUSD],CashFlowsData[Overdue],0,CashFlowsData[Class Description],'2.Cash Flow'!$B49,CashFlowsData[Actual week],'2.Cash Flow'!M$10,CashFlowsData[Actual Year],'2.Cash Flow'!M$9)</f>
        <v>0</v>
      </c>
      <c r="N49" s="18">
        <f ca="1">SUMIFS(CashFlowsData[InUSD],CashFlowsData[Overdue],0,CashFlowsData[Class Description],'2.Cash Flow'!$B49,CashFlowsData[Actual week],'2.Cash Flow'!N$10,CashFlowsData[Actual Year],'2.Cash Flow'!N$9)</f>
        <v>0</v>
      </c>
      <c r="O49" s="18">
        <f ca="1">SUMIFS(CashFlowsData[InUSD],CashFlowsData[Overdue],0,CashFlowsData[Class Description],'2.Cash Flow'!$B49,CashFlowsData[Actual week],'2.Cash Flow'!O$10,CashFlowsData[Actual Year],'2.Cash Flow'!O$9)</f>
        <v>0</v>
      </c>
      <c r="P49" s="17">
        <f ca="1">SUMIFS(CashFlowsData[InUSD],CashFlowsData[Overdue],0,CashFlowsData[Class Description],'2.Cash Flow'!$B49,CashFlowsData[Effective Date],"&gt;"&amp;(O$11+7))</f>
        <v>0</v>
      </c>
    </row>
    <row r="50" spans="1:17" ht="12" x14ac:dyDescent="0.2">
      <c r="A50" s="16"/>
      <c r="B50" s="19" t="s">
        <v>6</v>
      </c>
      <c r="C50" s="18">
        <f ca="1">SUMIFS(CashFlowsData[InUSD],CashFlowsData[Overdue],1,CashFlowsData[Class Description],'2.Cash Flow'!$B50,CashFlowsData[Actual week],'2.Cash Flow'!C$10,CashFlowsData[Actual Year],'2.Cash Flow'!C$9)</f>
        <v>0</v>
      </c>
      <c r="D50" s="18">
        <f ca="1">SUMIFS(CashFlowsData[InUSD],CashFlowsData[Overdue],0,CashFlowsData[Class Description],'2.Cash Flow'!$B50,CashFlowsData[Actual week],'2.Cash Flow'!D$10,CashFlowsData[Actual Year],'2.Cash Flow'!D$9)</f>
        <v>0</v>
      </c>
      <c r="E50" s="18">
        <f ca="1">SUMIFS(CashFlowsData[InUSD],CashFlowsData[Overdue],0,CashFlowsData[Class Description],'2.Cash Flow'!$B50,CashFlowsData[Actual week],'2.Cash Flow'!E$10,CashFlowsData[Actual Year],'2.Cash Flow'!E$9)</f>
        <v>0</v>
      </c>
      <c r="F50" s="18">
        <f ca="1">SUMIFS(CashFlowsData[InUSD],CashFlowsData[Overdue],0,CashFlowsData[Class Description],'2.Cash Flow'!$B50,CashFlowsData[Actual week],'2.Cash Flow'!F$10,CashFlowsData[Actual Year],'2.Cash Flow'!F$9)</f>
        <v>0</v>
      </c>
      <c r="G50" s="18">
        <f ca="1">SUMIFS(CashFlowsData[InUSD],CashFlowsData[Overdue],0,CashFlowsData[Class Description],'2.Cash Flow'!$B50,CashFlowsData[Actual week],'2.Cash Flow'!G$10,CashFlowsData[Actual Year],'2.Cash Flow'!G$9)</f>
        <v>0</v>
      </c>
      <c r="H50" s="18">
        <f ca="1">SUMIFS(CashFlowsData[InUSD],CashFlowsData[Overdue],0,CashFlowsData[Class Description],'2.Cash Flow'!$B50,CashFlowsData[Actual week],'2.Cash Flow'!H$10,CashFlowsData[Actual Year],'2.Cash Flow'!H$9)</f>
        <v>0</v>
      </c>
      <c r="I50" s="18">
        <f ca="1">SUMIFS(CashFlowsData[InUSD],CashFlowsData[Overdue],0,CashFlowsData[Class Description],'2.Cash Flow'!$B50,CashFlowsData[Actual week],'2.Cash Flow'!I$10,CashFlowsData[Actual Year],'2.Cash Flow'!I$9)</f>
        <v>0</v>
      </c>
      <c r="J50" s="18">
        <f ca="1">SUMIFS(CashFlowsData[InUSD],CashFlowsData[Overdue],0,CashFlowsData[Class Description],'2.Cash Flow'!$B50,CashFlowsData[Actual week],'2.Cash Flow'!J$10,CashFlowsData[Actual Year],'2.Cash Flow'!J$9)</f>
        <v>0</v>
      </c>
      <c r="K50" s="18">
        <f ca="1">SUMIFS(CashFlowsData[InUSD],CashFlowsData[Overdue],0,CashFlowsData[Class Description],'2.Cash Flow'!$B50,CashFlowsData[Actual week],'2.Cash Flow'!K$10,CashFlowsData[Actual Year],'2.Cash Flow'!K$9)</f>
        <v>0</v>
      </c>
      <c r="L50" s="18">
        <f ca="1">SUMIFS(CashFlowsData[InUSD],CashFlowsData[Overdue],0,CashFlowsData[Class Description],'2.Cash Flow'!$B50,CashFlowsData[Actual week],'2.Cash Flow'!L$10,CashFlowsData[Actual Year],'2.Cash Flow'!L$9)</f>
        <v>0</v>
      </c>
      <c r="M50" s="18">
        <f ca="1">SUMIFS(CashFlowsData[InUSD],CashFlowsData[Overdue],0,CashFlowsData[Class Description],'2.Cash Flow'!$B50,CashFlowsData[Actual week],'2.Cash Flow'!M$10,CashFlowsData[Actual Year],'2.Cash Flow'!M$9)</f>
        <v>0</v>
      </c>
      <c r="N50" s="18">
        <f ca="1">SUMIFS(CashFlowsData[InUSD],CashFlowsData[Overdue],0,CashFlowsData[Class Description],'2.Cash Flow'!$B50,CashFlowsData[Actual week],'2.Cash Flow'!N$10,CashFlowsData[Actual Year],'2.Cash Flow'!N$9)</f>
        <v>0</v>
      </c>
      <c r="O50" s="18">
        <f ca="1">SUMIFS(CashFlowsData[InUSD],CashFlowsData[Overdue],0,CashFlowsData[Class Description],'2.Cash Flow'!$B50,CashFlowsData[Actual week],'2.Cash Flow'!O$10,CashFlowsData[Actual Year],'2.Cash Flow'!O$9)</f>
        <v>0</v>
      </c>
      <c r="P50" s="17">
        <f ca="1">SUMIFS(CashFlowsData[InUSD],CashFlowsData[Overdue],0,CashFlowsData[Class Description],'2.Cash Flow'!$B50,CashFlowsData[Effective Date],"&gt;"&amp;(O$11+7))</f>
        <v>0</v>
      </c>
    </row>
    <row r="51" spans="1:17" ht="12" x14ac:dyDescent="0.2">
      <c r="A51" s="16"/>
      <c r="B51" s="19" t="s">
        <v>5</v>
      </c>
      <c r="C51" s="21">
        <f ca="1">SUMIFS(CashFlowsData[InUSD],CashFlowsData[Overdue],1,CashFlowsData[Class Description],'2.Cash Flow'!$B51,CashFlowsData[Actual week],'2.Cash Flow'!C$10,CashFlowsData[Actual Year],'2.Cash Flow'!C$9)</f>
        <v>0</v>
      </c>
      <c r="D51" s="21">
        <f ca="1">SUMIFS(CashFlowsData[InUSD],CashFlowsData[Overdue],0,CashFlowsData[Class Description],'2.Cash Flow'!$B51,CashFlowsData[Actual week],'2.Cash Flow'!D$10,CashFlowsData[Actual Year],'2.Cash Flow'!D$9)</f>
        <v>0</v>
      </c>
      <c r="E51" s="18">
        <f ca="1">SUMIFS(CashFlowsData[InUSD],CashFlowsData[Overdue],0,CashFlowsData[Class Description],'2.Cash Flow'!$B51,CashFlowsData[Actual week],'2.Cash Flow'!E$10,CashFlowsData[Actual Year],'2.Cash Flow'!E$9)</f>
        <v>0</v>
      </c>
      <c r="F51" s="18">
        <f ca="1">SUMIFS(CashFlowsData[InUSD],CashFlowsData[Overdue],0,CashFlowsData[Class Description],'2.Cash Flow'!$B51,CashFlowsData[Actual week],'2.Cash Flow'!F$10,CashFlowsData[Actual Year],'2.Cash Flow'!F$9)</f>
        <v>0</v>
      </c>
      <c r="G51" s="18">
        <f ca="1">SUMIFS(CashFlowsData[InUSD],CashFlowsData[Overdue],0,CashFlowsData[Class Description],'2.Cash Flow'!$B51,CashFlowsData[Actual week],'2.Cash Flow'!G$10,CashFlowsData[Actual Year],'2.Cash Flow'!G$9)</f>
        <v>0</v>
      </c>
      <c r="H51" s="18">
        <f ca="1">SUMIFS(CashFlowsData[InUSD],CashFlowsData[Overdue],0,CashFlowsData[Class Description],'2.Cash Flow'!$B51,CashFlowsData[Actual week],'2.Cash Flow'!H$10,CashFlowsData[Actual Year],'2.Cash Flow'!H$9)</f>
        <v>0</v>
      </c>
      <c r="I51" s="18">
        <f ca="1">SUMIFS(CashFlowsData[InUSD],CashFlowsData[Overdue],0,CashFlowsData[Class Description],'2.Cash Flow'!$B51,CashFlowsData[Actual week],'2.Cash Flow'!I$10,CashFlowsData[Actual Year],'2.Cash Flow'!I$9)</f>
        <v>0</v>
      </c>
      <c r="J51" s="18">
        <f ca="1">SUMIFS(CashFlowsData[InUSD],CashFlowsData[Overdue],0,CashFlowsData[Class Description],'2.Cash Flow'!$B51,CashFlowsData[Actual week],'2.Cash Flow'!J$10,CashFlowsData[Actual Year],'2.Cash Flow'!J$9)</f>
        <v>0</v>
      </c>
      <c r="K51" s="20">
        <f ca="1">SUMIFS(CashFlowsData[InUSD],CashFlowsData[Overdue],0,CashFlowsData[Class Description],'2.Cash Flow'!$B51,CashFlowsData[Actual week],'2.Cash Flow'!K$10,CashFlowsData[Actual Year],'2.Cash Flow'!K$9)</f>
        <v>0</v>
      </c>
      <c r="L51" s="18">
        <f ca="1">SUMIFS(CashFlowsData[InUSD],CashFlowsData[Overdue],0,CashFlowsData[Class Description],'2.Cash Flow'!$B51,CashFlowsData[Actual week],'2.Cash Flow'!L$10,CashFlowsData[Actual Year],'2.Cash Flow'!L$9)</f>
        <v>0</v>
      </c>
      <c r="M51" s="18">
        <f ca="1">SUMIFS(CashFlowsData[InUSD],CashFlowsData[Overdue],0,CashFlowsData[Class Description],'2.Cash Flow'!$B51,CashFlowsData[Actual week],'2.Cash Flow'!M$10,CashFlowsData[Actual Year],'2.Cash Flow'!M$9)</f>
        <v>0</v>
      </c>
      <c r="N51" s="18">
        <f ca="1">SUMIFS(CashFlowsData[InUSD],CashFlowsData[Overdue],0,CashFlowsData[Class Description],'2.Cash Flow'!$B51,CashFlowsData[Actual week],'2.Cash Flow'!N$10,CashFlowsData[Actual Year],'2.Cash Flow'!N$9)</f>
        <v>0</v>
      </c>
      <c r="O51" s="18">
        <f ca="1">SUMIFS(CashFlowsData[InUSD],CashFlowsData[Overdue],0,CashFlowsData[Class Description],'2.Cash Flow'!$B51,CashFlowsData[Actual week],'2.Cash Flow'!O$10,CashFlowsData[Actual Year],'2.Cash Flow'!O$9)</f>
        <v>0</v>
      </c>
      <c r="P51" s="17">
        <f ca="1">SUMIFS(CashFlowsData[InUSD],CashFlowsData[Overdue],0,CashFlowsData[Class Description],'2.Cash Flow'!$B51,CashFlowsData[Effective Date],"&gt;"&amp;(O$11+7))</f>
        <v>0</v>
      </c>
    </row>
    <row r="52" spans="1:17" ht="12" x14ac:dyDescent="0.2">
      <c r="A52" s="16"/>
      <c r="B52" s="19" t="s">
        <v>4</v>
      </c>
      <c r="C52" s="18">
        <f ca="1">SUMIFS(CashFlowsData[InUSD],CashFlowsData[Overdue],1,CashFlowsData[Class Description],'2.Cash Flow'!$B52,CashFlowsData[Actual week],'2.Cash Flow'!C$10,CashFlowsData[Actual Year],'2.Cash Flow'!C$9)</f>
        <v>0</v>
      </c>
      <c r="D52" s="18">
        <f ca="1">SUMIFS(CashFlowsData[InUSD],CashFlowsData[Overdue],0,CashFlowsData[Class Description],'2.Cash Flow'!$B52,CashFlowsData[Actual week],'2.Cash Flow'!D$10,CashFlowsData[Actual Year],'2.Cash Flow'!D$9)</f>
        <v>0</v>
      </c>
      <c r="E52" s="18">
        <f ca="1">SUMIFS(CashFlowsData[InUSD],CashFlowsData[Overdue],0,CashFlowsData[Class Description],'2.Cash Flow'!$B52,CashFlowsData[Actual week],'2.Cash Flow'!E$10,CashFlowsData[Actual Year],'2.Cash Flow'!E$9)</f>
        <v>0</v>
      </c>
      <c r="F52" s="18">
        <f ca="1">SUMIFS(CashFlowsData[InUSD],CashFlowsData[Overdue],0,CashFlowsData[Class Description],'2.Cash Flow'!$B52,CashFlowsData[Actual week],'2.Cash Flow'!F$10,CashFlowsData[Actual Year],'2.Cash Flow'!F$9)</f>
        <v>0</v>
      </c>
      <c r="G52" s="18">
        <f ca="1">SUMIFS(CashFlowsData[InUSD],CashFlowsData[Overdue],0,CashFlowsData[Class Description],'2.Cash Flow'!$B52,CashFlowsData[Actual week],'2.Cash Flow'!G$10,CashFlowsData[Actual Year],'2.Cash Flow'!G$9)</f>
        <v>0</v>
      </c>
      <c r="H52" s="18">
        <f ca="1">SUMIFS(CashFlowsData[InUSD],CashFlowsData[Overdue],0,CashFlowsData[Class Description],'2.Cash Flow'!$B52,CashFlowsData[Actual week],'2.Cash Flow'!H$10,CashFlowsData[Actual Year],'2.Cash Flow'!H$9)</f>
        <v>0</v>
      </c>
      <c r="I52" s="18">
        <f ca="1">SUMIFS(CashFlowsData[InUSD],CashFlowsData[Overdue],0,CashFlowsData[Class Description],'2.Cash Flow'!$B52,CashFlowsData[Actual week],'2.Cash Flow'!I$10,CashFlowsData[Actual Year],'2.Cash Flow'!I$9)</f>
        <v>0</v>
      </c>
      <c r="J52" s="18">
        <f ca="1">SUMIFS(CashFlowsData[InUSD],CashFlowsData[Overdue],0,CashFlowsData[Class Description],'2.Cash Flow'!$B52,CashFlowsData[Actual week],'2.Cash Flow'!J$10,CashFlowsData[Actual Year],'2.Cash Flow'!J$9)</f>
        <v>0</v>
      </c>
      <c r="K52" s="18">
        <f ca="1">SUMIFS(CashFlowsData[InUSD],CashFlowsData[Overdue],0,CashFlowsData[Class Description],'2.Cash Flow'!$B52,CashFlowsData[Actual week],'2.Cash Flow'!K$10,CashFlowsData[Actual Year],'2.Cash Flow'!K$9)</f>
        <v>0</v>
      </c>
      <c r="L52" s="18">
        <f ca="1">SUMIFS(CashFlowsData[InUSD],CashFlowsData[Overdue],0,CashFlowsData[Class Description],'2.Cash Flow'!$B52,CashFlowsData[Actual week],'2.Cash Flow'!L$10,CashFlowsData[Actual Year],'2.Cash Flow'!L$9)</f>
        <v>0</v>
      </c>
      <c r="M52" s="18">
        <f ca="1">SUMIFS(CashFlowsData[InUSD],CashFlowsData[Overdue],0,CashFlowsData[Class Description],'2.Cash Flow'!$B52,CashFlowsData[Actual week],'2.Cash Flow'!M$10,CashFlowsData[Actual Year],'2.Cash Flow'!M$9)</f>
        <v>0</v>
      </c>
      <c r="N52" s="18">
        <f ca="1">SUMIFS(CashFlowsData[InUSD],CashFlowsData[Overdue],0,CashFlowsData[Class Description],'2.Cash Flow'!$B52,CashFlowsData[Actual week],'2.Cash Flow'!N$10,CashFlowsData[Actual Year],'2.Cash Flow'!N$9)</f>
        <v>0</v>
      </c>
      <c r="O52" s="18">
        <f ca="1">SUMIFS(CashFlowsData[InUSD],CashFlowsData[Overdue],0,CashFlowsData[Class Description],'2.Cash Flow'!$B52,CashFlowsData[Actual week],'2.Cash Flow'!O$10,CashFlowsData[Actual Year],'2.Cash Flow'!O$9)</f>
        <v>0</v>
      </c>
      <c r="P52" s="17">
        <f ca="1">SUMIFS(CashFlowsData[InUSD],CashFlowsData[Overdue],0,CashFlowsData[Class Description],'2.Cash Flow'!$B52,CashFlowsData[Effective Date],"&gt;"&amp;(O$11+7))</f>
        <v>0</v>
      </c>
    </row>
    <row r="53" spans="1:17" ht="12.75" thickBot="1" x14ac:dyDescent="0.25">
      <c r="A53" s="16"/>
      <c r="B53" s="15" t="s">
        <v>3</v>
      </c>
      <c r="C53" s="14">
        <f t="shared" ref="C53:P53" ca="1" si="8">SUM(C47:C52)</f>
        <v>0</v>
      </c>
      <c r="D53" s="14">
        <f t="shared" ca="1" si="8"/>
        <v>0</v>
      </c>
      <c r="E53" s="14">
        <f t="shared" ca="1" si="8"/>
        <v>0</v>
      </c>
      <c r="F53" s="14">
        <f t="shared" ca="1" si="8"/>
        <v>0</v>
      </c>
      <c r="G53" s="14">
        <f t="shared" ca="1" si="8"/>
        <v>0</v>
      </c>
      <c r="H53" s="14">
        <f t="shared" ca="1" si="8"/>
        <v>0</v>
      </c>
      <c r="I53" s="14">
        <f t="shared" ca="1" si="8"/>
        <v>0</v>
      </c>
      <c r="J53" s="14">
        <f t="shared" ca="1" si="8"/>
        <v>0</v>
      </c>
      <c r="K53" s="14">
        <f t="shared" ca="1" si="8"/>
        <v>0</v>
      </c>
      <c r="L53" s="14">
        <f t="shared" ca="1" si="8"/>
        <v>0</v>
      </c>
      <c r="M53" s="14">
        <f t="shared" ca="1" si="8"/>
        <v>0</v>
      </c>
      <c r="N53" s="14">
        <f t="shared" ca="1" si="8"/>
        <v>0</v>
      </c>
      <c r="O53" s="14">
        <f t="shared" ca="1" si="8"/>
        <v>0</v>
      </c>
      <c r="P53" s="14">
        <f t="shared" ca="1" si="8"/>
        <v>0</v>
      </c>
      <c r="Q53" s="13"/>
    </row>
    <row r="54" spans="1:17" ht="12.75" thickTop="1" x14ac:dyDescent="0.2">
      <c r="B54" s="9" t="s">
        <v>2</v>
      </c>
      <c r="C54" s="12">
        <f t="shared" ref="C54:P54" ca="1" si="9">SUM(C53,C45,C20,C12)</f>
        <v>106299.99999999999</v>
      </c>
      <c r="D54" s="12">
        <f t="shared" ca="1" si="9"/>
        <v>106299.99999999999</v>
      </c>
      <c r="E54" s="11">
        <f t="shared" ca="1" si="9"/>
        <v>106299.99999999999</v>
      </c>
      <c r="F54" s="11">
        <f t="shared" ca="1" si="9"/>
        <v>6299.9999999999854</v>
      </c>
      <c r="G54" s="10">
        <f t="shared" ca="1" si="9"/>
        <v>6299.9999999999854</v>
      </c>
      <c r="H54" s="10">
        <f t="shared" ca="1" si="9"/>
        <v>6299.9999999999854</v>
      </c>
      <c r="I54" s="10">
        <f t="shared" ca="1" si="9"/>
        <v>6299.9999999999854</v>
      </c>
      <c r="J54" s="10">
        <f t="shared" ca="1" si="9"/>
        <v>6299.9999999999854</v>
      </c>
      <c r="K54" s="10">
        <f t="shared" ca="1" si="9"/>
        <v>6299.9999999999854</v>
      </c>
      <c r="L54" s="10">
        <f t="shared" ca="1" si="9"/>
        <v>6299.9999999999854</v>
      </c>
      <c r="M54" s="10">
        <f t="shared" ca="1" si="9"/>
        <v>6299.9999999999854</v>
      </c>
      <c r="N54" s="10">
        <f t="shared" ca="1" si="9"/>
        <v>6299.9999999999854</v>
      </c>
      <c r="O54" s="10">
        <f t="shared" ca="1" si="9"/>
        <v>6299.9999999999854</v>
      </c>
      <c r="P54" s="10">
        <f t="shared" ca="1" si="9"/>
        <v>6299.9999999999854</v>
      </c>
      <c r="Q54" s="6"/>
    </row>
    <row r="55" spans="1:17" ht="12" x14ac:dyDescent="0.2">
      <c r="B55" s="9" t="s">
        <v>1</v>
      </c>
      <c r="C55" s="7">
        <f ca="1">'6.Balance'!E31</f>
        <v>0</v>
      </c>
      <c r="D55" s="7">
        <f t="shared" ref="D55:P55" ca="1" si="10">$C$55</f>
        <v>0</v>
      </c>
      <c r="E55" s="7">
        <f t="shared" ca="1" si="10"/>
        <v>0</v>
      </c>
      <c r="F55" s="7">
        <f t="shared" ca="1" si="10"/>
        <v>0</v>
      </c>
      <c r="G55" s="7">
        <f t="shared" ca="1" si="10"/>
        <v>0</v>
      </c>
      <c r="H55" s="7">
        <f t="shared" ca="1" si="10"/>
        <v>0</v>
      </c>
      <c r="I55" s="7">
        <f t="shared" ca="1" si="10"/>
        <v>0</v>
      </c>
      <c r="J55" s="7">
        <f t="shared" ca="1" si="10"/>
        <v>0</v>
      </c>
      <c r="K55" s="7">
        <f t="shared" ca="1" si="10"/>
        <v>0</v>
      </c>
      <c r="L55" s="7">
        <f t="shared" ca="1" si="10"/>
        <v>0</v>
      </c>
      <c r="M55" s="7">
        <f t="shared" ca="1" si="10"/>
        <v>0</v>
      </c>
      <c r="N55" s="7">
        <f t="shared" ca="1" si="10"/>
        <v>0</v>
      </c>
      <c r="O55" s="7">
        <f t="shared" ca="1" si="10"/>
        <v>0</v>
      </c>
      <c r="P55" s="7">
        <f t="shared" ca="1" si="10"/>
        <v>0</v>
      </c>
      <c r="Q55" s="6"/>
    </row>
    <row r="56" spans="1:17" ht="12" x14ac:dyDescent="0.2">
      <c r="B56" s="8" t="s">
        <v>0</v>
      </c>
      <c r="C56" s="7">
        <f t="shared" ref="C56:P56" ca="1" si="11">C54-C55</f>
        <v>106299.99999999999</v>
      </c>
      <c r="D56" s="7">
        <f t="shared" ca="1" si="11"/>
        <v>106299.99999999999</v>
      </c>
      <c r="E56" s="7">
        <f t="shared" ca="1" si="11"/>
        <v>106299.99999999999</v>
      </c>
      <c r="F56" s="7">
        <f t="shared" ca="1" si="11"/>
        <v>6299.9999999999854</v>
      </c>
      <c r="G56" s="7">
        <f t="shared" ca="1" si="11"/>
        <v>6299.9999999999854</v>
      </c>
      <c r="H56" s="7">
        <f t="shared" ca="1" si="11"/>
        <v>6299.9999999999854</v>
      </c>
      <c r="I56" s="7">
        <f t="shared" ca="1" si="11"/>
        <v>6299.9999999999854</v>
      </c>
      <c r="J56" s="7">
        <f t="shared" ca="1" si="11"/>
        <v>6299.9999999999854</v>
      </c>
      <c r="K56" s="7">
        <f t="shared" ca="1" si="11"/>
        <v>6299.9999999999854</v>
      </c>
      <c r="L56" s="7">
        <f t="shared" ca="1" si="11"/>
        <v>6299.9999999999854</v>
      </c>
      <c r="M56" s="7">
        <f t="shared" ca="1" si="11"/>
        <v>6299.9999999999854</v>
      </c>
      <c r="N56" s="7">
        <f t="shared" ca="1" si="11"/>
        <v>6299.9999999999854</v>
      </c>
      <c r="O56" s="7">
        <f t="shared" ca="1" si="11"/>
        <v>6299.9999999999854</v>
      </c>
      <c r="P56" s="7">
        <f t="shared" ca="1" si="11"/>
        <v>6299.9999999999854</v>
      </c>
      <c r="Q56" s="6"/>
    </row>
    <row r="57" spans="1:17" ht="12" x14ac:dyDescent="0.2">
      <c r="B57" s="5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</row>
    <row r="59" spans="1:17" x14ac:dyDescent="0.2">
      <c r="C59" s="3"/>
    </row>
  </sheetData>
  <sheetProtection insertColumns="0" insertRows="0"/>
  <conditionalFormatting sqref="D10:O11">
    <cfRule type="expression" dxfId="81" priority="11" stopIfTrue="1">
      <formula>D$7=1</formula>
    </cfRule>
    <cfRule type="expression" dxfId="80" priority="12" stopIfTrue="1">
      <formula>D$7=0</formula>
    </cfRule>
  </conditionalFormatting>
  <conditionalFormatting sqref="C57:P57">
    <cfRule type="cellIs" dxfId="79" priority="10" stopIfTrue="1" operator="lessThanOrEqual">
      <formula>$C$6</formula>
    </cfRule>
  </conditionalFormatting>
  <conditionalFormatting sqref="C12:P12">
    <cfRule type="cellIs" dxfId="78" priority="9" stopIfTrue="1" operator="lessThanOrEqual">
      <formula>$D$5</formula>
    </cfRule>
  </conditionalFormatting>
  <conditionalFormatting sqref="B20:B21">
    <cfRule type="duplicateValues" dxfId="77" priority="8"/>
  </conditionalFormatting>
  <conditionalFormatting sqref="B45">
    <cfRule type="duplicateValues" dxfId="76" priority="7"/>
  </conditionalFormatting>
  <conditionalFormatting sqref="B46">
    <cfRule type="duplicateValues" dxfId="75" priority="6"/>
  </conditionalFormatting>
  <conditionalFormatting sqref="B53">
    <cfRule type="duplicateValues" dxfId="74" priority="5"/>
  </conditionalFormatting>
  <conditionalFormatting sqref="C56:P56">
    <cfRule type="colorScale" priority="4">
      <colorScale>
        <cfvo type="min"/>
        <cfvo type="num" val="0"/>
        <cfvo type="max"/>
        <color theme="5" tint="0.39997558519241921"/>
        <color theme="0" tint="-0.249977111117893"/>
        <color theme="4"/>
      </colorScale>
    </cfRule>
  </conditionalFormatting>
  <conditionalFormatting sqref="B28">
    <cfRule type="duplicateValues" dxfId="73" priority="3"/>
  </conditionalFormatting>
  <conditionalFormatting sqref="B29">
    <cfRule type="duplicateValues" dxfId="72" priority="2"/>
  </conditionalFormatting>
  <conditionalFormatting sqref="B30">
    <cfRule type="duplicateValues" dxfId="71" priority="1"/>
  </conditionalFormatting>
  <dataValidations count="6">
    <dataValidation type="decimal" operator="lessThanOrEqual" allowBlank="1" showInputMessage="1" showErrorMessage="1" sqref="C20:P20 C54:P55">
      <formula1>10000000</formula1>
    </dataValidation>
    <dataValidation type="decimal" allowBlank="1" showInputMessage="1" sqref="C21:P21 C56:P56 D15:D19 D47:D52 C12:C15 D13:P14 D22:D44 D6:P11 C7:C10">
      <formula1>-10000000</formula1>
      <formula2>10000000</formula2>
    </dataValidation>
    <dataValidation type="decimal" operator="lessThanOrEqual" allowBlank="1" showInputMessage="1" showErrorMessage="1" error="Please enter a number greater than zero." sqref="C6">
      <formula1>10000000</formula1>
    </dataValidation>
    <dataValidation type="date" allowBlank="1" showInputMessage="1" error="Please enter a valid date." sqref="C5">
      <formula1>1</formula1>
      <formula2>73415</formula2>
    </dataValidation>
    <dataValidation operator="greaterThanOrEqual" allowBlank="1" showInputMessage="1" showErrorMessage="1" error="Please enter a number greater than zero." sqref="C11"/>
    <dataValidation type="decimal" operator="lessThanOrEqual" allowBlank="1" showInputMessage="1" sqref="D12:P12">
      <formula1>10000000</formula1>
    </dataValidation>
  </dataValidations>
  <pageMargins left="0" right="0" top="0.5" bottom="0.25" header="0" footer="0"/>
  <pageSetup paperSize="9" scale="7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51"/>
  <sheetViews>
    <sheetView view="pageBreakPreview" zoomScaleNormal="100" zoomScaleSheetLayoutView="100" workbookViewId="0">
      <selection activeCell="E7" sqref="E7"/>
    </sheetView>
  </sheetViews>
  <sheetFormatPr defaultColWidth="9" defaultRowHeight="11.25" x14ac:dyDescent="0.2"/>
  <cols>
    <col min="1" max="1" width="9" style="95"/>
    <col min="2" max="2" width="9.75" style="95" customWidth="1"/>
    <col min="3" max="3" width="9" style="95"/>
    <col min="4" max="4" width="9.875" style="95" customWidth="1"/>
    <col min="5" max="6" width="12.875" style="95" customWidth="1"/>
    <col min="7" max="9" width="12.875" style="95" hidden="1" customWidth="1"/>
    <col min="10" max="10" width="6.625" style="95" hidden="1" customWidth="1"/>
    <col min="11" max="12" width="6.125" style="95" hidden="1" customWidth="1"/>
    <col min="13" max="13" width="12.875" style="95" hidden="1" customWidth="1"/>
    <col min="14" max="14" width="9" style="95"/>
    <col min="15" max="15" width="9" style="95" bestFit="1" customWidth="1"/>
    <col min="16" max="16" width="8" style="95" customWidth="1"/>
    <col min="17" max="17" width="10.625" style="95" bestFit="1" customWidth="1"/>
    <col min="18" max="16384" width="9" style="95"/>
  </cols>
  <sheetData>
    <row r="1" spans="1:18" ht="15" x14ac:dyDescent="0.2">
      <c r="A1" s="57" t="str">
        <f>'2.Cash Flow'!B2</f>
        <v>COMPANY NAME</v>
      </c>
    </row>
    <row r="2" spans="1:18" ht="15" x14ac:dyDescent="0.2">
      <c r="A2" s="57" t="s">
        <v>90</v>
      </c>
    </row>
    <row r="3" spans="1:18" ht="15" x14ac:dyDescent="0.2">
      <c r="A3" s="57"/>
      <c r="H3" s="142"/>
    </row>
    <row r="4" spans="1:18" ht="12" thickBot="1" x14ac:dyDescent="0.25">
      <c r="A4" s="142" t="s">
        <v>89</v>
      </c>
      <c r="B4" s="142" t="s">
        <v>88</v>
      </c>
      <c r="C4" s="142" t="s">
        <v>59</v>
      </c>
      <c r="E4" s="142"/>
      <c r="F4" s="142"/>
      <c r="G4" s="142" t="s">
        <v>87</v>
      </c>
      <c r="H4" s="142" t="s">
        <v>37</v>
      </c>
      <c r="I4" s="142" t="s">
        <v>38</v>
      </c>
      <c r="J4" s="143" t="s">
        <v>39</v>
      </c>
      <c r="K4" s="143" t="s">
        <v>36</v>
      </c>
      <c r="L4" s="143" t="s">
        <v>14</v>
      </c>
      <c r="M4" s="142" t="s">
        <v>34</v>
      </c>
      <c r="O4" s="142" t="s">
        <v>86</v>
      </c>
      <c r="Q4" s="142" t="s">
        <v>85</v>
      </c>
    </row>
    <row r="5" spans="1:18" ht="12.75" thickBot="1" x14ac:dyDescent="0.25">
      <c r="A5" s="141">
        <v>1</v>
      </c>
      <c r="B5" s="140" t="s">
        <v>84</v>
      </c>
      <c r="C5" s="139" t="s">
        <v>32</v>
      </c>
      <c r="D5" s="138" t="s">
        <v>83</v>
      </c>
      <c r="E5" s="137">
        <f ca="1">E10/$A10+E11/$A11+E12/$A12+E15/$A15+E17/$A17+E18/$A18+ E19/$A19+E20/$A20+E21/$A21+E14/$A14+E7/$A7+E8/$A8+E9/$A9+E16/$A$16+E13/$A$13</f>
        <v>106299.99999999999</v>
      </c>
      <c r="F5" s="137">
        <f ca="1">F10/$A10+F11/$A11+F12/$A12+F15/$A15+F17/$A17+F18/$A18+ F19/$A19+F20/$A20+F21/$A21+F14/$A14+F7/$A7+F8/$A8+F9/$A9+F16/$A$16+F13/$A$13</f>
        <v>0</v>
      </c>
      <c r="G5" s="137">
        <f t="shared" ref="G5:L5" ca="1" si="0">G10/$A10+G11/$A11+G12/$A12+G15/$A15+G17/$A17+G18/$A18+ G19/$A19+G20/$A20+G21/$A21+G14/$A14+G7/$A7+G8/$A8+G9/$A9+G16/$A$16</f>
        <v>0</v>
      </c>
      <c r="H5" s="137">
        <f t="shared" ca="1" si="0"/>
        <v>0</v>
      </c>
      <c r="I5" s="137">
        <f t="shared" ca="1" si="0"/>
        <v>0</v>
      </c>
      <c r="J5" s="137">
        <f t="shared" ca="1" si="0"/>
        <v>0</v>
      </c>
      <c r="K5" s="137">
        <f t="shared" ca="1" si="0"/>
        <v>0</v>
      </c>
      <c r="L5" s="137">
        <f t="shared" ca="1" si="0"/>
        <v>0</v>
      </c>
      <c r="M5" s="137">
        <f ca="1">M10/$A10+M11/$A11+M12/$A12+M15/$A15+M17/$A17+M18/$A18+ M19/$A19+M20/$A20+M21/$A21+M14/$A14+M7/$A7+M8/$A8+M9/$A9+M16/$A$16+M13/$A$13</f>
        <v>0</v>
      </c>
      <c r="O5" s="136">
        <f ca="1">SUM(E5:M5)</f>
        <v>106299.99999999999</v>
      </c>
      <c r="P5" s="97"/>
      <c r="Q5" s="136">
        <f ca="1">SUM(Q7:Q21)</f>
        <v>106299.99999999999</v>
      </c>
    </row>
    <row r="6" spans="1:18" x14ac:dyDescent="0.2">
      <c r="A6" s="135"/>
      <c r="B6" s="126"/>
      <c r="C6" s="134"/>
      <c r="D6" s="126"/>
      <c r="E6" s="128"/>
      <c r="F6" s="128"/>
      <c r="G6" s="128"/>
      <c r="H6" s="128"/>
      <c r="I6" s="128"/>
      <c r="J6" s="128"/>
      <c r="K6" s="128"/>
      <c r="L6" s="128"/>
      <c r="M6" s="128"/>
      <c r="O6" s="126"/>
      <c r="Q6" s="126"/>
    </row>
    <row r="7" spans="1:18" x14ac:dyDescent="0.2">
      <c r="A7" s="129">
        <f ca="1">VLOOKUP(MIN(ECBMax,$E$34),FXDATA,VLOOKUP(C7,Options!$A$4:$B$10,2,FALSE),FALSE)</f>
        <v>0.94073377234242717</v>
      </c>
      <c r="B7" s="128"/>
      <c r="C7" s="127" t="s">
        <v>33</v>
      </c>
      <c r="D7" s="126"/>
      <c r="E7" s="125">
        <v>100000</v>
      </c>
      <c r="F7" s="124"/>
      <c r="G7" s="133"/>
      <c r="H7" s="124"/>
      <c r="I7" s="124"/>
      <c r="J7" s="124"/>
      <c r="K7" s="124"/>
      <c r="L7" s="124"/>
      <c r="M7" s="124"/>
      <c r="O7" s="123">
        <f t="shared" ref="O7:O15" si="1">SUM(E7:N7)</f>
        <v>100000</v>
      </c>
      <c r="Q7" s="123">
        <f t="shared" ref="Q7:Q15" ca="1" si="2">O7/A7</f>
        <v>106299.99999999999</v>
      </c>
    </row>
    <row r="8" spans="1:18" x14ac:dyDescent="0.2">
      <c r="A8" s="129">
        <f ca="1">VLOOKUP(MIN(ECBMax,$E$34),FXDATA,VLOOKUP(C8,Options!$A$4:$B$10,2,FALSE),FALSE)</f>
        <v>1</v>
      </c>
      <c r="B8" s="128"/>
      <c r="C8" s="127" t="s">
        <v>32</v>
      </c>
      <c r="D8" s="126"/>
      <c r="E8" s="125"/>
      <c r="F8" s="124"/>
      <c r="G8" s="133"/>
      <c r="H8" s="124"/>
      <c r="I8" s="124"/>
      <c r="J8" s="124"/>
      <c r="K8" s="124"/>
      <c r="L8" s="124"/>
      <c r="M8" s="124"/>
      <c r="O8" s="123">
        <f t="shared" si="1"/>
        <v>0</v>
      </c>
      <c r="Q8" s="123">
        <f t="shared" ca="1" si="2"/>
        <v>0</v>
      </c>
      <c r="R8" s="96">
        <f ca="1">Q8*A7</f>
        <v>0</v>
      </c>
    </row>
    <row r="9" spans="1:18" x14ac:dyDescent="0.2">
      <c r="A9" s="129">
        <f ca="1">VLOOKUP(MIN(ECBMax,$E$34),FXDATA,VLOOKUP(C9,Options!$A$4:$B$10,2,FALSE),FALSE)</f>
        <v>8.3497648165569149</v>
      </c>
      <c r="B9" s="128"/>
      <c r="C9" s="127" t="s">
        <v>35</v>
      </c>
      <c r="D9" s="126"/>
      <c r="E9" s="125"/>
      <c r="F9" s="124"/>
      <c r="G9" s="133"/>
      <c r="H9" s="124"/>
      <c r="I9" s="124"/>
      <c r="J9" s="124"/>
      <c r="K9" s="124"/>
      <c r="L9" s="124"/>
      <c r="M9" s="124"/>
      <c r="O9" s="123">
        <f t="shared" si="1"/>
        <v>0</v>
      </c>
      <c r="Q9" s="123">
        <f t="shared" ca="1" si="2"/>
        <v>0</v>
      </c>
      <c r="R9" s="96">
        <f ca="1">Q9*A7</f>
        <v>0</v>
      </c>
    </row>
    <row r="10" spans="1:18" x14ac:dyDescent="0.2">
      <c r="A10" s="129">
        <f ca="1">VLOOKUP(MIN(ECBMax,$E$34),FXDATA,VLOOKUP(C10,Options!$A$4:$B$10,2,FALSE),FALSE)</f>
        <v>1</v>
      </c>
      <c r="B10" s="128"/>
      <c r="C10" s="127" t="s">
        <v>32</v>
      </c>
      <c r="D10" s="126"/>
      <c r="E10" s="125"/>
      <c r="F10" s="125"/>
      <c r="G10" s="124"/>
      <c r="H10" s="124"/>
      <c r="I10" s="124"/>
      <c r="J10" s="124"/>
      <c r="K10" s="124"/>
      <c r="L10" s="124"/>
      <c r="M10" s="125"/>
      <c r="O10" s="123">
        <f t="shared" si="1"/>
        <v>0</v>
      </c>
      <c r="Q10" s="123">
        <f t="shared" ca="1" si="2"/>
        <v>0</v>
      </c>
    </row>
    <row r="11" spans="1:18" x14ac:dyDescent="0.2">
      <c r="A11" s="129">
        <f ca="1">VLOOKUP(MIN(ECBMax,$E$34),FXDATA,VLOOKUP(C11,Options!$A$4:$B$10,2,FALSE),FALSE)</f>
        <v>8.3497648165569149</v>
      </c>
      <c r="B11" s="128"/>
      <c r="C11" s="127" t="s">
        <v>35</v>
      </c>
      <c r="D11" s="128" t="s">
        <v>82</v>
      </c>
      <c r="E11" s="125"/>
      <c r="F11" s="125"/>
      <c r="G11" s="124"/>
      <c r="H11" s="124"/>
      <c r="I11" s="124"/>
      <c r="J11" s="124"/>
      <c r="K11" s="124"/>
      <c r="L11" s="124"/>
      <c r="M11" s="130"/>
      <c r="O11" s="123">
        <f t="shared" si="1"/>
        <v>0</v>
      </c>
      <c r="Q11" s="123">
        <f t="shared" ca="1" si="2"/>
        <v>0</v>
      </c>
    </row>
    <row r="12" spans="1:18" x14ac:dyDescent="0.2">
      <c r="A12" s="129">
        <f ca="1">VLOOKUP(MIN(ECBMax,$E$34),FXDATA,VLOOKUP(C12,Options!$A$4:$B$10,2,FALSE),FALSE)</f>
        <v>0.94073377234242717</v>
      </c>
      <c r="B12" s="128"/>
      <c r="C12" s="127" t="s">
        <v>33</v>
      </c>
      <c r="D12" s="126"/>
      <c r="E12" s="125"/>
      <c r="F12" s="125"/>
      <c r="G12" s="124"/>
      <c r="H12" s="124"/>
      <c r="I12" s="124"/>
      <c r="J12" s="124"/>
      <c r="K12" s="124"/>
      <c r="L12" s="124"/>
      <c r="M12" s="125"/>
      <c r="O12" s="123">
        <f t="shared" si="1"/>
        <v>0</v>
      </c>
      <c r="Q12" s="123">
        <f t="shared" ca="1" si="2"/>
        <v>0</v>
      </c>
    </row>
    <row r="13" spans="1:18" x14ac:dyDescent="0.2">
      <c r="A13" s="129">
        <f ca="1">VLOOKUP(MIN(ECBMax,$E$34),FXDATA,VLOOKUP(C13,Options!$A$4:$B$10,2,FALSE),FALSE)</f>
        <v>0.7990122295390405</v>
      </c>
      <c r="B13" s="128"/>
      <c r="C13" s="127" t="s">
        <v>41</v>
      </c>
      <c r="D13" s="126"/>
      <c r="E13" s="125"/>
      <c r="F13" s="125"/>
      <c r="G13" s="124"/>
      <c r="H13" s="124"/>
      <c r="I13" s="124"/>
      <c r="J13" s="124"/>
      <c r="K13" s="124"/>
      <c r="L13" s="124"/>
      <c r="M13" s="132"/>
      <c r="O13" s="123">
        <f t="shared" si="1"/>
        <v>0</v>
      </c>
      <c r="Q13" s="123">
        <f t="shared" ca="1" si="2"/>
        <v>0</v>
      </c>
    </row>
    <row r="14" spans="1:18" x14ac:dyDescent="0.2">
      <c r="A14" s="129">
        <f ca="1">VLOOKUP(MIN(ECBMax,$E$34),FXDATA,VLOOKUP(C14,Options!$A$4:$B$10,2,FALSE),FALSE)</f>
        <v>1</v>
      </c>
      <c r="B14" s="128"/>
      <c r="C14" s="127" t="s">
        <v>32</v>
      </c>
      <c r="D14" s="126"/>
      <c r="E14" s="125"/>
      <c r="F14" s="125"/>
      <c r="G14" s="124"/>
      <c r="H14" s="124"/>
      <c r="I14" s="124"/>
      <c r="J14" s="124"/>
      <c r="K14" s="124"/>
      <c r="L14" s="124"/>
      <c r="M14" s="131"/>
      <c r="O14" s="123">
        <f t="shared" si="1"/>
        <v>0</v>
      </c>
      <c r="Q14" s="123">
        <f t="shared" ca="1" si="2"/>
        <v>0</v>
      </c>
    </row>
    <row r="15" spans="1:18" x14ac:dyDescent="0.2">
      <c r="A15" s="129">
        <f ca="1">VLOOKUP(MIN(ECBMax,$E$34),FXDATA,VLOOKUP(C15,Options!$A$4:$B$10,2,FALSE),FALSE)</f>
        <v>1</v>
      </c>
      <c r="B15" s="128"/>
      <c r="C15" s="127" t="s">
        <v>32</v>
      </c>
      <c r="D15" s="126"/>
      <c r="E15" s="125"/>
      <c r="F15" s="130"/>
      <c r="G15" s="124"/>
      <c r="H15" s="124"/>
      <c r="I15" s="124"/>
      <c r="J15" s="124"/>
      <c r="K15" s="124"/>
      <c r="L15" s="124"/>
      <c r="M15" s="124"/>
      <c r="N15" s="98"/>
      <c r="O15" s="123">
        <f t="shared" si="1"/>
        <v>0</v>
      </c>
      <c r="Q15" s="123">
        <f t="shared" ca="1" si="2"/>
        <v>0</v>
      </c>
    </row>
    <row r="16" spans="1:18" x14ac:dyDescent="0.2">
      <c r="A16" s="129">
        <f ca="1">VLOOKUP(MIN(ECBMax,$E$34),FXDATA,VLOOKUP(C16,Options!$A$4:$B$10,2,FALSE),FALSE)</f>
        <v>1</v>
      </c>
      <c r="B16" s="128"/>
      <c r="C16" s="127" t="s">
        <v>32</v>
      </c>
      <c r="D16" s="126"/>
      <c r="E16" s="124"/>
      <c r="F16" s="124"/>
      <c r="G16" s="124"/>
      <c r="H16" s="124"/>
      <c r="I16" s="124"/>
      <c r="J16" s="125"/>
      <c r="K16" s="124"/>
      <c r="L16" s="124"/>
      <c r="M16" s="124"/>
      <c r="N16" s="98"/>
      <c r="O16" s="123"/>
      <c r="Q16" s="123"/>
    </row>
    <row r="17" spans="1:17" x14ac:dyDescent="0.2">
      <c r="A17" s="129">
        <f ca="1">VLOOKUP(MIN(ECBMax,$E$34),FXDATA,VLOOKUP(C17,Options!$A$4:$B$10,2,FALSE),FALSE)</f>
        <v>0.94073377234242717</v>
      </c>
      <c r="B17" s="128"/>
      <c r="C17" s="127" t="s">
        <v>33</v>
      </c>
      <c r="D17" s="126"/>
      <c r="E17" s="124"/>
      <c r="F17" s="124"/>
      <c r="G17" s="125"/>
      <c r="H17" s="124"/>
      <c r="I17" s="125"/>
      <c r="J17" s="124"/>
      <c r="K17" s="124"/>
      <c r="L17" s="124"/>
      <c r="M17" s="124"/>
      <c r="O17" s="123">
        <f>SUM(E17:N17)</f>
        <v>0</v>
      </c>
      <c r="Q17" s="123">
        <f ca="1">O17/A17</f>
        <v>0</v>
      </c>
    </row>
    <row r="18" spans="1:17" x14ac:dyDescent="0.2">
      <c r="A18" s="129">
        <f ca="1">VLOOKUP(MIN(ECBMax,$E$34),FXDATA,VLOOKUP(C18,Options!$A$4:$B$10,2,FALSE),FALSE)</f>
        <v>1</v>
      </c>
      <c r="B18" s="128"/>
      <c r="C18" s="127" t="s">
        <v>32</v>
      </c>
      <c r="D18" s="126"/>
      <c r="E18" s="124"/>
      <c r="F18" s="124"/>
      <c r="G18" s="125"/>
      <c r="H18" s="124"/>
      <c r="I18" s="125"/>
      <c r="J18" s="124"/>
      <c r="K18" s="124"/>
      <c r="L18" s="124"/>
      <c r="M18" s="124"/>
      <c r="O18" s="123">
        <f>SUM(E18:N18)</f>
        <v>0</v>
      </c>
      <c r="Q18" s="123">
        <f ca="1">O18/A18</f>
        <v>0</v>
      </c>
    </row>
    <row r="19" spans="1:17" x14ac:dyDescent="0.2">
      <c r="A19" s="129">
        <f ca="1">VLOOKUP(MIN(ECBMax,$E$34),FXDATA,VLOOKUP(C19,Options!$A$4:$B$10,2,FALSE),FALSE)</f>
        <v>8.3497648165569149</v>
      </c>
      <c r="B19" s="128"/>
      <c r="C19" s="127" t="s">
        <v>35</v>
      </c>
      <c r="D19" s="126"/>
      <c r="E19" s="124"/>
      <c r="F19" s="124"/>
      <c r="G19" s="125"/>
      <c r="H19" s="124"/>
      <c r="I19" s="124"/>
      <c r="J19" s="124"/>
      <c r="K19" s="124"/>
      <c r="L19" s="124"/>
      <c r="M19" s="124"/>
      <c r="O19" s="123">
        <f>SUM(E19:N19)</f>
        <v>0</v>
      </c>
      <c r="Q19" s="123">
        <f ca="1">O19/A19</f>
        <v>0</v>
      </c>
    </row>
    <row r="20" spans="1:17" x14ac:dyDescent="0.2">
      <c r="A20" s="129">
        <f ca="1">VLOOKUP(MIN(ECBMax,$E$34),FXDATA,VLOOKUP(C20,Options!$A$4:$B$10,2,FALSE),FALSE)</f>
        <v>1</v>
      </c>
      <c r="B20" s="128"/>
      <c r="C20" s="127" t="s">
        <v>32</v>
      </c>
      <c r="D20" s="126"/>
      <c r="E20" s="124"/>
      <c r="F20" s="124"/>
      <c r="G20" s="124"/>
      <c r="H20" s="125"/>
      <c r="I20" s="124"/>
      <c r="J20" s="124"/>
      <c r="K20" s="124"/>
      <c r="L20" s="124"/>
      <c r="M20" s="124"/>
      <c r="O20" s="123">
        <f>SUM(E20:N20)</f>
        <v>0</v>
      </c>
      <c r="Q20" s="123">
        <f ca="1">O20/A20</f>
        <v>0</v>
      </c>
    </row>
    <row r="21" spans="1:17" ht="12" thickBot="1" x14ac:dyDescent="0.25">
      <c r="A21" s="122">
        <f ca="1">VLOOKUP(MIN(ECBMax,$E$34),FXDATA,VLOOKUP(C21,Options!$A$4:$B$10,2,FALSE),FALSE)</f>
        <v>8.3497648165569149</v>
      </c>
      <c r="B21" s="121"/>
      <c r="C21" s="120" t="s">
        <v>35</v>
      </c>
      <c r="D21" s="119"/>
      <c r="E21" s="117"/>
      <c r="F21" s="117"/>
      <c r="G21" s="117"/>
      <c r="H21" s="118"/>
      <c r="I21" s="117"/>
      <c r="J21" s="117"/>
      <c r="K21" s="117"/>
      <c r="L21" s="117"/>
      <c r="M21" s="117"/>
      <c r="O21" s="116">
        <f>SUM(E21:N21)</f>
        <v>0</v>
      </c>
      <c r="Q21" s="116">
        <f ca="1">O21/A21</f>
        <v>0</v>
      </c>
    </row>
    <row r="23" spans="1:17" ht="12" thickBot="1" x14ac:dyDescent="0.25">
      <c r="G23" s="95">
        <v>0</v>
      </c>
    </row>
    <row r="24" spans="1:17" ht="12" thickBot="1" x14ac:dyDescent="0.25">
      <c r="A24" s="115" t="s">
        <v>81</v>
      </c>
      <c r="B24" s="106"/>
      <c r="C24" s="106"/>
      <c r="D24" s="106"/>
      <c r="E24" s="114" t="s">
        <v>32</v>
      </c>
      <c r="F24" s="113" t="s">
        <v>61</v>
      </c>
      <c r="G24" s="106"/>
      <c r="H24" s="106"/>
      <c r="I24" s="106"/>
      <c r="J24" s="106"/>
      <c r="K24" s="106"/>
      <c r="L24" s="106"/>
      <c r="M24" s="106"/>
      <c r="O24" s="106"/>
      <c r="Q24" s="106"/>
    </row>
    <row r="25" spans="1:17" x14ac:dyDescent="0.2">
      <c r="A25" s="100" t="s">
        <v>98</v>
      </c>
      <c r="E25" s="110">
        <f ca="1">E10/A10+F10/A10+SUM(E11:F11)/A11+SUM(E12:F12)/A12+SUM(E14:F14)/A14+SUM(E13:F13)/A13</f>
        <v>0</v>
      </c>
      <c r="F25" s="112"/>
      <c r="G25" s="97"/>
    </row>
    <row r="26" spans="1:17" x14ac:dyDescent="0.2">
      <c r="A26" s="100" t="s">
        <v>80</v>
      </c>
      <c r="E26" s="110"/>
      <c r="F26" s="109"/>
    </row>
    <row r="27" spans="1:17" x14ac:dyDescent="0.2">
      <c r="A27" s="100" t="s">
        <v>79</v>
      </c>
      <c r="E27" s="105"/>
      <c r="F27" s="111"/>
      <c r="G27" s="97"/>
    </row>
    <row r="28" spans="1:17" x14ac:dyDescent="0.2">
      <c r="A28" s="100" t="s">
        <v>78</v>
      </c>
      <c r="E28" s="110"/>
      <c r="F28" s="109"/>
    </row>
    <row r="29" spans="1:17" x14ac:dyDescent="0.2">
      <c r="A29" s="100" t="s">
        <v>77</v>
      </c>
      <c r="E29" s="105">
        <f>E28+E27</f>
        <v>0</v>
      </c>
      <c r="F29" s="100"/>
    </row>
    <row r="30" spans="1:17" ht="12" thickBot="1" x14ac:dyDescent="0.25">
      <c r="E30" s="100"/>
      <c r="F30" s="100"/>
    </row>
    <row r="31" spans="1:17" ht="12" thickBot="1" x14ac:dyDescent="0.25">
      <c r="A31" s="107" t="s">
        <v>76</v>
      </c>
      <c r="B31" s="106"/>
      <c r="C31" s="106"/>
      <c r="D31" s="106"/>
      <c r="E31" s="108">
        <f ca="1">E25-E29</f>
        <v>0</v>
      </c>
      <c r="F31" s="107"/>
      <c r="G31" s="106"/>
      <c r="H31" s="106"/>
      <c r="I31" s="106"/>
      <c r="J31" s="106"/>
      <c r="K31" s="106"/>
      <c r="L31" s="106"/>
      <c r="M31" s="106"/>
      <c r="O31" s="106"/>
      <c r="Q31" s="106"/>
    </row>
    <row r="32" spans="1:17" x14ac:dyDescent="0.2">
      <c r="E32" s="105"/>
      <c r="F32" s="100"/>
    </row>
    <row r="33" spans="1:7" ht="12" thickBot="1" x14ac:dyDescent="0.25">
      <c r="E33" s="96"/>
    </row>
    <row r="34" spans="1:7" ht="12" thickBot="1" x14ac:dyDescent="0.25">
      <c r="A34" s="102" t="s">
        <v>75</v>
      </c>
      <c r="E34" s="104"/>
    </row>
    <row r="36" spans="1:7" x14ac:dyDescent="0.2">
      <c r="A36" s="102" t="s">
        <v>74</v>
      </c>
      <c r="E36" s="103"/>
    </row>
    <row r="37" spans="1:7" x14ac:dyDescent="0.2">
      <c r="A37" s="102" t="s">
        <v>73</v>
      </c>
      <c r="E37" s="101">
        <f ca="1">O5</f>
        <v>106299.99999999999</v>
      </c>
    </row>
    <row r="38" spans="1:7" ht="12" thickBot="1" x14ac:dyDescent="0.25">
      <c r="A38" s="102" t="s">
        <v>72</v>
      </c>
      <c r="E38" s="101">
        <f ca="1">SUMIFS(CashFlowsData[InUSD],CashFlowsData[Was Paid],1,CashFlowsData[Effective Date],"&gt;"&amp;'6.Balance'!E34)*0</f>
        <v>0</v>
      </c>
    </row>
    <row r="39" spans="1:7" ht="12" thickBot="1" x14ac:dyDescent="0.25">
      <c r="A39" s="100" t="s">
        <v>71</v>
      </c>
      <c r="E39" s="99">
        <f ca="1">E37+E38</f>
        <v>106299.99999999999</v>
      </c>
    </row>
    <row r="41" spans="1:7" x14ac:dyDescent="0.2">
      <c r="E41" s="97"/>
    </row>
    <row r="42" spans="1:7" x14ac:dyDescent="0.2">
      <c r="E42" s="98"/>
    </row>
    <row r="43" spans="1:7" x14ac:dyDescent="0.2">
      <c r="E43" s="97"/>
      <c r="G43" s="95">
        <v>1250000</v>
      </c>
    </row>
    <row r="44" spans="1:7" x14ac:dyDescent="0.2">
      <c r="E44" s="97"/>
      <c r="F44" s="97"/>
      <c r="G44" s="97">
        <f>G43/5.9</f>
        <v>211864.40677966102</v>
      </c>
    </row>
    <row r="45" spans="1:7" x14ac:dyDescent="0.2">
      <c r="E45" s="97"/>
    </row>
    <row r="46" spans="1:7" x14ac:dyDescent="0.2">
      <c r="E46" s="96"/>
    </row>
    <row r="49" spans="5:7" x14ac:dyDescent="0.2">
      <c r="E49" s="97"/>
    </row>
    <row r="50" spans="5:7" x14ac:dyDescent="0.2">
      <c r="E50" s="97"/>
    </row>
    <row r="51" spans="5:7" x14ac:dyDescent="0.2">
      <c r="E51" s="96"/>
      <c r="F51" s="97"/>
      <c r="G51" s="96"/>
    </row>
  </sheetData>
  <pageMargins left="0.7" right="0.7" top="0.75" bottom="0.75" header="0.3" footer="0.3"/>
  <pageSetup paperSize="9" scale="76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35"/>
  <sheetViews>
    <sheetView topLeftCell="A32" zoomScaleNormal="100" workbookViewId="0">
      <selection activeCell="A48" sqref="A48"/>
    </sheetView>
  </sheetViews>
  <sheetFormatPr defaultColWidth="9" defaultRowHeight="14.25" customHeight="1" outlineLevelRow="1" x14ac:dyDescent="0.2"/>
  <cols>
    <col min="1" max="1" width="23.25" style="59" customWidth="1"/>
    <col min="2" max="2" width="27.625" style="59" bestFit="1" customWidth="1"/>
    <col min="3" max="3" width="35.125" style="59" customWidth="1"/>
    <col min="4" max="4" width="44" style="59" bestFit="1" customWidth="1"/>
    <col min="5" max="5" width="13.75" style="59" bestFit="1" customWidth="1"/>
    <col min="6" max="6" width="9.875" style="59" bestFit="1" customWidth="1"/>
    <col min="7" max="7" width="9" style="59"/>
    <col min="8" max="9" width="9.125" style="59" bestFit="1" customWidth="1"/>
    <col min="10" max="10" width="9.875" style="59" bestFit="1" customWidth="1"/>
    <col min="11" max="12" width="9.125" style="59" bestFit="1" customWidth="1"/>
    <col min="13" max="13" width="10.875" style="59" bestFit="1" customWidth="1"/>
    <col min="14" max="14" width="9.625" style="59" bestFit="1" customWidth="1"/>
    <col min="15" max="17" width="9.125" style="59" bestFit="1" customWidth="1"/>
    <col min="18" max="18" width="12.625" style="59" bestFit="1" customWidth="1"/>
    <col min="19" max="19" width="9.625" style="59" bestFit="1" customWidth="1"/>
    <col min="20" max="16384" width="9" style="59"/>
  </cols>
  <sheetData>
    <row r="1" spans="1:18" customFormat="1" hidden="1" outlineLevel="1" x14ac:dyDescent="0.2">
      <c r="A1" t="s">
        <v>63</v>
      </c>
      <c r="B1" t="s">
        <v>70</v>
      </c>
      <c r="C1" s="89"/>
      <c r="F1" s="89"/>
      <c r="I1" s="89"/>
      <c r="J1" s="89"/>
      <c r="R1" s="89"/>
    </row>
    <row r="2" spans="1:18" customFormat="1" hidden="1" outlineLevel="1" x14ac:dyDescent="0.2">
      <c r="A2" s="13" t="s">
        <v>23</v>
      </c>
      <c r="B2" t="s">
        <v>69</v>
      </c>
      <c r="C2" s="89"/>
      <c r="I2" s="89"/>
      <c r="J2" s="89"/>
      <c r="R2" s="89"/>
    </row>
    <row r="3" spans="1:18" customFormat="1" ht="24" hidden="1" outlineLevel="1" x14ac:dyDescent="0.2">
      <c r="A3" s="19" t="s">
        <v>22</v>
      </c>
      <c r="B3" t="s">
        <v>69</v>
      </c>
      <c r="C3" s="89"/>
      <c r="D3" s="92"/>
      <c r="I3" s="89"/>
      <c r="J3" s="89"/>
      <c r="R3" s="89"/>
    </row>
    <row r="4" spans="1:18" customFormat="1" hidden="1" outlineLevel="1" x14ac:dyDescent="0.2">
      <c r="A4" s="31" t="s">
        <v>21</v>
      </c>
      <c r="B4" t="s">
        <v>69</v>
      </c>
      <c r="C4" s="89"/>
      <c r="D4" s="93"/>
      <c r="I4" s="89"/>
      <c r="J4" s="89"/>
      <c r="R4" s="89"/>
    </row>
    <row r="5" spans="1:18" customFormat="1" hidden="1" outlineLevel="1" x14ac:dyDescent="0.2">
      <c r="A5" s="31" t="s">
        <v>20</v>
      </c>
      <c r="B5" t="s">
        <v>69</v>
      </c>
      <c r="C5" s="89"/>
      <c r="D5" s="92"/>
      <c r="I5" s="89"/>
      <c r="J5" s="89"/>
      <c r="R5" s="89"/>
    </row>
    <row r="6" spans="1:18" customFormat="1" hidden="1" outlineLevel="1" x14ac:dyDescent="0.2">
      <c r="A6" s="31" t="s">
        <v>19</v>
      </c>
      <c r="B6" t="s">
        <v>69</v>
      </c>
      <c r="C6" s="89"/>
      <c r="I6" s="89"/>
      <c r="J6" s="89"/>
      <c r="R6" s="89"/>
    </row>
    <row r="7" spans="1:18" customFormat="1" hidden="1" outlineLevel="1" x14ac:dyDescent="0.2">
      <c r="A7" s="31" t="s">
        <v>18</v>
      </c>
      <c r="B7" t="s">
        <v>69</v>
      </c>
      <c r="C7" s="89"/>
      <c r="I7" s="89"/>
      <c r="J7" s="89"/>
      <c r="R7" s="89"/>
    </row>
    <row r="8" spans="1:18" customFormat="1" hidden="1" outlineLevel="1" x14ac:dyDescent="0.2">
      <c r="A8" s="31" t="s">
        <v>17</v>
      </c>
      <c r="B8" t="s">
        <v>69</v>
      </c>
      <c r="C8" s="89"/>
      <c r="I8" s="89"/>
      <c r="J8" s="89"/>
      <c r="R8" s="89"/>
    </row>
    <row r="9" spans="1:18" customFormat="1" ht="24" hidden="1" outlineLevel="1" x14ac:dyDescent="0.2">
      <c r="A9" s="30" t="s">
        <v>16</v>
      </c>
      <c r="B9" t="s">
        <v>69</v>
      </c>
      <c r="C9" s="89"/>
      <c r="I9" s="89"/>
      <c r="J9" s="89"/>
      <c r="R9" s="89"/>
    </row>
    <row r="10" spans="1:18" customFormat="1" hidden="1" outlineLevel="1" x14ac:dyDescent="0.2">
      <c r="A10" s="24" t="s">
        <v>15</v>
      </c>
      <c r="B10" t="s">
        <v>68</v>
      </c>
      <c r="C10" s="89"/>
      <c r="I10" s="89"/>
      <c r="J10" s="89"/>
      <c r="R10" s="89"/>
    </row>
    <row r="11" spans="1:18" customFormat="1" hidden="1" outlineLevel="1" x14ac:dyDescent="0.2">
      <c r="A11" s="27"/>
      <c r="B11" t="s">
        <v>68</v>
      </c>
      <c r="C11" s="89"/>
      <c r="I11" s="89"/>
      <c r="J11" s="89"/>
      <c r="R11" s="89"/>
    </row>
    <row r="12" spans="1:18" customFormat="1" hidden="1" outlineLevel="1" x14ac:dyDescent="0.2">
      <c r="A12" s="19"/>
      <c r="B12" t="s">
        <v>68</v>
      </c>
      <c r="C12" s="89"/>
      <c r="I12" s="89"/>
      <c r="J12" s="89"/>
      <c r="R12" s="89"/>
    </row>
    <row r="13" spans="1:18" customFormat="1" hidden="1" outlineLevel="1" x14ac:dyDescent="0.2">
      <c r="A13" s="27"/>
      <c r="B13" t="s">
        <v>68</v>
      </c>
      <c r="C13" s="89"/>
      <c r="I13" s="89"/>
      <c r="J13" s="89"/>
      <c r="R13" s="89"/>
    </row>
    <row r="14" spans="1:18" customFormat="1" hidden="1" outlineLevel="1" x14ac:dyDescent="0.2">
      <c r="A14" s="27"/>
      <c r="B14" t="s">
        <v>68</v>
      </c>
      <c r="C14" s="89"/>
      <c r="I14" s="89"/>
      <c r="J14" s="89"/>
      <c r="R14" s="89"/>
    </row>
    <row r="15" spans="1:18" customFormat="1" hidden="1" outlineLevel="1" x14ac:dyDescent="0.2">
      <c r="A15" s="27"/>
      <c r="B15" t="s">
        <v>68</v>
      </c>
      <c r="C15" s="89"/>
      <c r="I15" s="89"/>
      <c r="J15" s="89"/>
      <c r="R15" s="89"/>
    </row>
    <row r="16" spans="1:18" customFormat="1" hidden="1" outlineLevel="1" x14ac:dyDescent="0.2">
      <c r="A16" s="27"/>
      <c r="B16" t="s">
        <v>68</v>
      </c>
      <c r="C16" s="89"/>
      <c r="I16" s="89"/>
      <c r="J16" s="89"/>
      <c r="R16" s="89"/>
    </row>
    <row r="17" spans="1:25" customFormat="1" hidden="1" outlineLevel="1" x14ac:dyDescent="0.2">
      <c r="A17" s="29"/>
      <c r="B17" t="s">
        <v>68</v>
      </c>
      <c r="C17" s="89"/>
      <c r="I17" s="89"/>
      <c r="J17" s="89"/>
      <c r="R17" s="89"/>
    </row>
    <row r="18" spans="1:25" customFormat="1" hidden="1" outlineLevel="1" x14ac:dyDescent="0.2">
      <c r="A18" s="29"/>
      <c r="B18" t="s">
        <v>68</v>
      </c>
      <c r="C18" s="89"/>
      <c r="I18" s="89"/>
      <c r="J18" s="89"/>
      <c r="R18" s="89"/>
    </row>
    <row r="19" spans="1:25" customFormat="1" hidden="1" outlineLevel="1" x14ac:dyDescent="0.2">
      <c r="A19" s="29" t="s">
        <v>13</v>
      </c>
      <c r="B19" t="s">
        <v>68</v>
      </c>
      <c r="C19" s="89"/>
      <c r="I19" s="89"/>
      <c r="J19" s="89"/>
      <c r="R19" s="89"/>
    </row>
    <row r="20" spans="1:25" customFormat="1" hidden="1" outlineLevel="1" x14ac:dyDescent="0.2">
      <c r="A20" s="27" t="s">
        <v>12</v>
      </c>
      <c r="B20" t="s">
        <v>68</v>
      </c>
      <c r="C20" s="89"/>
      <c r="F20" s="89"/>
      <c r="I20" s="89"/>
      <c r="J20" s="89"/>
      <c r="R20" s="89"/>
    </row>
    <row r="21" spans="1:25" customFormat="1" hidden="1" outlineLevel="1" x14ac:dyDescent="0.2">
      <c r="A21" s="26" t="s">
        <v>11</v>
      </c>
      <c r="B21" t="s">
        <v>68</v>
      </c>
      <c r="C21" s="89"/>
      <c r="F21" s="89"/>
      <c r="I21" s="89"/>
      <c r="J21" s="89"/>
      <c r="R21" s="89"/>
    </row>
    <row r="22" spans="1:25" customFormat="1" hidden="1" outlineLevel="1" x14ac:dyDescent="0.2">
      <c r="A22" s="24" t="s">
        <v>10</v>
      </c>
      <c r="B22" t="s">
        <v>67</v>
      </c>
      <c r="C22" s="89"/>
      <c r="F22" s="89"/>
      <c r="I22" s="89"/>
      <c r="J22" s="89"/>
      <c r="R22" s="89"/>
    </row>
    <row r="23" spans="1:25" customFormat="1" hidden="1" outlineLevel="1" x14ac:dyDescent="0.2">
      <c r="A23" s="19" t="s">
        <v>9</v>
      </c>
      <c r="B23" t="s">
        <v>67</v>
      </c>
      <c r="C23" s="89"/>
      <c r="F23" s="89"/>
      <c r="I23" s="89"/>
      <c r="J23" s="89"/>
      <c r="R23" s="89"/>
    </row>
    <row r="24" spans="1:25" customFormat="1" hidden="1" outlineLevel="1" x14ac:dyDescent="0.2">
      <c r="A24" s="19" t="s">
        <v>8</v>
      </c>
      <c r="B24" t="s">
        <v>67</v>
      </c>
      <c r="C24" s="89"/>
      <c r="F24" s="89"/>
      <c r="I24" s="89"/>
      <c r="J24" s="89"/>
      <c r="R24" s="89"/>
    </row>
    <row r="25" spans="1:25" customFormat="1" hidden="1" outlineLevel="1" x14ac:dyDescent="0.2">
      <c r="A25" s="19" t="s">
        <v>7</v>
      </c>
      <c r="B25" t="s">
        <v>67</v>
      </c>
      <c r="C25" s="89"/>
      <c r="F25" s="89"/>
      <c r="I25" s="89"/>
      <c r="J25" s="89" t="e">
        <v>#VALUE!</v>
      </c>
      <c r="R25" s="89"/>
    </row>
    <row r="26" spans="1:25" customFormat="1" hidden="1" outlineLevel="1" x14ac:dyDescent="0.2">
      <c r="A26" s="19" t="s">
        <v>6</v>
      </c>
      <c r="B26" t="s">
        <v>67</v>
      </c>
      <c r="C26" s="89"/>
      <c r="F26" s="89"/>
      <c r="I26" s="89"/>
      <c r="J26" s="89"/>
      <c r="R26" s="89"/>
    </row>
    <row r="27" spans="1:25" customFormat="1" hidden="1" outlineLevel="1" x14ac:dyDescent="0.2">
      <c r="A27" s="19" t="s">
        <v>5</v>
      </c>
      <c r="B27" t="s">
        <v>67</v>
      </c>
      <c r="C27" s="89"/>
      <c r="F27" s="89"/>
      <c r="I27" s="89"/>
      <c r="J27" s="89"/>
      <c r="R27" s="89"/>
    </row>
    <row r="28" spans="1:25" customFormat="1" hidden="1" outlineLevel="1" x14ac:dyDescent="0.2">
      <c r="A28" s="19" t="s">
        <v>4</v>
      </c>
      <c r="B28" t="s">
        <v>67</v>
      </c>
      <c r="C28" s="89"/>
      <c r="F28" s="89"/>
      <c r="I28" s="89"/>
      <c r="J28" s="89"/>
      <c r="R28" s="89"/>
    </row>
    <row r="29" spans="1:25" customFormat="1" ht="24" hidden="1" outlineLevel="1" x14ac:dyDescent="0.2">
      <c r="A29" s="91" t="s">
        <v>3</v>
      </c>
      <c r="B29" s="90" t="s">
        <v>67</v>
      </c>
      <c r="E29" s="89"/>
      <c r="H29" s="89"/>
      <c r="I29" s="89"/>
      <c r="J29" s="89"/>
      <c r="R29" s="89"/>
    </row>
    <row r="30" spans="1:25" customFormat="1" hidden="1" outlineLevel="1" x14ac:dyDescent="0.2">
      <c r="E30" s="89"/>
      <c r="H30" s="89"/>
      <c r="I30" s="89"/>
      <c r="J30" s="89"/>
      <c r="R30" s="89"/>
    </row>
    <row r="31" spans="1:25" customFormat="1" hidden="1" outlineLevel="1" x14ac:dyDescent="0.2">
      <c r="E31" s="89"/>
      <c r="F31" s="68">
        <f ca="1">Start_date</f>
        <v>42771</v>
      </c>
      <c r="H31" s="89"/>
      <c r="I31" s="89"/>
      <c r="J31" s="89"/>
      <c r="R31" s="89"/>
    </row>
    <row r="32" spans="1:25" customFormat="1" collapsed="1" x14ac:dyDescent="0.2">
      <c r="A32" s="88" t="s">
        <v>66</v>
      </c>
      <c r="B32" s="88" t="s">
        <v>65</v>
      </c>
      <c r="C32" s="88" t="s">
        <v>64</v>
      </c>
      <c r="D32" s="88" t="s">
        <v>63</v>
      </c>
      <c r="E32" s="87" t="s">
        <v>62</v>
      </c>
      <c r="F32" s="85" t="s">
        <v>61</v>
      </c>
      <c r="G32" s="86" t="s">
        <v>60</v>
      </c>
      <c r="H32" s="86" t="s">
        <v>59</v>
      </c>
      <c r="I32" s="85" t="s">
        <v>58</v>
      </c>
      <c r="J32" s="85" t="s">
        <v>57</v>
      </c>
      <c r="K32" s="84" t="s">
        <v>56</v>
      </c>
      <c r="L32" s="84" t="s">
        <v>55</v>
      </c>
      <c r="M32" s="84" t="s">
        <v>54</v>
      </c>
      <c r="N32" s="84" t="s">
        <v>53</v>
      </c>
      <c r="O32" s="84" t="s">
        <v>52</v>
      </c>
      <c r="P32" s="84" t="s">
        <v>51</v>
      </c>
      <c r="Q32" s="84" t="s">
        <v>50</v>
      </c>
      <c r="R32" s="84" t="s">
        <v>49</v>
      </c>
      <c r="S32" s="84" t="s">
        <v>48</v>
      </c>
      <c r="T32" s="84" t="s">
        <v>47</v>
      </c>
      <c r="U32" s="84" t="s">
        <v>46</v>
      </c>
      <c r="V32" s="84" t="s">
        <v>45</v>
      </c>
      <c r="W32" s="84" t="s">
        <v>44</v>
      </c>
      <c r="X32" s="84" t="s">
        <v>43</v>
      </c>
      <c r="Y32" s="84" t="s">
        <v>42</v>
      </c>
    </row>
    <row r="33" spans="1:25" customFormat="1" ht="14.25" customHeight="1" x14ac:dyDescent="0.2">
      <c r="A33" s="31" t="s">
        <v>21</v>
      </c>
      <c r="B33" s="72" t="s">
        <v>99</v>
      </c>
      <c r="C33" s="71" t="s">
        <v>100</v>
      </c>
      <c r="D33" s="69" t="s">
        <v>101</v>
      </c>
      <c r="E33" s="70">
        <v>-100000</v>
      </c>
      <c r="F33" s="68">
        <v>42791</v>
      </c>
      <c r="G33" s="69" t="s">
        <v>102</v>
      </c>
      <c r="H33" s="69" t="s">
        <v>32</v>
      </c>
      <c r="I33" s="68"/>
      <c r="J33" s="67"/>
      <c r="K33" s="83">
        <f>IF(CashFlowsData[[#This Row],[Settled]]&gt;0,1,IF(CashFlowsData[[#This Row],[Amount]]=0,1,0))</f>
        <v>0</v>
      </c>
      <c r="L33" s="76" t="str">
        <f>VLOOKUP(CashFlowsData[[#This Row],[Class Description]],Legenda[],2,FALSE)</f>
        <v>O</v>
      </c>
      <c r="M33" s="66">
        <f>WEEKNUM(CashFlowsData[[#This Row],[Date]])</f>
        <v>8</v>
      </c>
      <c r="N33" s="75">
        <f ca="1">IF(ISERROR(CashFlowsData[[#This Row],[Amount]]/CashFlowsData[[#This Row],[fx-rate]]),0,CashFlowsData[[#This Row],[Amount]]/CashFlowsData[[#This Row],[fx-rate]])</f>
        <v>-100000</v>
      </c>
      <c r="O33" s="75">
        <f ca="1">CashFlowsData[[#This Row],[FX ECB]]</f>
        <v>1</v>
      </c>
      <c r="P33" s="153">
        <f ca="1">YEAR(CashFlowsData[[#This Row],[Effective Date]])</f>
        <v>2017</v>
      </c>
      <c r="Q33" s="74">
        <f ca="1">WEEKNUM(CashFlowsData[[#This Row],[Effective Date]])</f>
        <v>8</v>
      </c>
      <c r="R33" s="154">
        <f ca="1">IF(CashFlowsData[[#This Row],[Settled]]&gt;0,CashFlowsData[[#This Row],[Settled]],MAX(CashFlowsData[[#This Row],[Date]],CashFlowsData[[#This Row],[Estimated]],Start_date+1))</f>
        <v>42791</v>
      </c>
      <c r="S33" s="60">
        <f ca="1">CashFlowsData[[#This Row],[InUSD]]</f>
        <v>-100000</v>
      </c>
      <c r="T33" s="60">
        <f ca="1">IF(CashFlowsData[[#This Row],[Was Paid]]&gt;0,0,IF(MAX(CashFlowsData[[#This Row],[Date]],CashFlowsData[[#This Row],[Estimated]])&lt;Start_date,1,0))</f>
        <v>0</v>
      </c>
      <c r="U33" s="60">
        <f ca="1">IF((CashFlowsData[[#This Row],[Was Paid]]=0 )*( CashFlowsData[[#This Row],[Actual Year]]=YEAR(Start_date)),IF(ABS(CashFlowsData[[#This Row],[Actual week]]-WEEKNUM(Start_date))&lt;2,1,0),0)</f>
        <v>0</v>
      </c>
      <c r="V33" s="60">
        <f t="array" aca="1" ref="V33" ca="1">SUM(IF(ISERROR(CashFlowsData[[#This Row],[Was Paid]:[PlaningHorizon]]),1,0))</f>
        <v>0</v>
      </c>
      <c r="W33" s="60">
        <f ca="1">VLOOKUP(MIN(ECBMax,CashFlowsData[[#This Row],[Effective Date]]),[0]!FXDATA,VLOOKUP(CashFlowsData[[#This Row],[Currency]],Options!$A$4:$B$10,2,FALSE),FALSE)</f>
        <v>1</v>
      </c>
      <c r="X33" s="73">
        <v>1</v>
      </c>
      <c r="Y33" s="60">
        <v>1</v>
      </c>
    </row>
    <row r="34" spans="1:25" customFormat="1" ht="14.25" customHeight="1" x14ac:dyDescent="0.2">
      <c r="A34" s="31" t="s">
        <v>19</v>
      </c>
      <c r="B34" s="82"/>
      <c r="C34" s="81"/>
      <c r="D34" s="79"/>
      <c r="E34" s="80"/>
      <c r="F34" s="78"/>
      <c r="G34" s="79"/>
      <c r="H34" s="79"/>
      <c r="I34" s="78"/>
      <c r="J34" s="77"/>
      <c r="K34" s="94">
        <f>IF(CashFlowsData[[#This Row],[Settled]]&gt;0,1,IF(CashFlowsData[[#This Row],[Amount]]=0,1,0))</f>
        <v>1</v>
      </c>
      <c r="L34" s="76" t="str">
        <f>VLOOKUP(CashFlowsData[[#This Row],[Class Description]],Legenda[],2,FALSE)</f>
        <v>O</v>
      </c>
      <c r="M34" s="66">
        <f>WEEKNUM(CashFlowsData[[#This Row],[Date]])</f>
        <v>0</v>
      </c>
      <c r="N34" s="152">
        <f>IF(ISERROR(CashFlowsData[[#This Row],[Amount]]/CashFlowsData[[#This Row],[fx-rate]]),0,CashFlowsData[[#This Row],[Amount]]/CashFlowsData[[#This Row],[fx-rate]])</f>
        <v>0</v>
      </c>
      <c r="O34" s="152">
        <f>CashFlowsData[[#This Row],[FX ECB]]</f>
        <v>0</v>
      </c>
      <c r="P34" s="153">
        <f ca="1">YEAR(CashFlowsData[[#This Row],[Effective Date]])</f>
        <v>2017</v>
      </c>
      <c r="Q34" s="74">
        <f ca="1">WEEKNUM(CashFlowsData[[#This Row],[Effective Date]])</f>
        <v>6</v>
      </c>
      <c r="R34" s="154">
        <f ca="1">IF(CashFlowsData[[#This Row],[Settled]]&gt;0,CashFlowsData[[#This Row],[Settled]],MAX(CashFlowsData[[#This Row],[Date]],CashFlowsData[[#This Row],[Estimated]],Start_date+1))</f>
        <v>42772</v>
      </c>
      <c r="S34" s="60">
        <f>CashFlowsData[[#This Row],[InUSD]]</f>
        <v>0</v>
      </c>
      <c r="T34" s="60">
        <f>IF(CashFlowsData[[#This Row],[Was Paid]]&gt;0,0,IF(MAX(CashFlowsData[[#This Row],[Date]],CashFlowsData[[#This Row],[Estimated]])&lt;Start_date,1,0))</f>
        <v>0</v>
      </c>
      <c r="U34" s="60">
        <f ca="1">IF((CashFlowsData[[#This Row],[Was Paid]]=0 )*( CashFlowsData[[#This Row],[Actual Year]]=YEAR(Start_date)),IF(ABS(CashFlowsData[[#This Row],[Actual week]]-WEEKNUM(Start_date))&lt;2,1,0),0)</f>
        <v>0</v>
      </c>
      <c r="V34" s="60">
        <f t="array" aca="1" ref="V34" ca="1">SUM(IF(ISERROR(CashFlowsData[[#This Row],[Was Paid]:[PlaningHorizon]]),1,0))</f>
        <v>0</v>
      </c>
      <c r="W34" s="60"/>
      <c r="X34" s="73"/>
      <c r="Y34" s="60"/>
    </row>
    <row r="35" spans="1:25" customFormat="1" ht="14.25" customHeight="1" x14ac:dyDescent="0.2">
      <c r="A35" s="19" t="s">
        <v>22</v>
      </c>
      <c r="B35" s="82"/>
      <c r="C35" s="81"/>
      <c r="D35" s="79"/>
      <c r="E35" s="80"/>
      <c r="F35" s="78"/>
      <c r="G35" s="79"/>
      <c r="H35" s="79"/>
      <c r="I35" s="78"/>
      <c r="J35" s="77"/>
      <c r="K35" s="94">
        <f>IF(CashFlowsData[[#This Row],[Settled]]&gt;0,1,IF(CashFlowsData[[#This Row],[Amount]]=0,1,0))</f>
        <v>1</v>
      </c>
      <c r="L35" s="76" t="str">
        <f>VLOOKUP(CashFlowsData[[#This Row],[Class Description]],Legenda[],2,FALSE)</f>
        <v>O</v>
      </c>
      <c r="M35" s="66">
        <f>WEEKNUM(CashFlowsData[[#This Row],[Date]])</f>
        <v>0</v>
      </c>
      <c r="N35" s="152">
        <f>IF(ISERROR(CashFlowsData[[#This Row],[Amount]]/CashFlowsData[[#This Row],[fx-rate]]),0,CashFlowsData[[#This Row],[Amount]]/CashFlowsData[[#This Row],[fx-rate]])</f>
        <v>0</v>
      </c>
      <c r="O35" s="152">
        <f>CashFlowsData[[#This Row],[FX ECB]]</f>
        <v>0</v>
      </c>
      <c r="P35" s="153">
        <f ca="1">YEAR(CashFlowsData[[#This Row],[Effective Date]])</f>
        <v>2017</v>
      </c>
      <c r="Q35" s="74">
        <f ca="1">WEEKNUM(CashFlowsData[[#This Row],[Effective Date]])</f>
        <v>6</v>
      </c>
      <c r="R35" s="154">
        <f ca="1">IF(CashFlowsData[[#This Row],[Settled]]&gt;0,CashFlowsData[[#This Row],[Settled]],MAX(CashFlowsData[[#This Row],[Date]],CashFlowsData[[#This Row],[Estimated]],Start_date+1))</f>
        <v>42772</v>
      </c>
      <c r="S35" s="60">
        <f>CashFlowsData[[#This Row],[InUSD]]</f>
        <v>0</v>
      </c>
      <c r="T35" s="60">
        <f>IF(CashFlowsData[[#This Row],[Was Paid]]&gt;0,0,IF(MAX(CashFlowsData[[#This Row],[Date]],CashFlowsData[[#This Row],[Estimated]])&lt;Start_date,1,0))</f>
        <v>0</v>
      </c>
      <c r="U35" s="60">
        <f ca="1">IF((CashFlowsData[[#This Row],[Was Paid]]=0 )*( CashFlowsData[[#This Row],[Actual Year]]=YEAR(Start_date)),IF(ABS(CashFlowsData[[#This Row],[Actual week]]-WEEKNUM(Start_date))&lt;2,1,0),0)</f>
        <v>0</v>
      </c>
      <c r="V35" s="60">
        <f t="array" aca="1" ref="V35" ca="1">SUM(IF(ISERROR(CashFlowsData[[#This Row],[Was Paid]:[PlaningHorizon]]),1,0))</f>
        <v>0</v>
      </c>
      <c r="W35" s="60"/>
      <c r="X35" s="73"/>
      <c r="Y35" s="60"/>
    </row>
    <row r="36" spans="1:25" customFormat="1" ht="14.25" customHeight="1" x14ac:dyDescent="0.2">
      <c r="A36" s="27"/>
      <c r="B36" s="72"/>
      <c r="C36" s="71"/>
      <c r="D36" s="69"/>
      <c r="E36" s="70"/>
      <c r="F36" s="68"/>
      <c r="G36" s="69"/>
      <c r="H36" s="69"/>
      <c r="I36" s="68"/>
      <c r="J36" s="67"/>
      <c r="K36" s="63"/>
      <c r="L36" s="66"/>
      <c r="M36" s="61"/>
      <c r="N36" s="65"/>
      <c r="O36" s="64"/>
      <c r="P36" s="63"/>
      <c r="Q36" s="61"/>
      <c r="R36" s="62"/>
      <c r="S36" s="61"/>
      <c r="T36" s="60"/>
      <c r="U36" s="60"/>
      <c r="V36" s="60"/>
      <c r="W36" s="59"/>
      <c r="X36" s="59"/>
      <c r="Y36" s="59"/>
    </row>
    <row r="37" spans="1:25" customFormat="1" ht="14.25" customHeight="1" x14ac:dyDescent="0.2">
      <c r="A37" s="27"/>
      <c r="B37" s="72"/>
      <c r="C37" s="71"/>
      <c r="D37" s="69"/>
      <c r="E37" s="70"/>
      <c r="F37" s="68"/>
      <c r="G37" s="69"/>
      <c r="H37" s="69"/>
      <c r="I37" s="68"/>
      <c r="J37" s="67"/>
      <c r="K37" s="63"/>
      <c r="L37" s="66"/>
      <c r="M37" s="61"/>
      <c r="N37" s="65"/>
      <c r="O37" s="64"/>
      <c r="P37" s="63"/>
      <c r="Q37" s="61"/>
      <c r="R37" s="62"/>
      <c r="S37" s="61"/>
      <c r="T37" s="60"/>
      <c r="U37" s="60"/>
      <c r="V37" s="60"/>
      <c r="W37" s="59"/>
      <c r="X37" s="59"/>
      <c r="Y37" s="59"/>
    </row>
    <row r="38" spans="1:25" customFormat="1" x14ac:dyDescent="0.2">
      <c r="A38" s="27"/>
      <c r="B38" s="72"/>
      <c r="C38" s="71"/>
      <c r="D38" s="69"/>
      <c r="E38" s="70"/>
      <c r="F38" s="68"/>
      <c r="G38" s="69"/>
      <c r="H38" s="69"/>
      <c r="I38" s="68"/>
      <c r="J38" s="67"/>
      <c r="K38" s="63"/>
      <c r="L38" s="66"/>
      <c r="M38" s="61"/>
      <c r="N38" s="65"/>
      <c r="O38" s="64"/>
      <c r="P38" s="63"/>
      <c r="Q38" s="61"/>
      <c r="R38" s="62"/>
      <c r="S38" s="61"/>
      <c r="T38" s="60"/>
      <c r="U38" s="60"/>
      <c r="V38" s="60"/>
      <c r="W38" s="59"/>
      <c r="X38" s="59"/>
      <c r="Y38" s="59"/>
    </row>
    <row r="39" spans="1:25" customFormat="1" x14ac:dyDescent="0.2">
      <c r="A39" s="27"/>
      <c r="B39" s="72"/>
      <c r="C39" s="71"/>
      <c r="D39" s="69"/>
      <c r="E39" s="70"/>
      <c r="F39" s="68"/>
      <c r="G39" s="69"/>
      <c r="H39" s="69"/>
      <c r="I39" s="68"/>
      <c r="J39" s="67"/>
      <c r="K39" s="63"/>
      <c r="L39" s="66"/>
      <c r="M39" s="61"/>
      <c r="N39" s="65"/>
      <c r="O39" s="64"/>
      <c r="P39" s="63"/>
      <c r="Q39" s="61"/>
      <c r="R39" s="62"/>
      <c r="S39" s="61"/>
      <c r="T39" s="60"/>
      <c r="U39" s="60"/>
      <c r="V39" s="60"/>
      <c r="W39" s="59"/>
      <c r="X39" s="59"/>
      <c r="Y39" s="59"/>
    </row>
    <row r="40" spans="1:25" customFormat="1" x14ac:dyDescent="0.2">
      <c r="A40" s="27"/>
      <c r="B40" s="72"/>
      <c r="C40" s="71"/>
      <c r="D40" s="69"/>
      <c r="E40" s="70"/>
      <c r="F40" s="68"/>
      <c r="G40" s="69"/>
      <c r="H40" s="69"/>
      <c r="I40" s="68"/>
      <c r="J40" s="67"/>
      <c r="K40" s="63"/>
      <c r="L40" s="66"/>
      <c r="M40" s="61"/>
      <c r="N40" s="65"/>
      <c r="O40" s="64"/>
      <c r="P40" s="63"/>
      <c r="Q40" s="61"/>
      <c r="R40" s="62"/>
      <c r="S40" s="61"/>
      <c r="T40" s="60"/>
      <c r="U40" s="60"/>
      <c r="V40" s="60"/>
      <c r="W40" s="59"/>
      <c r="X40" s="59"/>
      <c r="Y40" s="59"/>
    </row>
    <row r="41" spans="1:25" customFormat="1" x14ac:dyDescent="0.2">
      <c r="A41" s="27"/>
      <c r="B41" s="72"/>
      <c r="C41" s="71"/>
      <c r="D41" s="69"/>
      <c r="E41" s="70"/>
      <c r="F41" s="68"/>
      <c r="G41" s="69"/>
      <c r="H41" s="69"/>
      <c r="I41" s="68"/>
      <c r="J41" s="67"/>
      <c r="K41" s="63"/>
      <c r="L41" s="66"/>
      <c r="M41" s="61"/>
      <c r="N41" s="65"/>
      <c r="O41" s="64"/>
      <c r="P41" s="63"/>
      <c r="Q41" s="61"/>
      <c r="R41" s="62"/>
      <c r="S41" s="61"/>
      <c r="T41" s="60"/>
      <c r="U41" s="60"/>
      <c r="V41" s="60"/>
      <c r="W41" s="59"/>
      <c r="X41" s="59"/>
      <c r="Y41" s="59"/>
    </row>
    <row r="42" spans="1:25" customFormat="1" x14ac:dyDescent="0.2">
      <c r="A42" s="27"/>
      <c r="B42" s="72"/>
      <c r="C42" s="71"/>
      <c r="D42" s="69"/>
      <c r="E42" s="70"/>
      <c r="F42" s="68"/>
      <c r="G42" s="69"/>
      <c r="H42" s="69"/>
      <c r="I42" s="68"/>
      <c r="J42" s="67"/>
      <c r="K42" s="63"/>
      <c r="L42" s="66"/>
      <c r="M42" s="61"/>
      <c r="N42" s="65"/>
      <c r="O42" s="64"/>
      <c r="P42" s="63"/>
      <c r="Q42" s="61"/>
      <c r="R42" s="62"/>
      <c r="S42" s="61"/>
      <c r="T42" s="60"/>
      <c r="U42" s="60"/>
      <c r="V42" s="60"/>
      <c r="W42" s="59"/>
      <c r="X42" s="59"/>
      <c r="Y42" s="59"/>
    </row>
    <row r="43" spans="1:25" customFormat="1" x14ac:dyDescent="0.2">
      <c r="A43" s="27"/>
      <c r="B43" s="72"/>
      <c r="C43" s="71"/>
      <c r="D43" s="69"/>
      <c r="E43" s="70"/>
      <c r="F43" s="68"/>
      <c r="G43" s="69"/>
      <c r="H43" s="69"/>
      <c r="I43" s="68"/>
      <c r="J43" s="67"/>
      <c r="K43" s="63"/>
      <c r="L43" s="66"/>
      <c r="M43" s="61"/>
      <c r="N43" s="65"/>
      <c r="O43" s="64"/>
      <c r="P43" s="63"/>
      <c r="Q43" s="61"/>
      <c r="R43" s="62"/>
      <c r="S43" s="61"/>
      <c r="T43" s="60"/>
      <c r="U43" s="60"/>
      <c r="V43" s="60"/>
      <c r="W43" s="59"/>
      <c r="X43" s="59"/>
      <c r="Y43" s="59"/>
    </row>
    <row r="44" spans="1:25" customFormat="1" x14ac:dyDescent="0.2">
      <c r="A44" s="27"/>
      <c r="B44" s="72"/>
      <c r="C44" s="71"/>
      <c r="D44" s="69"/>
      <c r="E44" s="70"/>
      <c r="F44" s="68"/>
      <c r="G44" s="69"/>
      <c r="H44" s="69"/>
      <c r="I44" s="68"/>
      <c r="J44" s="67"/>
      <c r="K44" s="63"/>
      <c r="L44" s="66"/>
      <c r="M44" s="61"/>
      <c r="N44" s="65"/>
      <c r="O44" s="64"/>
      <c r="P44" s="63"/>
      <c r="Q44" s="61"/>
      <c r="R44" s="62"/>
      <c r="S44" s="61"/>
      <c r="T44" s="60"/>
      <c r="U44" s="60"/>
      <c r="V44" s="60"/>
      <c r="W44" s="59"/>
      <c r="X44" s="59"/>
      <c r="Y44" s="59"/>
    </row>
    <row r="45" spans="1:25" customFormat="1" x14ac:dyDescent="0.2">
      <c r="A45" s="27"/>
      <c r="B45" s="72"/>
      <c r="C45" s="71"/>
      <c r="D45" s="69"/>
      <c r="E45" s="70"/>
      <c r="F45" s="68"/>
      <c r="G45" s="69"/>
      <c r="H45" s="69"/>
      <c r="I45" s="68"/>
      <c r="J45" s="67"/>
      <c r="K45" s="63"/>
      <c r="L45" s="66"/>
      <c r="M45" s="61"/>
      <c r="N45" s="65"/>
      <c r="O45" s="64"/>
      <c r="P45" s="63"/>
      <c r="Q45" s="61"/>
      <c r="R45" s="62"/>
      <c r="S45" s="61"/>
      <c r="T45" s="60"/>
      <c r="U45" s="60"/>
      <c r="V45" s="60"/>
      <c r="W45" s="59"/>
      <c r="X45" s="59"/>
      <c r="Y45" s="59"/>
    </row>
    <row r="46" spans="1:25" customFormat="1" x14ac:dyDescent="0.2">
      <c r="A46" s="27"/>
      <c r="B46" s="72"/>
      <c r="C46" s="71"/>
      <c r="D46" s="69"/>
      <c r="E46" s="70"/>
      <c r="F46" s="68"/>
      <c r="G46" s="69"/>
      <c r="H46" s="69"/>
      <c r="I46" s="68"/>
      <c r="J46" s="67"/>
      <c r="K46" s="63"/>
      <c r="L46" s="66"/>
      <c r="M46" s="61"/>
      <c r="N46" s="65"/>
      <c r="O46" s="64"/>
      <c r="P46" s="63"/>
      <c r="Q46" s="61"/>
      <c r="R46" s="62"/>
      <c r="S46" s="61"/>
      <c r="T46" s="60"/>
      <c r="U46" s="60"/>
      <c r="V46" s="60"/>
      <c r="W46" s="59"/>
      <c r="X46" s="59"/>
      <c r="Y46" s="59"/>
    </row>
    <row r="47" spans="1:25" customFormat="1" ht="14.25" customHeight="1" x14ac:dyDescent="0.2">
      <c r="A47" s="27"/>
      <c r="B47" s="72"/>
      <c r="C47" s="71"/>
      <c r="D47" s="69"/>
      <c r="E47" s="70"/>
      <c r="F47" s="68"/>
      <c r="G47" s="69"/>
      <c r="H47" s="69"/>
      <c r="I47" s="68"/>
      <c r="J47" s="67"/>
      <c r="K47" s="63"/>
      <c r="L47" s="66"/>
      <c r="M47" s="61"/>
      <c r="N47" s="65"/>
      <c r="O47" s="64"/>
      <c r="P47" s="63"/>
      <c r="Q47" s="61"/>
      <c r="R47" s="62"/>
      <c r="S47" s="61"/>
      <c r="T47" s="60"/>
      <c r="U47" s="60"/>
      <c r="V47" s="60"/>
      <c r="W47" s="59"/>
      <c r="X47" s="59"/>
      <c r="Y47" s="59"/>
    </row>
    <row r="48" spans="1:25" customFormat="1" ht="14.25" customHeight="1" x14ac:dyDescent="0.2">
      <c r="A48" s="27"/>
      <c r="B48" s="72"/>
      <c r="C48" s="71"/>
      <c r="D48" s="69"/>
      <c r="E48" s="70"/>
      <c r="F48" s="68"/>
      <c r="G48" s="69"/>
      <c r="H48" s="69"/>
      <c r="I48" s="68"/>
      <c r="J48" s="67"/>
      <c r="K48" s="63"/>
      <c r="L48" s="66"/>
      <c r="M48" s="61"/>
      <c r="N48" s="65"/>
      <c r="O48" s="64"/>
      <c r="P48" s="63"/>
      <c r="Q48" s="61"/>
      <c r="R48" s="62"/>
      <c r="S48" s="61"/>
      <c r="T48" s="60"/>
      <c r="U48" s="60"/>
      <c r="V48" s="60"/>
      <c r="W48" s="59"/>
      <c r="X48" s="59"/>
      <c r="Y48" s="59"/>
    </row>
    <row r="49" spans="1:25" customFormat="1" ht="14.25" customHeight="1" x14ac:dyDescent="0.2">
      <c r="A49" s="27"/>
      <c r="B49" s="72"/>
      <c r="C49" s="71"/>
      <c r="D49" s="69"/>
      <c r="E49" s="70"/>
      <c r="F49" s="68"/>
      <c r="G49" s="69"/>
      <c r="H49" s="69"/>
      <c r="I49" s="68"/>
      <c r="J49" s="67"/>
      <c r="K49" s="63"/>
      <c r="L49" s="66"/>
      <c r="M49" s="61"/>
      <c r="N49" s="65"/>
      <c r="O49" s="64"/>
      <c r="P49" s="63"/>
      <c r="Q49" s="61"/>
      <c r="R49" s="62"/>
      <c r="S49" s="61"/>
      <c r="T49" s="60"/>
      <c r="U49" s="60"/>
      <c r="V49" s="60"/>
      <c r="W49" s="59"/>
      <c r="X49" s="59"/>
      <c r="Y49" s="59"/>
    </row>
    <row r="50" spans="1:25" customFormat="1" ht="14.25" customHeight="1" x14ac:dyDescent="0.2">
      <c r="A50" s="27"/>
      <c r="B50" s="72"/>
      <c r="C50" s="71"/>
      <c r="D50" s="69"/>
      <c r="E50" s="70"/>
      <c r="F50" s="68"/>
      <c r="G50" s="69"/>
      <c r="H50" s="69"/>
      <c r="I50" s="68"/>
      <c r="J50" s="67"/>
      <c r="K50" s="63"/>
      <c r="L50" s="66"/>
      <c r="M50" s="61"/>
      <c r="N50" s="65"/>
      <c r="O50" s="64"/>
      <c r="P50" s="63"/>
      <c r="Q50" s="61"/>
      <c r="R50" s="62"/>
      <c r="S50" s="61"/>
      <c r="T50" s="60"/>
      <c r="U50" s="60"/>
      <c r="V50" s="60"/>
      <c r="W50" s="59"/>
      <c r="X50" s="59"/>
      <c r="Y50" s="59"/>
    </row>
    <row r="51" spans="1:25" customFormat="1" ht="14.25" customHeight="1" x14ac:dyDescent="0.2">
      <c r="A51" s="27"/>
      <c r="B51" s="72"/>
      <c r="C51" s="71"/>
      <c r="D51" s="69"/>
      <c r="E51" s="70"/>
      <c r="F51" s="68"/>
      <c r="G51" s="69"/>
      <c r="H51" s="69"/>
      <c r="I51" s="68"/>
      <c r="J51" s="67"/>
      <c r="K51" s="63"/>
      <c r="L51" s="66"/>
      <c r="M51" s="61"/>
      <c r="N51" s="65"/>
      <c r="O51" s="64"/>
      <c r="P51" s="63"/>
      <c r="Q51" s="61"/>
      <c r="R51" s="62"/>
      <c r="S51" s="61"/>
      <c r="T51" s="60"/>
      <c r="U51" s="60"/>
      <c r="V51" s="60"/>
      <c r="W51" s="59"/>
      <c r="X51" s="59"/>
      <c r="Y51" s="59"/>
    </row>
    <row r="52" spans="1:25" customFormat="1" ht="14.25" customHeight="1" x14ac:dyDescent="0.2">
      <c r="A52" s="27"/>
      <c r="B52" s="72"/>
      <c r="C52" s="71"/>
      <c r="D52" s="69"/>
      <c r="E52" s="70"/>
      <c r="F52" s="68"/>
      <c r="G52" s="69"/>
      <c r="H52" s="69"/>
      <c r="I52" s="68"/>
      <c r="J52" s="67"/>
      <c r="K52" s="63"/>
      <c r="L52" s="66"/>
      <c r="M52" s="61"/>
      <c r="N52" s="65"/>
      <c r="O52" s="64"/>
      <c r="P52" s="63"/>
      <c r="Q52" s="61"/>
      <c r="R52" s="62"/>
      <c r="S52" s="61"/>
      <c r="T52" s="60"/>
      <c r="U52" s="60"/>
      <c r="V52" s="60"/>
      <c r="W52" s="59"/>
      <c r="X52" s="59"/>
      <c r="Y52" s="59"/>
    </row>
    <row r="53" spans="1:25" customFormat="1" ht="14.25" customHeight="1" x14ac:dyDescent="0.2">
      <c r="A53" s="27"/>
      <c r="B53" s="72"/>
      <c r="C53" s="71"/>
      <c r="D53" s="69"/>
      <c r="E53" s="70"/>
      <c r="F53" s="68"/>
      <c r="G53" s="69"/>
      <c r="H53" s="69"/>
      <c r="I53" s="68"/>
      <c r="J53" s="67"/>
      <c r="K53" s="63"/>
      <c r="L53" s="66"/>
      <c r="M53" s="61"/>
      <c r="N53" s="65"/>
      <c r="O53" s="64"/>
      <c r="P53" s="63"/>
      <c r="Q53" s="61"/>
      <c r="R53" s="62"/>
      <c r="S53" s="61"/>
      <c r="T53" s="60"/>
      <c r="U53" s="60"/>
      <c r="V53" s="60"/>
      <c r="W53" s="59"/>
      <c r="X53" s="59"/>
      <c r="Y53" s="59"/>
    </row>
    <row r="54" spans="1:25" customFormat="1" ht="14.25" customHeight="1" x14ac:dyDescent="0.2">
      <c r="A54" s="27"/>
      <c r="B54" s="72"/>
      <c r="C54" s="71"/>
      <c r="D54" s="69"/>
      <c r="E54" s="70"/>
      <c r="F54" s="68"/>
      <c r="G54" s="69"/>
      <c r="H54" s="69"/>
      <c r="I54" s="68"/>
      <c r="J54" s="67"/>
      <c r="K54" s="63"/>
      <c r="L54" s="66"/>
      <c r="M54" s="61"/>
      <c r="N54" s="65"/>
      <c r="O54" s="64"/>
      <c r="P54" s="63"/>
      <c r="Q54" s="61"/>
      <c r="R54" s="62"/>
      <c r="S54" s="61"/>
      <c r="T54" s="60"/>
      <c r="U54" s="60"/>
      <c r="V54" s="60"/>
      <c r="W54" s="59"/>
      <c r="X54" s="59"/>
      <c r="Y54" s="59"/>
    </row>
    <row r="55" spans="1:25" customFormat="1" ht="14.25" customHeight="1" x14ac:dyDescent="0.2">
      <c r="A55" s="27"/>
      <c r="B55" s="72"/>
      <c r="C55" s="71"/>
      <c r="D55" s="69"/>
      <c r="E55" s="70"/>
      <c r="F55" s="68"/>
      <c r="G55" s="69"/>
      <c r="H55" s="69"/>
      <c r="I55" s="68"/>
      <c r="J55" s="67"/>
      <c r="K55" s="63"/>
      <c r="L55" s="66"/>
      <c r="M55" s="61"/>
      <c r="N55" s="65"/>
      <c r="O55" s="64"/>
      <c r="P55" s="63"/>
      <c r="Q55" s="61"/>
      <c r="R55" s="62"/>
      <c r="S55" s="61"/>
      <c r="T55" s="60"/>
      <c r="U55" s="60"/>
      <c r="V55" s="60"/>
      <c r="W55" s="59"/>
      <c r="X55" s="59"/>
      <c r="Y55" s="59"/>
    </row>
    <row r="56" spans="1:25" customFormat="1" ht="14.25" customHeight="1" x14ac:dyDescent="0.2">
      <c r="A56" s="27"/>
      <c r="B56" s="72"/>
      <c r="C56" s="71"/>
      <c r="D56" s="69"/>
      <c r="E56" s="70"/>
      <c r="F56" s="68"/>
      <c r="G56" s="69"/>
      <c r="H56" s="69"/>
      <c r="I56" s="68"/>
      <c r="J56" s="67"/>
      <c r="K56" s="63"/>
      <c r="L56" s="66"/>
      <c r="M56" s="61"/>
      <c r="N56" s="65"/>
      <c r="O56" s="64"/>
      <c r="P56" s="63"/>
      <c r="Q56" s="61"/>
      <c r="R56" s="62"/>
      <c r="S56" s="61"/>
      <c r="T56" s="60"/>
      <c r="U56" s="60"/>
      <c r="V56" s="60"/>
      <c r="W56" s="59"/>
      <c r="X56" s="59"/>
      <c r="Y56" s="59"/>
    </row>
    <row r="57" spans="1:25" customFormat="1" ht="14.25" customHeight="1" x14ac:dyDescent="0.2">
      <c r="A57" s="27"/>
      <c r="B57" s="72"/>
      <c r="C57" s="71"/>
      <c r="D57" s="69"/>
      <c r="E57" s="70"/>
      <c r="F57" s="68"/>
      <c r="G57" s="69"/>
      <c r="H57" s="69"/>
      <c r="I57" s="68"/>
      <c r="J57" s="67"/>
      <c r="K57" s="63"/>
      <c r="L57" s="66"/>
      <c r="M57" s="61"/>
      <c r="N57" s="65"/>
      <c r="O57" s="64"/>
      <c r="P57" s="63"/>
      <c r="Q57" s="61"/>
      <c r="R57" s="62"/>
      <c r="S57" s="61"/>
      <c r="T57" s="60"/>
      <c r="U57" s="60"/>
      <c r="V57" s="60"/>
      <c r="W57" s="59"/>
      <c r="X57" s="59"/>
      <c r="Y57" s="59"/>
    </row>
    <row r="58" spans="1:25" customFormat="1" ht="14.25" customHeight="1" x14ac:dyDescent="0.2">
      <c r="A58" s="27"/>
      <c r="B58" s="72"/>
      <c r="C58" s="71"/>
      <c r="D58" s="69"/>
      <c r="E58" s="70"/>
      <c r="F58" s="68"/>
      <c r="G58" s="69"/>
      <c r="H58" s="69"/>
      <c r="I58" s="68"/>
      <c r="J58" s="67"/>
      <c r="K58" s="63"/>
      <c r="L58" s="66"/>
      <c r="M58" s="61"/>
      <c r="N58" s="65"/>
      <c r="O58" s="64"/>
      <c r="P58" s="63"/>
      <c r="Q58" s="61"/>
      <c r="R58" s="62"/>
      <c r="S58" s="61"/>
      <c r="T58" s="60"/>
      <c r="U58" s="60"/>
      <c r="V58" s="60"/>
      <c r="W58" s="59"/>
      <c r="X58" s="59"/>
      <c r="Y58" s="59"/>
    </row>
    <row r="59" spans="1:25" customFormat="1" ht="14.25" customHeight="1" x14ac:dyDescent="0.2">
      <c r="A59" s="27"/>
      <c r="B59" s="72"/>
      <c r="C59" s="71"/>
      <c r="D59" s="69"/>
      <c r="E59" s="70"/>
      <c r="F59" s="68"/>
      <c r="G59" s="69"/>
      <c r="H59" s="69"/>
      <c r="I59" s="68"/>
      <c r="J59" s="67"/>
      <c r="K59" s="63"/>
      <c r="L59" s="66"/>
      <c r="M59" s="61"/>
      <c r="N59" s="65"/>
      <c r="O59" s="64"/>
      <c r="P59" s="63"/>
      <c r="Q59" s="61"/>
      <c r="R59" s="62"/>
      <c r="S59" s="61"/>
      <c r="T59" s="60"/>
      <c r="U59" s="60"/>
      <c r="V59" s="60"/>
      <c r="W59" s="59"/>
      <c r="X59" s="59"/>
      <c r="Y59" s="59"/>
    </row>
    <row r="60" spans="1:25" customFormat="1" ht="14.25" customHeight="1" x14ac:dyDescent="0.2">
      <c r="A60" s="27"/>
      <c r="B60" s="72"/>
      <c r="C60" s="71"/>
      <c r="D60" s="69"/>
      <c r="E60" s="70"/>
      <c r="F60" s="68"/>
      <c r="G60" s="69"/>
      <c r="H60" s="69"/>
      <c r="I60" s="68"/>
      <c r="J60" s="67"/>
      <c r="K60" s="63"/>
      <c r="L60" s="66"/>
      <c r="M60" s="61"/>
      <c r="N60" s="65"/>
      <c r="O60" s="64"/>
      <c r="P60" s="63"/>
      <c r="Q60" s="61"/>
      <c r="R60" s="62"/>
      <c r="S60" s="61"/>
      <c r="T60" s="60"/>
      <c r="U60" s="60"/>
      <c r="V60" s="60"/>
      <c r="W60" s="59"/>
      <c r="X60" s="59"/>
      <c r="Y60" s="59"/>
    </row>
    <row r="61" spans="1:25" customFormat="1" ht="14.25" customHeight="1" x14ac:dyDescent="0.2">
      <c r="A61" s="27"/>
      <c r="B61" s="72"/>
      <c r="C61" s="71"/>
      <c r="D61" s="69"/>
      <c r="E61" s="70"/>
      <c r="F61" s="68"/>
      <c r="G61" s="69"/>
      <c r="H61" s="69"/>
      <c r="I61" s="68"/>
      <c r="J61" s="67"/>
      <c r="K61" s="63"/>
      <c r="L61" s="66"/>
      <c r="M61" s="61"/>
      <c r="N61" s="65"/>
      <c r="O61" s="64"/>
      <c r="P61" s="63"/>
      <c r="Q61" s="61"/>
      <c r="R61" s="62"/>
      <c r="S61" s="61"/>
      <c r="T61" s="60"/>
      <c r="U61" s="60"/>
      <c r="V61" s="60"/>
      <c r="W61" s="59"/>
      <c r="X61" s="59"/>
      <c r="Y61" s="59"/>
    </row>
    <row r="62" spans="1:25" customFormat="1" ht="14.25" customHeight="1" x14ac:dyDescent="0.2">
      <c r="A62" s="27"/>
      <c r="B62" s="72"/>
      <c r="C62" s="71"/>
      <c r="D62" s="69"/>
      <c r="E62" s="70"/>
      <c r="F62" s="68"/>
      <c r="G62" s="69"/>
      <c r="H62" s="69"/>
      <c r="I62" s="68"/>
      <c r="J62" s="67"/>
      <c r="K62" s="63"/>
      <c r="L62" s="66"/>
      <c r="M62" s="61"/>
      <c r="N62" s="65"/>
      <c r="O62" s="64"/>
      <c r="P62" s="63"/>
      <c r="Q62" s="61"/>
      <c r="R62" s="62"/>
      <c r="S62" s="61"/>
      <c r="T62" s="60"/>
      <c r="U62" s="60"/>
      <c r="V62" s="60"/>
      <c r="W62" s="59"/>
      <c r="X62" s="59"/>
      <c r="Y62" s="59"/>
    </row>
    <row r="63" spans="1:25" customFormat="1" ht="14.25" customHeight="1" x14ac:dyDescent="0.2">
      <c r="A63" s="27"/>
      <c r="B63" s="72"/>
      <c r="C63" s="71"/>
      <c r="D63" s="69"/>
      <c r="E63" s="70"/>
      <c r="F63" s="68"/>
      <c r="G63" s="69"/>
      <c r="H63" s="69"/>
      <c r="I63" s="68"/>
      <c r="J63" s="67"/>
      <c r="K63" s="63"/>
      <c r="L63" s="66"/>
      <c r="M63" s="61"/>
      <c r="N63" s="65"/>
      <c r="O63" s="64"/>
      <c r="P63" s="63"/>
      <c r="Q63" s="61"/>
      <c r="R63" s="62"/>
      <c r="S63" s="61"/>
      <c r="T63" s="60"/>
      <c r="U63" s="60"/>
      <c r="V63" s="60"/>
      <c r="W63" s="59"/>
      <c r="X63" s="59"/>
      <c r="Y63" s="59"/>
    </row>
    <row r="64" spans="1:25" customFormat="1" ht="14.25" customHeight="1" x14ac:dyDescent="0.2">
      <c r="A64" s="59"/>
      <c r="B64" s="59"/>
      <c r="C64" s="59"/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59"/>
      <c r="T64" s="59"/>
      <c r="U64" s="59"/>
      <c r="V64" s="59"/>
      <c r="W64" s="59"/>
      <c r="X64" s="59"/>
      <c r="Y64" s="59"/>
    </row>
    <row r="65" spans="1:25" customFormat="1" ht="14.25" customHeight="1" x14ac:dyDescent="0.2">
      <c r="A65" s="59"/>
      <c r="B65" s="59"/>
      <c r="C65" s="59"/>
      <c r="D65" s="59"/>
      <c r="E65" s="59"/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59"/>
      <c r="V65" s="59"/>
      <c r="W65" s="59"/>
      <c r="X65" s="59"/>
      <c r="Y65" s="59"/>
    </row>
    <row r="66" spans="1:25" customFormat="1" ht="14.25" customHeight="1" x14ac:dyDescent="0.2">
      <c r="A66" s="59"/>
      <c r="B66" s="59"/>
      <c r="C66" s="59"/>
      <c r="D66" s="59"/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59"/>
      <c r="T66" s="59"/>
      <c r="U66" s="59"/>
      <c r="V66" s="59"/>
      <c r="W66" s="59"/>
      <c r="X66" s="59"/>
      <c r="Y66" s="59"/>
    </row>
    <row r="67" spans="1:25" customFormat="1" ht="14.25" customHeight="1" outlineLevel="1" x14ac:dyDescent="0.2">
      <c r="A67" s="59"/>
      <c r="B67" s="59"/>
      <c r="C67" s="59"/>
      <c r="D67" s="59"/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59"/>
      <c r="X67" s="59"/>
      <c r="Y67" s="59"/>
    </row>
    <row r="68" spans="1:25" customFormat="1" ht="14.25" customHeight="1" outlineLevel="1" x14ac:dyDescent="0.2">
      <c r="A68" s="59"/>
      <c r="B68" s="59"/>
      <c r="C68" s="59"/>
      <c r="D68" s="59"/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/>
      <c r="U68" s="59"/>
      <c r="V68" s="59"/>
      <c r="W68" s="59"/>
      <c r="X68" s="59"/>
      <c r="Y68" s="59"/>
    </row>
    <row r="69" spans="1:25" customFormat="1" ht="14.25" customHeight="1" outlineLevel="1" x14ac:dyDescent="0.2">
      <c r="A69" s="59"/>
      <c r="B69" s="59"/>
      <c r="C69" s="59"/>
      <c r="D69" s="59"/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59"/>
      <c r="T69" s="59"/>
      <c r="U69" s="59"/>
      <c r="V69" s="59"/>
      <c r="W69" s="59"/>
      <c r="X69" s="59"/>
      <c r="Y69" s="59"/>
    </row>
    <row r="70" spans="1:25" customFormat="1" ht="14.25" customHeight="1" outlineLevel="1" x14ac:dyDescent="0.2">
      <c r="A70" s="59"/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</row>
    <row r="71" spans="1:25" customFormat="1" outlineLevel="1" x14ac:dyDescent="0.2">
      <c r="A71" s="59"/>
      <c r="B71" s="59"/>
      <c r="C71" s="59"/>
      <c r="D71" s="59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</row>
    <row r="72" spans="1:25" customFormat="1" outlineLevel="1" x14ac:dyDescent="0.2">
      <c r="A72" s="59"/>
      <c r="B72" s="59"/>
      <c r="C72" s="59"/>
      <c r="D72" s="59"/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</row>
    <row r="73" spans="1:25" customFormat="1" outlineLevel="1" x14ac:dyDescent="0.2">
      <c r="A73" s="59"/>
      <c r="B73" s="59"/>
      <c r="C73" s="59"/>
      <c r="D73" s="59"/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</row>
    <row r="74" spans="1:25" customFormat="1" outlineLevel="1" x14ac:dyDescent="0.2">
      <c r="A74" s="59"/>
      <c r="B74" s="59"/>
      <c r="C74" s="59"/>
      <c r="D74" s="59"/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</row>
    <row r="75" spans="1:25" customFormat="1" outlineLevel="1" x14ac:dyDescent="0.2">
      <c r="A75" s="59"/>
      <c r="B75" s="59"/>
      <c r="C75" s="59"/>
      <c r="D75" s="59"/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59"/>
      <c r="P75" s="59"/>
      <c r="Q75" s="59"/>
      <c r="R75" s="59"/>
      <c r="S75" s="59"/>
      <c r="T75" s="59"/>
      <c r="U75" s="59"/>
      <c r="V75" s="59"/>
      <c r="W75" s="59"/>
      <c r="X75" s="59"/>
      <c r="Y75" s="59"/>
    </row>
    <row r="76" spans="1:25" customFormat="1" x14ac:dyDescent="0.2">
      <c r="A76" s="59"/>
      <c r="B76" s="59"/>
      <c r="C76" s="59"/>
      <c r="D76" s="59"/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</row>
    <row r="77" spans="1:25" customFormat="1" x14ac:dyDescent="0.2">
      <c r="A77" s="59"/>
      <c r="B77" s="59"/>
      <c r="C77" s="59"/>
      <c r="D77" s="59"/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/>
      <c r="P77" s="59"/>
      <c r="Q77" s="59"/>
      <c r="R77" s="59"/>
      <c r="S77" s="59"/>
      <c r="T77" s="59"/>
      <c r="U77" s="59"/>
      <c r="V77" s="59"/>
      <c r="W77" s="59"/>
      <c r="X77" s="59"/>
      <c r="Y77" s="59"/>
    </row>
    <row r="78" spans="1:25" customFormat="1" x14ac:dyDescent="0.2">
      <c r="A78" s="59"/>
      <c r="B78" s="59"/>
      <c r="C78" s="59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  <c r="V78" s="59"/>
      <c r="W78" s="59"/>
      <c r="X78" s="59"/>
      <c r="Y78" s="59"/>
    </row>
    <row r="79" spans="1:25" customFormat="1" x14ac:dyDescent="0.2">
      <c r="A79" s="59"/>
      <c r="B79" s="59"/>
      <c r="C79" s="59"/>
      <c r="D79" s="59"/>
      <c r="E79" s="59"/>
      <c r="F79" s="59"/>
      <c r="G79" s="59"/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</row>
    <row r="80" spans="1:25" customFormat="1" x14ac:dyDescent="0.2">
      <c r="A80" s="59"/>
      <c r="B80" s="59"/>
      <c r="C80" s="59"/>
      <c r="D80" s="59"/>
      <c r="E80" s="59"/>
      <c r="F80" s="59"/>
      <c r="G80" s="59"/>
      <c r="H80" s="59"/>
      <c r="I80" s="59"/>
      <c r="J80" s="59"/>
      <c r="K80" s="59"/>
      <c r="L80" s="59"/>
      <c r="M80" s="59"/>
      <c r="N80" s="59"/>
      <c r="O80" s="59"/>
      <c r="P80" s="59"/>
      <c r="Q80" s="59"/>
      <c r="R80" s="59"/>
      <c r="S80" s="59"/>
      <c r="T80" s="59"/>
      <c r="U80" s="59"/>
      <c r="V80" s="59"/>
      <c r="W80" s="59"/>
      <c r="X80" s="59"/>
      <c r="Y80" s="59"/>
    </row>
    <row r="81" spans="1:25" customFormat="1" x14ac:dyDescent="0.2">
      <c r="A81" s="59"/>
      <c r="B81" s="59"/>
      <c r="C81" s="59"/>
      <c r="D81" s="59"/>
      <c r="E81" s="59"/>
      <c r="F81" s="59"/>
      <c r="G81" s="59"/>
      <c r="H81" s="59"/>
      <c r="I81" s="59"/>
      <c r="J81" s="59"/>
      <c r="K81" s="59"/>
      <c r="L81" s="59"/>
      <c r="M81" s="59"/>
      <c r="N81" s="59"/>
      <c r="O81" s="59"/>
      <c r="P81" s="59"/>
      <c r="Q81" s="59"/>
      <c r="R81" s="59"/>
      <c r="S81" s="59"/>
      <c r="T81" s="59"/>
      <c r="U81" s="59"/>
      <c r="V81" s="59"/>
      <c r="W81" s="59"/>
      <c r="X81" s="59"/>
      <c r="Y81" s="59"/>
    </row>
    <row r="82" spans="1:25" customFormat="1" x14ac:dyDescent="0.2">
      <c r="A82" s="59"/>
      <c r="B82" s="59"/>
      <c r="C82" s="59"/>
      <c r="D82" s="59"/>
      <c r="E82" s="59"/>
      <c r="F82" s="59"/>
      <c r="G82" s="59"/>
      <c r="H82" s="59"/>
      <c r="I82" s="59"/>
      <c r="J82" s="59"/>
      <c r="K82" s="59"/>
      <c r="L82" s="59"/>
      <c r="M82" s="59"/>
      <c r="N82" s="59"/>
      <c r="O82" s="59"/>
      <c r="P82" s="59"/>
      <c r="Q82" s="59"/>
      <c r="R82" s="59"/>
      <c r="S82" s="59"/>
      <c r="T82" s="59"/>
      <c r="U82" s="59"/>
      <c r="V82" s="59"/>
      <c r="W82" s="59"/>
      <c r="X82" s="59"/>
      <c r="Y82" s="59"/>
    </row>
    <row r="83" spans="1:25" customFormat="1" x14ac:dyDescent="0.2">
      <c r="A83" s="59"/>
      <c r="B83" s="59"/>
      <c r="C83" s="59"/>
      <c r="D83" s="59"/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59"/>
      <c r="V83" s="59"/>
      <c r="W83" s="59"/>
      <c r="X83" s="59"/>
      <c r="Y83" s="59"/>
    </row>
    <row r="84" spans="1:25" customFormat="1" x14ac:dyDescent="0.2">
      <c r="A84" s="59"/>
      <c r="B84" s="59"/>
      <c r="C84" s="59"/>
      <c r="D84" s="59"/>
      <c r="E84" s="59"/>
      <c r="F84" s="59"/>
      <c r="G84" s="59"/>
      <c r="H84" s="59"/>
      <c r="I84" s="59"/>
      <c r="J84" s="59"/>
      <c r="K84" s="59"/>
      <c r="L84" s="59"/>
      <c r="M84" s="59"/>
      <c r="N84" s="59"/>
      <c r="O84" s="59"/>
      <c r="P84" s="59"/>
      <c r="Q84" s="59"/>
      <c r="R84" s="59"/>
      <c r="S84" s="59"/>
      <c r="T84" s="59"/>
      <c r="U84" s="59"/>
      <c r="V84" s="59"/>
      <c r="W84" s="59"/>
      <c r="X84" s="59"/>
      <c r="Y84" s="59"/>
    </row>
    <row r="85" spans="1:25" customFormat="1" x14ac:dyDescent="0.2">
      <c r="A85" s="59"/>
      <c r="B85" s="59"/>
      <c r="C85" s="59"/>
      <c r="D85" s="59"/>
      <c r="E85" s="59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  <c r="Q85" s="59"/>
      <c r="R85" s="59"/>
      <c r="S85" s="59"/>
      <c r="T85" s="59"/>
      <c r="U85" s="59"/>
      <c r="V85" s="59"/>
      <c r="W85" s="59"/>
      <c r="X85" s="59"/>
      <c r="Y85" s="59"/>
    </row>
    <row r="86" spans="1:25" customFormat="1" x14ac:dyDescent="0.2">
      <c r="A86" s="59"/>
      <c r="B86" s="59"/>
      <c r="C86" s="59"/>
      <c r="D86" s="59"/>
      <c r="E86" s="59"/>
      <c r="F86" s="59"/>
      <c r="G86" s="59"/>
      <c r="H86" s="59"/>
      <c r="I86" s="59"/>
      <c r="J86" s="59"/>
      <c r="K86" s="59"/>
      <c r="L86" s="59"/>
      <c r="M86" s="59"/>
      <c r="N86" s="59"/>
      <c r="O86" s="59"/>
      <c r="P86" s="59"/>
      <c r="Q86" s="59"/>
      <c r="R86" s="59"/>
      <c r="S86" s="59"/>
      <c r="T86" s="59"/>
      <c r="U86" s="59"/>
      <c r="V86" s="59"/>
      <c r="W86" s="59"/>
      <c r="X86" s="59"/>
      <c r="Y86" s="59"/>
    </row>
    <row r="87" spans="1:25" customFormat="1" x14ac:dyDescent="0.2">
      <c r="A87" s="59"/>
      <c r="B87" s="59"/>
      <c r="C87" s="59"/>
      <c r="D87" s="59"/>
      <c r="E87" s="59"/>
      <c r="F87" s="59"/>
      <c r="G87" s="59"/>
      <c r="H87" s="59"/>
      <c r="I87" s="59"/>
      <c r="J87" s="59"/>
      <c r="K87" s="59"/>
      <c r="L87" s="59"/>
      <c r="M87" s="59"/>
      <c r="N87" s="59"/>
      <c r="O87" s="59"/>
      <c r="P87" s="59"/>
      <c r="Q87" s="59"/>
      <c r="R87" s="59"/>
      <c r="S87" s="59"/>
      <c r="T87" s="59"/>
      <c r="U87" s="59"/>
      <c r="V87" s="59"/>
      <c r="W87" s="59"/>
      <c r="X87" s="59"/>
      <c r="Y87" s="59"/>
    </row>
    <row r="88" spans="1:25" customFormat="1" x14ac:dyDescent="0.2">
      <c r="A88" s="59"/>
      <c r="B88" s="59"/>
      <c r="C88" s="59"/>
      <c r="D88" s="59"/>
      <c r="E88" s="59"/>
      <c r="F88" s="59"/>
      <c r="G88" s="59"/>
      <c r="H88" s="59"/>
      <c r="I88" s="59"/>
      <c r="J88" s="59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  <c r="V88" s="59"/>
      <c r="W88" s="59"/>
      <c r="X88" s="59"/>
      <c r="Y88" s="59"/>
    </row>
    <row r="89" spans="1:25" customFormat="1" x14ac:dyDescent="0.2">
      <c r="A89" s="59"/>
      <c r="B89" s="59"/>
      <c r="C89" s="59"/>
      <c r="D89" s="59"/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</row>
    <row r="90" spans="1:25" customFormat="1" x14ac:dyDescent="0.2">
      <c r="A90" s="59"/>
      <c r="B90" s="59"/>
      <c r="C90" s="59"/>
      <c r="D90" s="59"/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</row>
    <row r="91" spans="1:25" customFormat="1" x14ac:dyDescent="0.2">
      <c r="A91" s="59"/>
      <c r="B91" s="59"/>
      <c r="C91" s="59"/>
      <c r="D91" s="59"/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</row>
    <row r="92" spans="1:25" customFormat="1" x14ac:dyDescent="0.2">
      <c r="A92" s="59"/>
      <c r="B92" s="59"/>
      <c r="C92" s="59"/>
      <c r="D92" s="59"/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</row>
    <row r="93" spans="1:25" customFormat="1" x14ac:dyDescent="0.2">
      <c r="A93" s="59"/>
      <c r="B93" s="59"/>
      <c r="C93" s="59"/>
      <c r="D93" s="59"/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</row>
    <row r="94" spans="1:25" customFormat="1" x14ac:dyDescent="0.2">
      <c r="A94" s="59"/>
      <c r="B94" s="59"/>
      <c r="C94" s="59"/>
      <c r="D94" s="59"/>
      <c r="E94" s="59"/>
      <c r="F94" s="59"/>
      <c r="G94" s="59"/>
      <c r="H94" s="59"/>
      <c r="I94" s="59"/>
      <c r="J94" s="59"/>
      <c r="K94" s="59"/>
      <c r="L94" s="59"/>
      <c r="M94" s="59"/>
      <c r="N94" s="59"/>
      <c r="O94" s="59"/>
      <c r="P94" s="59"/>
      <c r="Q94" s="59"/>
      <c r="R94" s="59"/>
      <c r="S94" s="59"/>
      <c r="T94" s="59"/>
      <c r="U94" s="59"/>
      <c r="V94" s="59"/>
      <c r="W94" s="59"/>
      <c r="X94" s="59"/>
      <c r="Y94" s="59"/>
    </row>
    <row r="95" spans="1:25" customFormat="1" x14ac:dyDescent="0.2">
      <c r="A95" s="59"/>
      <c r="B95" s="59"/>
      <c r="C95" s="59"/>
      <c r="D95" s="59"/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  <c r="V95" s="59"/>
      <c r="W95" s="59"/>
      <c r="X95" s="59"/>
      <c r="Y95" s="59"/>
    </row>
    <row r="96" spans="1:25" customFormat="1" x14ac:dyDescent="0.2">
      <c r="A96" s="59"/>
      <c r="B96" s="59"/>
      <c r="C96" s="59"/>
      <c r="D96" s="59"/>
      <c r="E96" s="59"/>
      <c r="F96" s="59"/>
      <c r="G96" s="59"/>
      <c r="H96" s="59"/>
      <c r="I96" s="59"/>
      <c r="J96" s="59"/>
      <c r="K96" s="59"/>
      <c r="L96" s="59"/>
      <c r="M96" s="59"/>
      <c r="N96" s="59"/>
      <c r="O96" s="59"/>
      <c r="P96" s="59"/>
      <c r="Q96" s="59"/>
      <c r="R96" s="59"/>
      <c r="S96" s="59"/>
      <c r="T96" s="59"/>
      <c r="U96" s="59"/>
      <c r="V96" s="59"/>
      <c r="W96" s="59"/>
      <c r="X96" s="59"/>
      <c r="Y96" s="59"/>
    </row>
    <row r="97" spans="1:25" customFormat="1" x14ac:dyDescent="0.2">
      <c r="A97" s="59"/>
      <c r="B97" s="59"/>
      <c r="C97" s="59"/>
      <c r="D97" s="59"/>
      <c r="E97" s="59"/>
      <c r="F97" s="59"/>
      <c r="G97" s="59"/>
      <c r="H97" s="59"/>
      <c r="I97" s="59"/>
      <c r="J97" s="59"/>
      <c r="K97" s="59"/>
      <c r="L97" s="59"/>
      <c r="M97" s="59"/>
      <c r="N97" s="59"/>
      <c r="O97" s="59"/>
      <c r="P97" s="59"/>
      <c r="Q97" s="59"/>
      <c r="R97" s="59"/>
      <c r="S97" s="59"/>
      <c r="T97" s="59"/>
      <c r="U97" s="59"/>
      <c r="V97" s="59"/>
      <c r="W97" s="59"/>
      <c r="X97" s="59"/>
      <c r="Y97" s="59"/>
    </row>
    <row r="98" spans="1:25" customFormat="1" x14ac:dyDescent="0.2">
      <c r="A98" s="59"/>
      <c r="B98" s="59"/>
      <c r="C98" s="59"/>
      <c r="D98" s="59"/>
      <c r="E98" s="59"/>
      <c r="F98" s="59"/>
      <c r="G98" s="59"/>
      <c r="H98" s="59"/>
      <c r="I98" s="59"/>
      <c r="J98" s="59"/>
      <c r="K98" s="59"/>
      <c r="L98" s="59"/>
      <c r="M98" s="59"/>
      <c r="N98" s="59"/>
      <c r="O98" s="59"/>
      <c r="P98" s="59"/>
      <c r="Q98" s="59"/>
      <c r="R98" s="59"/>
      <c r="S98" s="59"/>
      <c r="T98" s="59"/>
      <c r="U98" s="59"/>
      <c r="V98" s="59"/>
      <c r="W98" s="59"/>
      <c r="X98" s="59"/>
      <c r="Y98" s="59"/>
    </row>
    <row r="99" spans="1:25" customFormat="1" x14ac:dyDescent="0.2">
      <c r="A99" s="59"/>
      <c r="B99" s="59"/>
      <c r="C99" s="59"/>
      <c r="D99" s="59"/>
      <c r="E99" s="59"/>
      <c r="F99" s="59"/>
      <c r="G99" s="59"/>
      <c r="H99" s="59"/>
      <c r="I99" s="59"/>
      <c r="J99" s="59"/>
      <c r="K99" s="59"/>
      <c r="L99" s="59"/>
      <c r="M99" s="59"/>
      <c r="N99" s="59"/>
      <c r="O99" s="59"/>
      <c r="P99" s="59"/>
      <c r="Q99" s="59"/>
      <c r="R99" s="59"/>
      <c r="S99" s="59"/>
      <c r="T99" s="59"/>
      <c r="U99" s="59"/>
      <c r="V99" s="59"/>
      <c r="W99" s="59"/>
      <c r="X99" s="59"/>
      <c r="Y99" s="59"/>
    </row>
    <row r="100" spans="1:25" customFormat="1" x14ac:dyDescent="0.2">
      <c r="A100" s="59"/>
      <c r="B100" s="59"/>
      <c r="C100" s="59"/>
      <c r="D100" s="59"/>
      <c r="E100" s="59"/>
      <c r="F100" s="59"/>
      <c r="G100" s="59"/>
      <c r="H100" s="59"/>
      <c r="I100" s="59"/>
      <c r="J100" s="59"/>
      <c r="K100" s="59"/>
      <c r="L100" s="59"/>
      <c r="M100" s="59"/>
      <c r="N100" s="59"/>
      <c r="O100" s="59"/>
      <c r="P100" s="59"/>
      <c r="Q100" s="59"/>
      <c r="R100" s="59"/>
      <c r="S100" s="59"/>
      <c r="T100" s="59"/>
      <c r="U100" s="59"/>
      <c r="V100" s="59"/>
      <c r="W100" s="59"/>
      <c r="X100" s="59"/>
      <c r="Y100" s="59"/>
    </row>
    <row r="101" spans="1:25" customFormat="1" x14ac:dyDescent="0.2">
      <c r="A101" s="59"/>
      <c r="B101" s="59"/>
      <c r="C101" s="59"/>
      <c r="D101" s="59"/>
      <c r="E101" s="59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  <c r="Q101" s="59"/>
      <c r="R101" s="59"/>
      <c r="S101" s="59"/>
      <c r="T101" s="59"/>
      <c r="U101" s="59"/>
      <c r="V101" s="59"/>
      <c r="W101" s="59"/>
      <c r="X101" s="59"/>
      <c r="Y101" s="59"/>
    </row>
    <row r="102" spans="1:25" customFormat="1" x14ac:dyDescent="0.2">
      <c r="A102" s="59"/>
      <c r="B102" s="59"/>
      <c r="C102" s="59"/>
      <c r="D102" s="59"/>
      <c r="E102" s="59"/>
      <c r="F102" s="59"/>
      <c r="G102" s="59"/>
      <c r="H102" s="59"/>
      <c r="I102" s="59"/>
      <c r="J102" s="59"/>
      <c r="K102" s="59"/>
      <c r="L102" s="59"/>
      <c r="M102" s="59"/>
      <c r="N102" s="59"/>
      <c r="O102" s="59"/>
      <c r="P102" s="59"/>
      <c r="Q102" s="59"/>
      <c r="R102" s="59"/>
      <c r="S102" s="59"/>
      <c r="T102" s="59"/>
      <c r="U102" s="59"/>
      <c r="V102" s="59"/>
      <c r="W102" s="59"/>
      <c r="X102" s="59"/>
      <c r="Y102" s="59"/>
    </row>
    <row r="103" spans="1:25" customFormat="1" x14ac:dyDescent="0.2">
      <c r="A103" s="59"/>
      <c r="B103" s="59"/>
      <c r="C103" s="59"/>
      <c r="D103" s="59"/>
      <c r="E103" s="59"/>
      <c r="F103" s="59"/>
      <c r="G103" s="59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  <c r="U103" s="59"/>
      <c r="V103" s="59"/>
      <c r="W103" s="59"/>
      <c r="X103" s="59"/>
      <c r="Y103" s="59"/>
    </row>
    <row r="104" spans="1:25" customFormat="1" x14ac:dyDescent="0.2">
      <c r="A104" s="59"/>
      <c r="B104" s="59"/>
      <c r="C104" s="59"/>
      <c r="D104" s="59"/>
      <c r="E104" s="59"/>
      <c r="F104" s="59"/>
      <c r="G104" s="59"/>
      <c r="H104" s="59"/>
      <c r="I104" s="59"/>
      <c r="J104" s="59"/>
      <c r="K104" s="59"/>
      <c r="L104" s="59"/>
      <c r="M104" s="59"/>
      <c r="N104" s="59"/>
      <c r="O104" s="59"/>
      <c r="P104" s="59"/>
      <c r="Q104" s="59"/>
      <c r="R104" s="59"/>
      <c r="S104" s="59"/>
      <c r="T104" s="59"/>
      <c r="U104" s="59"/>
      <c r="V104" s="59"/>
      <c r="W104" s="59"/>
      <c r="X104" s="59"/>
      <c r="Y104" s="59"/>
    </row>
    <row r="105" spans="1:25" customFormat="1" x14ac:dyDescent="0.2">
      <c r="A105" s="59"/>
      <c r="B105" s="59"/>
      <c r="C105" s="59"/>
      <c r="D105" s="59"/>
      <c r="E105" s="59"/>
      <c r="F105" s="59"/>
      <c r="G105" s="59"/>
      <c r="H105" s="59"/>
      <c r="I105" s="59"/>
      <c r="J105" s="59"/>
      <c r="K105" s="59"/>
      <c r="L105" s="59"/>
      <c r="M105" s="59"/>
      <c r="N105" s="59"/>
      <c r="O105" s="59"/>
      <c r="P105" s="59"/>
      <c r="Q105" s="59"/>
      <c r="R105" s="59"/>
      <c r="S105" s="59"/>
      <c r="T105" s="59"/>
      <c r="U105" s="59"/>
      <c r="V105" s="59"/>
      <c r="W105" s="59"/>
      <c r="X105" s="59"/>
      <c r="Y105" s="59"/>
    </row>
    <row r="106" spans="1:25" customFormat="1" x14ac:dyDescent="0.2">
      <c r="A106" s="59"/>
      <c r="B106" s="59"/>
      <c r="C106" s="59"/>
      <c r="D106" s="59"/>
      <c r="E106" s="59"/>
      <c r="F106" s="59"/>
      <c r="G106" s="59"/>
      <c r="H106" s="59"/>
      <c r="I106" s="59"/>
      <c r="J106" s="59"/>
      <c r="K106" s="59"/>
      <c r="L106" s="59"/>
      <c r="M106" s="59"/>
      <c r="N106" s="59"/>
      <c r="O106" s="59"/>
      <c r="P106" s="59"/>
      <c r="Q106" s="59"/>
      <c r="R106" s="59"/>
      <c r="S106" s="59"/>
      <c r="T106" s="59"/>
      <c r="U106" s="59"/>
      <c r="V106" s="59"/>
      <c r="W106" s="59"/>
      <c r="X106" s="59"/>
      <c r="Y106" s="59"/>
    </row>
    <row r="107" spans="1:25" customFormat="1" x14ac:dyDescent="0.2">
      <c r="A107" s="59"/>
      <c r="B107" s="59"/>
      <c r="C107" s="59"/>
      <c r="D107" s="59"/>
      <c r="E107" s="59"/>
      <c r="F107" s="59"/>
      <c r="G107" s="59"/>
      <c r="H107" s="59"/>
      <c r="I107" s="59"/>
      <c r="J107" s="59"/>
      <c r="K107" s="59"/>
      <c r="L107" s="59"/>
      <c r="M107" s="59"/>
      <c r="N107" s="59"/>
      <c r="O107" s="59"/>
      <c r="P107" s="59"/>
      <c r="Q107" s="59"/>
      <c r="R107" s="59"/>
      <c r="S107" s="59"/>
      <c r="T107" s="59"/>
      <c r="U107" s="59"/>
      <c r="V107" s="59"/>
      <c r="W107" s="59"/>
      <c r="X107" s="59"/>
      <c r="Y107" s="59"/>
    </row>
    <row r="108" spans="1:25" customFormat="1" x14ac:dyDescent="0.2">
      <c r="A108" s="59"/>
      <c r="B108" s="59"/>
      <c r="C108" s="59"/>
      <c r="D108" s="59"/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</row>
    <row r="109" spans="1:25" customFormat="1" x14ac:dyDescent="0.2">
      <c r="A109" s="59"/>
      <c r="B109" s="59"/>
      <c r="C109" s="59"/>
      <c r="D109" s="59"/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</row>
    <row r="110" spans="1:25" customFormat="1" x14ac:dyDescent="0.2">
      <c r="A110" s="59"/>
      <c r="B110" s="59"/>
      <c r="C110" s="59"/>
      <c r="D110" s="59"/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</row>
    <row r="111" spans="1:25" customFormat="1" x14ac:dyDescent="0.2">
      <c r="A111" s="59"/>
      <c r="B111" s="59"/>
      <c r="C111" s="59"/>
      <c r="D111" s="59"/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</row>
    <row r="112" spans="1:25" customFormat="1" x14ac:dyDescent="0.2">
      <c r="A112" s="59"/>
      <c r="B112" s="59"/>
      <c r="C112" s="59"/>
      <c r="D112" s="59"/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</row>
    <row r="113" spans="1:25" customFormat="1" x14ac:dyDescent="0.2">
      <c r="A113" s="59"/>
      <c r="B113" s="59"/>
      <c r="C113" s="59"/>
      <c r="D113" s="59"/>
      <c r="E113" s="59"/>
      <c r="F113" s="59"/>
      <c r="G113" s="59"/>
      <c r="H113" s="59"/>
      <c r="I113" s="59"/>
      <c r="J113" s="59"/>
      <c r="K113" s="59"/>
      <c r="L113" s="59"/>
      <c r="M113" s="59"/>
      <c r="N113" s="59"/>
      <c r="O113" s="59"/>
      <c r="P113" s="59"/>
      <c r="Q113" s="59"/>
      <c r="R113" s="59"/>
      <c r="S113" s="59"/>
      <c r="T113" s="59"/>
      <c r="U113" s="59"/>
      <c r="V113" s="59"/>
      <c r="W113" s="59"/>
      <c r="X113" s="59"/>
      <c r="Y113" s="59"/>
    </row>
    <row r="114" spans="1:25" customFormat="1" x14ac:dyDescent="0.2">
      <c r="A114" s="59"/>
      <c r="B114" s="59"/>
      <c r="C114" s="59"/>
      <c r="D114" s="59"/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</row>
    <row r="115" spans="1:25" customFormat="1" x14ac:dyDescent="0.2">
      <c r="A115" s="59"/>
      <c r="B115" s="59"/>
      <c r="C115" s="59"/>
      <c r="D115" s="59"/>
      <c r="E115" s="59"/>
      <c r="F115" s="59"/>
      <c r="G115" s="59"/>
      <c r="H115" s="59"/>
      <c r="I115" s="59"/>
      <c r="J115" s="59"/>
      <c r="K115" s="59"/>
      <c r="L115" s="59"/>
      <c r="M115" s="59"/>
      <c r="N115" s="59"/>
      <c r="O115" s="59"/>
      <c r="P115" s="59"/>
      <c r="Q115" s="59"/>
      <c r="R115" s="59"/>
      <c r="S115" s="59"/>
      <c r="T115" s="59"/>
      <c r="U115" s="59"/>
      <c r="V115" s="59"/>
      <c r="W115" s="59"/>
      <c r="X115" s="59"/>
      <c r="Y115" s="59"/>
    </row>
    <row r="116" spans="1:25" customFormat="1" x14ac:dyDescent="0.2">
      <c r="A116" s="59"/>
      <c r="B116" s="59"/>
      <c r="C116" s="59"/>
      <c r="D116" s="59"/>
      <c r="E116" s="59"/>
      <c r="F116" s="59"/>
      <c r="G116" s="59"/>
      <c r="H116" s="59"/>
      <c r="I116" s="59"/>
      <c r="J116" s="59"/>
      <c r="K116" s="59"/>
      <c r="L116" s="59"/>
      <c r="M116" s="59"/>
      <c r="N116" s="59"/>
      <c r="O116" s="59"/>
      <c r="P116" s="59"/>
      <c r="Q116" s="59"/>
      <c r="R116" s="59"/>
      <c r="S116" s="59"/>
      <c r="T116" s="59"/>
      <c r="U116" s="59"/>
      <c r="V116" s="59"/>
      <c r="W116" s="59"/>
      <c r="X116" s="59"/>
      <c r="Y116" s="59"/>
    </row>
    <row r="117" spans="1:25" customFormat="1" x14ac:dyDescent="0.2">
      <c r="A117" s="59"/>
      <c r="B117" s="59"/>
      <c r="C117" s="59"/>
      <c r="D117" s="59"/>
      <c r="E117" s="59"/>
      <c r="F117" s="59"/>
      <c r="G117" s="59"/>
      <c r="H117" s="59"/>
      <c r="I117" s="59"/>
      <c r="J117" s="59"/>
      <c r="K117" s="59"/>
      <c r="L117" s="59"/>
      <c r="M117" s="59"/>
      <c r="N117" s="59"/>
      <c r="O117" s="59"/>
      <c r="P117" s="59"/>
      <c r="Q117" s="59"/>
      <c r="R117" s="59"/>
      <c r="S117" s="59"/>
      <c r="T117" s="59"/>
      <c r="U117" s="59"/>
      <c r="V117" s="59"/>
      <c r="W117" s="59"/>
      <c r="X117" s="59"/>
      <c r="Y117" s="59"/>
    </row>
    <row r="118" spans="1:25" customFormat="1" x14ac:dyDescent="0.2">
      <c r="A118" s="59"/>
      <c r="B118" s="59"/>
      <c r="C118" s="59"/>
      <c r="D118" s="59"/>
      <c r="E118" s="59"/>
      <c r="F118" s="59"/>
      <c r="G118" s="59"/>
      <c r="H118" s="59"/>
      <c r="I118" s="59"/>
      <c r="J118" s="59"/>
      <c r="K118" s="59"/>
      <c r="L118" s="59"/>
      <c r="M118" s="59"/>
      <c r="N118" s="59"/>
      <c r="O118" s="59"/>
      <c r="P118" s="59"/>
      <c r="Q118" s="59"/>
      <c r="R118" s="59"/>
      <c r="S118" s="59"/>
      <c r="T118" s="59"/>
      <c r="U118" s="59"/>
      <c r="V118" s="59"/>
      <c r="W118" s="59"/>
      <c r="X118" s="59"/>
      <c r="Y118" s="59"/>
    </row>
    <row r="119" spans="1:25" customFormat="1" x14ac:dyDescent="0.2">
      <c r="A119" s="59"/>
      <c r="B119" s="59"/>
      <c r="C119" s="59"/>
      <c r="D119" s="59"/>
      <c r="E119" s="59"/>
      <c r="F119" s="59"/>
      <c r="G119" s="59"/>
      <c r="H119" s="59"/>
      <c r="I119" s="59"/>
      <c r="J119" s="59"/>
      <c r="K119" s="59"/>
      <c r="L119" s="59"/>
      <c r="M119" s="59"/>
      <c r="N119" s="59"/>
      <c r="O119" s="59"/>
      <c r="P119" s="59"/>
      <c r="Q119" s="59"/>
      <c r="R119" s="59"/>
      <c r="S119" s="59"/>
      <c r="T119" s="59"/>
      <c r="U119" s="59"/>
      <c r="V119" s="59"/>
      <c r="W119" s="59"/>
      <c r="X119" s="59"/>
      <c r="Y119" s="59"/>
    </row>
    <row r="120" spans="1:25" customFormat="1" x14ac:dyDescent="0.2">
      <c r="A120" s="59"/>
      <c r="B120" s="59"/>
      <c r="C120" s="59"/>
      <c r="D120" s="59"/>
      <c r="E120" s="59"/>
      <c r="F120" s="59"/>
      <c r="G120" s="59"/>
      <c r="H120" s="59"/>
      <c r="I120" s="59"/>
      <c r="J120" s="59"/>
      <c r="K120" s="59"/>
      <c r="L120" s="59"/>
      <c r="M120" s="59"/>
      <c r="N120" s="59"/>
      <c r="O120" s="59"/>
      <c r="P120" s="59"/>
      <c r="Q120" s="59"/>
      <c r="R120" s="59"/>
      <c r="S120" s="59"/>
      <c r="T120" s="59"/>
      <c r="U120" s="59"/>
      <c r="V120" s="59"/>
      <c r="W120" s="59"/>
      <c r="X120" s="59"/>
      <c r="Y120" s="59"/>
    </row>
    <row r="121" spans="1:25" customFormat="1" x14ac:dyDescent="0.2">
      <c r="A121" s="59"/>
      <c r="B121" s="59"/>
      <c r="C121" s="59"/>
      <c r="D121" s="59"/>
      <c r="E121" s="59"/>
      <c r="F121" s="59"/>
      <c r="G121" s="59"/>
      <c r="H121" s="59"/>
      <c r="I121" s="59"/>
      <c r="J121" s="59"/>
      <c r="K121" s="59"/>
      <c r="L121" s="59"/>
      <c r="M121" s="59"/>
      <c r="N121" s="59"/>
      <c r="O121" s="59"/>
      <c r="P121" s="59"/>
      <c r="Q121" s="59"/>
      <c r="R121" s="59"/>
      <c r="S121" s="59"/>
      <c r="T121" s="59"/>
      <c r="U121" s="59"/>
      <c r="V121" s="59"/>
      <c r="W121" s="59"/>
      <c r="X121" s="59"/>
      <c r="Y121" s="59"/>
    </row>
    <row r="122" spans="1:25" customFormat="1" x14ac:dyDescent="0.2">
      <c r="A122" s="59"/>
      <c r="B122" s="59"/>
      <c r="C122" s="59"/>
      <c r="D122" s="59"/>
      <c r="E122" s="59"/>
      <c r="F122" s="59"/>
      <c r="G122" s="59"/>
      <c r="H122" s="59"/>
      <c r="I122" s="59"/>
      <c r="J122" s="59"/>
      <c r="K122" s="59"/>
      <c r="L122" s="59"/>
      <c r="M122" s="59"/>
      <c r="N122" s="59"/>
      <c r="O122" s="59"/>
      <c r="P122" s="59"/>
      <c r="Q122" s="59"/>
      <c r="R122" s="59"/>
      <c r="S122" s="59"/>
      <c r="T122" s="59"/>
      <c r="U122" s="59"/>
      <c r="V122" s="59"/>
      <c r="W122" s="59"/>
      <c r="X122" s="59"/>
      <c r="Y122" s="59"/>
    </row>
    <row r="123" spans="1:25" customFormat="1" x14ac:dyDescent="0.2">
      <c r="A123" s="59"/>
      <c r="B123" s="59"/>
      <c r="C123" s="59"/>
      <c r="D123" s="59"/>
      <c r="E123" s="59"/>
      <c r="F123" s="59"/>
      <c r="G123" s="59"/>
      <c r="H123" s="59"/>
      <c r="I123" s="59"/>
      <c r="J123" s="59"/>
      <c r="K123" s="59"/>
      <c r="L123" s="59"/>
      <c r="M123" s="59"/>
      <c r="N123" s="59"/>
      <c r="O123" s="59"/>
      <c r="P123" s="59"/>
      <c r="Q123" s="59"/>
      <c r="R123" s="59"/>
      <c r="S123" s="59"/>
      <c r="T123" s="59"/>
      <c r="U123" s="59"/>
      <c r="V123" s="59"/>
      <c r="W123" s="59"/>
      <c r="X123" s="59"/>
      <c r="Y123" s="59"/>
    </row>
    <row r="124" spans="1:25" customFormat="1" x14ac:dyDescent="0.2">
      <c r="A124" s="59"/>
      <c r="B124" s="59"/>
      <c r="C124" s="59"/>
      <c r="D124" s="59"/>
      <c r="E124" s="59"/>
      <c r="F124" s="59"/>
      <c r="G124" s="59"/>
      <c r="H124" s="59"/>
      <c r="I124" s="59"/>
      <c r="J124" s="59"/>
      <c r="K124" s="59"/>
      <c r="L124" s="59"/>
      <c r="M124" s="59"/>
      <c r="N124" s="59"/>
      <c r="O124" s="59"/>
      <c r="P124" s="59"/>
      <c r="Q124" s="59"/>
      <c r="R124" s="59"/>
      <c r="S124" s="59"/>
      <c r="T124" s="59"/>
      <c r="U124" s="59"/>
      <c r="V124" s="59"/>
      <c r="W124" s="59"/>
      <c r="X124" s="59"/>
      <c r="Y124" s="59"/>
    </row>
    <row r="125" spans="1:25" customFormat="1" x14ac:dyDescent="0.2">
      <c r="A125" s="59"/>
      <c r="B125" s="59"/>
      <c r="C125" s="59"/>
      <c r="D125" s="59"/>
      <c r="E125" s="59"/>
      <c r="F125" s="59"/>
      <c r="G125" s="59"/>
      <c r="H125" s="59"/>
      <c r="I125" s="59"/>
      <c r="J125" s="59"/>
      <c r="K125" s="59"/>
      <c r="L125" s="59"/>
      <c r="M125" s="59"/>
      <c r="N125" s="59"/>
      <c r="O125" s="59"/>
      <c r="P125" s="59"/>
      <c r="Q125" s="59"/>
      <c r="R125" s="59"/>
      <c r="S125" s="59"/>
      <c r="T125" s="59"/>
      <c r="U125" s="59"/>
      <c r="V125" s="59"/>
      <c r="W125" s="59"/>
      <c r="X125" s="59"/>
      <c r="Y125" s="59"/>
    </row>
    <row r="126" spans="1:25" customFormat="1" x14ac:dyDescent="0.2">
      <c r="A126" s="59"/>
      <c r="B126" s="59"/>
      <c r="C126" s="59"/>
      <c r="D126" s="59"/>
      <c r="E126" s="59"/>
      <c r="F126" s="59"/>
      <c r="G126" s="59"/>
      <c r="H126" s="59"/>
      <c r="I126" s="59"/>
      <c r="J126" s="59"/>
      <c r="K126" s="59"/>
      <c r="L126" s="59"/>
      <c r="M126" s="59"/>
      <c r="N126" s="59"/>
      <c r="O126" s="59"/>
      <c r="P126" s="59"/>
      <c r="Q126" s="59"/>
      <c r="R126" s="59"/>
      <c r="S126" s="59"/>
      <c r="T126" s="59"/>
      <c r="U126" s="59"/>
      <c r="V126" s="59"/>
      <c r="W126" s="59"/>
      <c r="X126" s="59"/>
      <c r="Y126" s="59"/>
    </row>
    <row r="127" spans="1:25" customFormat="1" x14ac:dyDescent="0.2">
      <c r="A127" s="59"/>
      <c r="B127" s="59"/>
      <c r="C127" s="59"/>
      <c r="D127" s="59"/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</row>
    <row r="128" spans="1:25" customFormat="1" x14ac:dyDescent="0.2">
      <c r="A128" s="59"/>
      <c r="B128" s="59"/>
      <c r="C128" s="59"/>
      <c r="D128" s="59"/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</row>
    <row r="129" spans="1:25" customFormat="1" x14ac:dyDescent="0.2">
      <c r="A129" s="59"/>
      <c r="B129" s="59"/>
      <c r="C129" s="59"/>
      <c r="D129" s="59"/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</row>
    <row r="130" spans="1:25" customFormat="1" x14ac:dyDescent="0.2">
      <c r="A130" s="59"/>
      <c r="B130" s="59"/>
      <c r="C130" s="59"/>
      <c r="D130" s="59"/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</row>
    <row r="131" spans="1:25" customFormat="1" x14ac:dyDescent="0.2">
      <c r="A131" s="59"/>
      <c r="B131" s="59"/>
      <c r="C131" s="59"/>
      <c r="D131" s="59"/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</row>
    <row r="132" spans="1:25" customFormat="1" x14ac:dyDescent="0.2">
      <c r="A132" s="59"/>
      <c r="B132" s="59"/>
      <c r="C132" s="59"/>
      <c r="D132" s="59"/>
      <c r="E132" s="59"/>
      <c r="F132" s="59"/>
      <c r="G132" s="59"/>
      <c r="H132" s="59"/>
      <c r="I132" s="59"/>
      <c r="J132" s="59"/>
      <c r="K132" s="59"/>
      <c r="L132" s="59"/>
      <c r="M132" s="59"/>
      <c r="N132" s="59"/>
      <c r="O132" s="59"/>
      <c r="P132" s="59"/>
      <c r="Q132" s="59"/>
      <c r="R132" s="59"/>
      <c r="S132" s="59"/>
      <c r="T132" s="59"/>
      <c r="U132" s="59"/>
      <c r="V132" s="59"/>
      <c r="W132" s="59"/>
      <c r="X132" s="59"/>
      <c r="Y132" s="59"/>
    </row>
    <row r="133" spans="1:25" customFormat="1" x14ac:dyDescent="0.2">
      <c r="A133" s="59"/>
      <c r="B133" s="59"/>
      <c r="C133" s="59"/>
      <c r="D133" s="59"/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</row>
    <row r="134" spans="1:25" customFormat="1" x14ac:dyDescent="0.2">
      <c r="A134" s="59"/>
      <c r="B134" s="59"/>
      <c r="C134" s="59"/>
      <c r="D134" s="59"/>
      <c r="E134" s="59"/>
      <c r="F134" s="59"/>
      <c r="G134" s="59"/>
      <c r="H134" s="59"/>
      <c r="I134" s="59"/>
      <c r="J134" s="59"/>
      <c r="K134" s="59"/>
      <c r="L134" s="59"/>
      <c r="M134" s="59"/>
      <c r="N134" s="59"/>
      <c r="O134" s="59"/>
      <c r="P134" s="59"/>
      <c r="Q134" s="59"/>
      <c r="R134" s="59"/>
      <c r="S134" s="59"/>
      <c r="T134" s="59"/>
      <c r="U134" s="59"/>
      <c r="V134" s="59"/>
      <c r="W134" s="59"/>
      <c r="X134" s="59"/>
      <c r="Y134" s="59"/>
    </row>
    <row r="135" spans="1:25" customFormat="1" x14ac:dyDescent="0.2">
      <c r="A135" s="59"/>
      <c r="B135" s="59"/>
      <c r="C135" s="59"/>
      <c r="D135" s="59"/>
      <c r="E135" s="59"/>
      <c r="F135" s="59"/>
      <c r="G135" s="59"/>
      <c r="H135" s="59"/>
      <c r="I135" s="59"/>
      <c r="J135" s="59"/>
      <c r="K135" s="59"/>
      <c r="L135" s="59"/>
      <c r="M135" s="59"/>
      <c r="N135" s="59"/>
      <c r="O135" s="59"/>
      <c r="P135" s="59"/>
      <c r="Q135" s="59"/>
      <c r="R135" s="59"/>
      <c r="S135" s="59"/>
      <c r="T135" s="59"/>
      <c r="U135" s="59"/>
      <c r="V135" s="59"/>
      <c r="W135" s="59"/>
      <c r="X135" s="59"/>
      <c r="Y135" s="59"/>
    </row>
  </sheetData>
  <sheetProtection insertColumns="0" insertRows="0" insertHyperlinks="0" deleteColumns="0" deleteRows="0" sort="0" autoFilter="0" pivotTables="0"/>
  <conditionalFormatting sqref="A1:X32 A36:X1048576">
    <cfRule type="expression" dxfId="70" priority="17" stopIfTrue="1">
      <formula>$K1&gt;0</formula>
    </cfRule>
  </conditionalFormatting>
  <conditionalFormatting sqref="A9:A10">
    <cfRule type="duplicateValues" dxfId="69" priority="25"/>
  </conditionalFormatting>
  <conditionalFormatting sqref="A21">
    <cfRule type="duplicateValues" dxfId="68" priority="24"/>
  </conditionalFormatting>
  <conditionalFormatting sqref="A22">
    <cfRule type="duplicateValues" dxfId="67" priority="23"/>
  </conditionalFormatting>
  <conditionalFormatting sqref="A29">
    <cfRule type="duplicateValues" dxfId="66" priority="22"/>
  </conditionalFormatting>
  <conditionalFormatting sqref="A17">
    <cfRule type="duplicateValues" dxfId="65" priority="21"/>
  </conditionalFormatting>
  <conditionalFormatting sqref="A18">
    <cfRule type="duplicateValues" dxfId="64" priority="20"/>
  </conditionalFormatting>
  <conditionalFormatting sqref="A19">
    <cfRule type="duplicateValues" dxfId="63" priority="19"/>
  </conditionalFormatting>
  <conditionalFormatting sqref="E1:E1048576">
    <cfRule type="expression" dxfId="62" priority="18">
      <formula>$E1&lt;0</formula>
    </cfRule>
    <cfRule type="cellIs" dxfId="61" priority="26" stopIfTrue="1" operator="greaterThan">
      <formula>0</formula>
    </cfRule>
  </conditionalFormatting>
  <conditionalFormatting sqref="B33:J35 L33:Y35 B34:Y35">
    <cfRule type="expression" dxfId="60" priority="27" stopIfTrue="1">
      <formula>$J33&gt;0</formula>
    </cfRule>
  </conditionalFormatting>
  <conditionalFormatting sqref="K33:K35">
    <cfRule type="expression" dxfId="59" priority="10" stopIfTrue="1">
      <formula>$J33&gt;0</formula>
    </cfRule>
  </conditionalFormatting>
  <conditionalFormatting sqref="F1:F1048576">
    <cfRule type="expression" dxfId="58" priority="53" stopIfTrue="1">
      <formula>$F1&lt;$F$31</formula>
    </cfRule>
    <cfRule type="colorScale" priority="54">
      <colorScale>
        <cfvo type="min"/>
        <cfvo type="max"/>
        <color rgb="FFFFEF9C"/>
        <color rgb="FF23FF2D"/>
      </colorScale>
    </cfRule>
  </conditionalFormatting>
  <conditionalFormatting sqref="F36:F63">
    <cfRule type="expression" dxfId="57" priority="75" stopIfTrue="1">
      <formula>$F36&lt;$F$31</formula>
    </cfRule>
    <cfRule type="colorScale" priority="76">
      <colorScale>
        <cfvo type="min"/>
        <cfvo type="max"/>
        <color rgb="FFFFEF9C"/>
        <color rgb="FF23FF2D"/>
      </colorScale>
    </cfRule>
  </conditionalFormatting>
  <dataValidations count="1">
    <dataValidation type="list" allowBlank="1" showInputMessage="1" showErrorMessage="1" errorTitle="Please select from the List " sqref="C33:C35">
      <formula1>TXT</formula1>
    </dataValidation>
  </dataValidations>
  <pageMargins left="0.7" right="0.7" top="0.75" bottom="0.75" header="0.3" footer="0.3"/>
  <pageSetup paperSize="9" orientation="portrait" horizontalDpi="200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6400"/>
  </sheetPr>
  <dimension ref="A1:V2745"/>
  <sheetViews>
    <sheetView zoomScaleNormal="100" workbookViewId="0">
      <selection activeCell="Q1" sqref="Q1"/>
    </sheetView>
  </sheetViews>
  <sheetFormatPr defaultRowHeight="15" x14ac:dyDescent="0.25"/>
  <cols>
    <col min="1" max="1" width="8.875" style="144" customWidth="1"/>
    <col min="2" max="2" width="6.125" style="144" customWidth="1"/>
    <col min="3" max="3" width="7" style="144" customWidth="1"/>
    <col min="4" max="4" width="6.375" style="144" customWidth="1"/>
    <col min="5" max="6" width="7" style="144" customWidth="1"/>
    <col min="7" max="8" width="6.125" style="144" customWidth="1"/>
    <col min="9" max="9" width="9" style="144"/>
    <col min="10" max="10" width="8.875" style="144" bestFit="1" customWidth="1"/>
    <col min="11" max="19" width="9" style="144"/>
    <col min="20" max="20" width="8.5" style="144" bestFit="1" customWidth="1"/>
    <col min="21" max="21" width="11.5" style="144" bestFit="1" customWidth="1"/>
    <col min="22" max="22" width="12.375" style="144" bestFit="1" customWidth="1"/>
    <col min="23" max="16384" width="9" style="144"/>
  </cols>
  <sheetData>
    <row r="1" spans="1:22" x14ac:dyDescent="0.25">
      <c r="C1" s="144" t="s">
        <v>61</v>
      </c>
      <c r="D1" s="155">
        <v>42720</v>
      </c>
      <c r="E1" s="155"/>
      <c r="J1" s="144" t="b">
        <f ca="1">IF(SUM(K1:Q1)=0,TRUE,FALSE)</f>
        <v>1</v>
      </c>
      <c r="K1" s="144">
        <f t="shared" ref="K1:Q1" ca="1" si="0">IF(K2=K4,0,-1)</f>
        <v>0</v>
      </c>
      <c r="L1" s="144">
        <f t="shared" ca="1" si="0"/>
        <v>0</v>
      </c>
      <c r="M1" s="144">
        <f t="shared" ca="1" si="0"/>
        <v>0</v>
      </c>
      <c r="N1" s="144">
        <f t="shared" ca="1" si="0"/>
        <v>0</v>
      </c>
      <c r="O1" s="144">
        <f t="shared" ca="1" si="0"/>
        <v>0</v>
      </c>
      <c r="P1" s="144">
        <f t="shared" ca="1" si="0"/>
        <v>0</v>
      </c>
      <c r="Q1" s="144">
        <f t="shared" ca="1" si="0"/>
        <v>0</v>
      </c>
    </row>
    <row r="2" spans="1:22" x14ac:dyDescent="0.25">
      <c r="K2" s="144" t="s">
        <v>91</v>
      </c>
      <c r="L2" s="144" t="s">
        <v>41</v>
      </c>
      <c r="M2" s="144" t="s">
        <v>92</v>
      </c>
      <c r="N2" s="144" t="s">
        <v>35</v>
      </c>
      <c r="O2" s="144" t="s">
        <v>40</v>
      </c>
      <c r="P2" s="144" t="s">
        <v>32</v>
      </c>
      <c r="Q2" s="144" t="s">
        <v>33</v>
      </c>
    </row>
    <row r="3" spans="1:22" x14ac:dyDescent="0.25">
      <c r="K3" s="144">
        <f>MATCH("CHF",$B$4:$G$4,0)</f>
        <v>6</v>
      </c>
      <c r="L3" s="144">
        <f>MATCH("GBP",$B$4:$G$4,0)</f>
        <v>5</v>
      </c>
      <c r="M3" s="144">
        <f>MATCH("JPY",$B$4:$G$4,0)</f>
        <v>4</v>
      </c>
      <c r="N3" s="144">
        <f>MATCH("NOK",$B$4:$G$4,0)</f>
        <v>3</v>
      </c>
      <c r="O3" s="144">
        <f>MATCH("RUB",$B$4:$G$4,0)</f>
        <v>2</v>
      </c>
      <c r="P3" s="144">
        <f>MATCH("USD",$B$4:$G$4,0)</f>
        <v>1</v>
      </c>
      <c r="Q3" s="144">
        <v>8</v>
      </c>
    </row>
    <row r="4" spans="1:22" x14ac:dyDescent="0.25">
      <c r="A4" s="144" t="s">
        <v>61</v>
      </c>
      <c r="B4" s="144" t="s">
        <v>32</v>
      </c>
      <c r="C4" s="144" t="s">
        <v>40</v>
      </c>
      <c r="D4" s="144" t="s">
        <v>35</v>
      </c>
      <c r="E4" s="144" t="s">
        <v>92</v>
      </c>
      <c r="F4" s="144" t="s">
        <v>41</v>
      </c>
      <c r="G4" s="144" t="s">
        <v>91</v>
      </c>
      <c r="I4" s="144" t="s">
        <v>33</v>
      </c>
      <c r="K4" s="144" t="str">
        <f t="shared" ref="K4:Q4" ca="1" si="1">OFFSET($A4,0,K$3)</f>
        <v>CHF</v>
      </c>
      <c r="L4" s="144" t="str">
        <f t="shared" ca="1" si="1"/>
        <v>GBP</v>
      </c>
      <c r="M4" s="144" t="str">
        <f t="shared" ca="1" si="1"/>
        <v>JPY</v>
      </c>
      <c r="N4" s="144" t="str">
        <f t="shared" ca="1" si="1"/>
        <v>NOK</v>
      </c>
      <c r="O4" s="144" t="str">
        <f t="shared" ca="1" si="1"/>
        <v>RUB</v>
      </c>
      <c r="P4" s="144" t="str">
        <f t="shared" ca="1" si="1"/>
        <v>USD</v>
      </c>
      <c r="Q4" s="144" t="str">
        <f t="shared" ca="1" si="1"/>
        <v>EUR</v>
      </c>
    </row>
    <row r="5" spans="1:22" x14ac:dyDescent="0.25">
      <c r="A5" s="145">
        <v>42765</v>
      </c>
      <c r="B5" s="144">
        <v>1.0629999999999999</v>
      </c>
      <c r="C5" s="144">
        <v>63.779200000000003</v>
      </c>
      <c r="D5" s="144">
        <v>8.8757999999999999</v>
      </c>
      <c r="E5" s="144">
        <v>121.76</v>
      </c>
      <c r="F5" s="144">
        <v>0.84935000000000005</v>
      </c>
      <c r="G5" s="144">
        <v>1.0669</v>
      </c>
      <c r="I5" s="144">
        <v>1</v>
      </c>
      <c r="J5" s="145">
        <f t="shared" ref="J5:J68" si="2">A5</f>
        <v>42765</v>
      </c>
      <c r="K5" s="144">
        <f t="shared" ref="K5:Q14" ca="1" si="3">OFFSET($A5,0,K$3)/OFFSET($A5,0,$P$3)</f>
        <v>1.0036688617121354</v>
      </c>
      <c r="L5" s="144">
        <f t="shared" ca="1" si="3"/>
        <v>0.7990122295390405</v>
      </c>
      <c r="M5" s="144">
        <f t="shared" ca="1" si="3"/>
        <v>114.54374412041393</v>
      </c>
      <c r="N5" s="144">
        <f t="shared" ca="1" si="3"/>
        <v>8.3497648165569149</v>
      </c>
      <c r="O5" s="144">
        <f t="shared" ca="1" si="3"/>
        <v>59.999247412982129</v>
      </c>
      <c r="P5" s="144">
        <f t="shared" ca="1" si="3"/>
        <v>1</v>
      </c>
      <c r="Q5" s="144">
        <f t="shared" ca="1" si="3"/>
        <v>0.94073377234242717</v>
      </c>
      <c r="V5" s="145"/>
    </row>
    <row r="6" spans="1:22" x14ac:dyDescent="0.25">
      <c r="A6" s="145">
        <v>42764</v>
      </c>
      <c r="B6" s="144">
        <v>1.0681</v>
      </c>
      <c r="C6" s="144">
        <v>64.162499999999994</v>
      </c>
      <c r="D6" s="144">
        <v>8.9190000000000005</v>
      </c>
      <c r="E6" s="144">
        <v>123.01</v>
      </c>
      <c r="F6" s="144">
        <v>0.85170000000000001</v>
      </c>
      <c r="G6" s="144">
        <v>1.0689</v>
      </c>
      <c r="I6" s="144">
        <v>1</v>
      </c>
      <c r="J6" s="145">
        <f t="shared" si="2"/>
        <v>42764</v>
      </c>
      <c r="K6" s="144">
        <f t="shared" ca="1" si="3"/>
        <v>1.0007489935399307</v>
      </c>
      <c r="L6" s="144">
        <f t="shared" ca="1" si="3"/>
        <v>0.79739724744874074</v>
      </c>
      <c r="M6" s="144">
        <f t="shared" ca="1" si="3"/>
        <v>115.16711918359704</v>
      </c>
      <c r="N6" s="144">
        <f t="shared" ca="1" si="3"/>
        <v>8.3503417283025936</v>
      </c>
      <c r="O6" s="144">
        <f t="shared" ca="1" si="3"/>
        <v>60.071622507255867</v>
      </c>
      <c r="P6" s="144">
        <f t="shared" ca="1" si="3"/>
        <v>1</v>
      </c>
      <c r="Q6" s="144">
        <f t="shared" ca="1" si="3"/>
        <v>0.93624192491339753</v>
      </c>
      <c r="T6" s="151"/>
    </row>
    <row r="7" spans="1:22" x14ac:dyDescent="0.25">
      <c r="A7" s="145">
        <v>42763</v>
      </c>
      <c r="B7" s="144">
        <v>1.0681</v>
      </c>
      <c r="C7" s="144">
        <v>64.162499999999994</v>
      </c>
      <c r="D7" s="144">
        <v>8.9190000000000005</v>
      </c>
      <c r="E7" s="144">
        <v>123.01</v>
      </c>
      <c r="F7" s="144">
        <v>0.85170000000000001</v>
      </c>
      <c r="G7" s="144">
        <v>1.0689</v>
      </c>
      <c r="I7" s="144">
        <v>1</v>
      </c>
      <c r="J7" s="145">
        <f t="shared" si="2"/>
        <v>42763</v>
      </c>
      <c r="K7" s="144">
        <f t="shared" ca="1" si="3"/>
        <v>1.0007489935399307</v>
      </c>
      <c r="L7" s="144">
        <f t="shared" ca="1" si="3"/>
        <v>0.79739724744874074</v>
      </c>
      <c r="M7" s="144">
        <f t="shared" ca="1" si="3"/>
        <v>115.16711918359704</v>
      </c>
      <c r="N7" s="144">
        <f t="shared" ca="1" si="3"/>
        <v>8.3503417283025936</v>
      </c>
      <c r="O7" s="144">
        <f t="shared" ca="1" si="3"/>
        <v>60.071622507255867</v>
      </c>
      <c r="P7" s="144">
        <f t="shared" ca="1" si="3"/>
        <v>1</v>
      </c>
      <c r="Q7" s="144">
        <f t="shared" ca="1" si="3"/>
        <v>0.93624192491339753</v>
      </c>
      <c r="T7" s="151"/>
    </row>
    <row r="8" spans="1:22" x14ac:dyDescent="0.25">
      <c r="A8" s="145">
        <v>42762</v>
      </c>
      <c r="B8" s="144">
        <v>1.0681</v>
      </c>
      <c r="C8" s="144">
        <v>64.162499999999994</v>
      </c>
      <c r="D8" s="144">
        <v>8.9190000000000005</v>
      </c>
      <c r="E8" s="144">
        <v>123.01</v>
      </c>
      <c r="F8" s="144">
        <v>0.85170000000000001</v>
      </c>
      <c r="G8" s="144">
        <v>1.0689</v>
      </c>
      <c r="I8" s="144">
        <v>1</v>
      </c>
      <c r="J8" s="145">
        <f t="shared" si="2"/>
        <v>42762</v>
      </c>
      <c r="K8" s="144">
        <f t="shared" ca="1" si="3"/>
        <v>1.0007489935399307</v>
      </c>
      <c r="L8" s="144">
        <f t="shared" ca="1" si="3"/>
        <v>0.79739724744874074</v>
      </c>
      <c r="M8" s="144">
        <f t="shared" ca="1" si="3"/>
        <v>115.16711918359704</v>
      </c>
      <c r="N8" s="144">
        <f t="shared" ca="1" si="3"/>
        <v>8.3503417283025936</v>
      </c>
      <c r="O8" s="144">
        <f t="shared" ca="1" si="3"/>
        <v>60.071622507255867</v>
      </c>
      <c r="P8" s="144">
        <f t="shared" ca="1" si="3"/>
        <v>1</v>
      </c>
      <c r="Q8" s="144">
        <f t="shared" ca="1" si="3"/>
        <v>0.93624192491339753</v>
      </c>
    </row>
    <row r="9" spans="1:22" x14ac:dyDescent="0.25">
      <c r="A9" s="145">
        <v>42761</v>
      </c>
      <c r="B9" s="144">
        <v>1.07</v>
      </c>
      <c r="C9" s="144">
        <v>64.726900000000001</v>
      </c>
      <c r="D9" s="144">
        <v>8.9215</v>
      </c>
      <c r="E9" s="144">
        <v>122.4</v>
      </c>
      <c r="F9" s="144">
        <v>0.85143000000000002</v>
      </c>
      <c r="G9" s="144">
        <v>1.0692999999999999</v>
      </c>
      <c r="I9" s="144">
        <v>1</v>
      </c>
      <c r="J9" s="145">
        <f t="shared" si="2"/>
        <v>42761</v>
      </c>
      <c r="K9" s="144">
        <f t="shared" ca="1" si="3"/>
        <v>0.99934579439252325</v>
      </c>
      <c r="L9" s="144">
        <f t="shared" ca="1" si="3"/>
        <v>0.79572897196261683</v>
      </c>
      <c r="M9" s="144">
        <f t="shared" ca="1" si="3"/>
        <v>114.39252336448598</v>
      </c>
      <c r="N9" s="144">
        <f t="shared" ca="1" si="3"/>
        <v>8.3378504672897193</v>
      </c>
      <c r="O9" s="144">
        <f t="shared" ca="1" si="3"/>
        <v>60.49242990654205</v>
      </c>
      <c r="P9" s="144">
        <f t="shared" ca="1" si="3"/>
        <v>1</v>
      </c>
      <c r="Q9" s="144">
        <f t="shared" ca="1" si="3"/>
        <v>0.93457943925233644</v>
      </c>
    </row>
    <row r="10" spans="1:22" x14ac:dyDescent="0.25">
      <c r="A10" s="145">
        <v>42760</v>
      </c>
      <c r="B10" s="144">
        <v>1.0743</v>
      </c>
      <c r="C10" s="144">
        <v>63.6282</v>
      </c>
      <c r="D10" s="144">
        <v>8.9452999999999996</v>
      </c>
      <c r="E10" s="144">
        <v>121.79</v>
      </c>
      <c r="F10" s="144">
        <v>0.85323000000000004</v>
      </c>
      <c r="G10" s="144">
        <v>1.0731999999999999</v>
      </c>
      <c r="I10" s="144">
        <v>1</v>
      </c>
      <c r="J10" s="145">
        <f t="shared" si="2"/>
        <v>42760</v>
      </c>
      <c r="K10" s="144">
        <f t="shared" ca="1" si="3"/>
        <v>0.99897607744577854</v>
      </c>
      <c r="L10" s="144">
        <f t="shared" ca="1" si="3"/>
        <v>0.79421949176207762</v>
      </c>
      <c r="M10" s="144">
        <f t="shared" ca="1" si="3"/>
        <v>113.36684352601695</v>
      </c>
      <c r="N10" s="144">
        <f t="shared" ca="1" si="3"/>
        <v>8.326631294796611</v>
      </c>
      <c r="O10" s="144">
        <f t="shared" ca="1" si="3"/>
        <v>59.227590058642832</v>
      </c>
      <c r="P10" s="144">
        <f t="shared" ca="1" si="3"/>
        <v>1</v>
      </c>
      <c r="Q10" s="144">
        <f t="shared" ca="1" si="3"/>
        <v>0.93083868565577588</v>
      </c>
    </row>
    <row r="11" spans="1:22" x14ac:dyDescent="0.25">
      <c r="A11" s="145">
        <v>42759</v>
      </c>
      <c r="B11" s="144">
        <v>1.0748</v>
      </c>
      <c r="C11" s="144">
        <v>63.655900000000003</v>
      </c>
      <c r="D11" s="144">
        <v>8.9578000000000007</v>
      </c>
      <c r="E11" s="144">
        <v>121.85</v>
      </c>
      <c r="F11" s="144">
        <v>0.86350000000000005</v>
      </c>
      <c r="G11" s="144">
        <v>1.0738000000000001</v>
      </c>
      <c r="I11" s="144">
        <v>1</v>
      </c>
      <c r="J11" s="145">
        <f t="shared" si="2"/>
        <v>42759</v>
      </c>
      <c r="K11" s="144">
        <f t="shared" ca="1" si="3"/>
        <v>0.99906959434313369</v>
      </c>
      <c r="L11" s="144">
        <f t="shared" ca="1" si="3"/>
        <v>0.80340528470413108</v>
      </c>
      <c r="M11" s="144">
        <f t="shared" ca="1" si="3"/>
        <v>113.36992928917007</v>
      </c>
      <c r="N11" s="144">
        <f t="shared" ca="1" si="3"/>
        <v>8.3343877930777825</v>
      </c>
      <c r="O11" s="144">
        <f t="shared" ca="1" si="3"/>
        <v>59.225809452921474</v>
      </c>
      <c r="P11" s="144">
        <f t="shared" ca="1" si="3"/>
        <v>1</v>
      </c>
      <c r="Q11" s="144">
        <f t="shared" ca="1" si="3"/>
        <v>0.93040565686639376</v>
      </c>
    </row>
    <row r="12" spans="1:22" x14ac:dyDescent="0.25">
      <c r="A12" s="145">
        <v>42758</v>
      </c>
      <c r="B12" s="144">
        <v>1.0714999999999999</v>
      </c>
      <c r="C12" s="144">
        <v>63.787500000000001</v>
      </c>
      <c r="D12" s="144">
        <v>8.9939999999999998</v>
      </c>
      <c r="E12" s="144">
        <v>121.72</v>
      </c>
      <c r="F12" s="144">
        <v>0.86148000000000002</v>
      </c>
      <c r="G12" s="144">
        <v>1.0727</v>
      </c>
      <c r="I12" s="144">
        <v>1</v>
      </c>
      <c r="J12" s="145">
        <f t="shared" si="2"/>
        <v>42758</v>
      </c>
      <c r="K12" s="144">
        <f t="shared" ca="1" si="3"/>
        <v>1.001119925338311</v>
      </c>
      <c r="L12" s="144">
        <f t="shared" ca="1" si="3"/>
        <v>0.80399440037330849</v>
      </c>
      <c r="M12" s="144">
        <f t="shared" ca="1" si="3"/>
        <v>113.59776014932339</v>
      </c>
      <c r="N12" s="144">
        <f t="shared" ca="1" si="3"/>
        <v>8.3938404106392905</v>
      </c>
      <c r="O12" s="144">
        <f t="shared" ca="1" si="3"/>
        <v>59.531031264582367</v>
      </c>
      <c r="P12" s="144">
        <f t="shared" ca="1" si="3"/>
        <v>1</v>
      </c>
      <c r="Q12" s="144">
        <f t="shared" ca="1" si="3"/>
        <v>0.93327111525898288</v>
      </c>
    </row>
    <row r="13" spans="1:22" x14ac:dyDescent="0.25">
      <c r="A13" s="145">
        <v>42757</v>
      </c>
      <c r="B13" s="144">
        <v>1.0631999999999999</v>
      </c>
      <c r="C13" s="144">
        <v>63.607500000000002</v>
      </c>
      <c r="D13" s="144">
        <v>8.9990000000000006</v>
      </c>
      <c r="E13" s="144">
        <v>122.47</v>
      </c>
      <c r="F13" s="144">
        <v>0.86595</v>
      </c>
      <c r="G13" s="144">
        <v>1.0727</v>
      </c>
      <c r="I13" s="144">
        <v>1</v>
      </c>
      <c r="J13" s="145">
        <f t="shared" si="2"/>
        <v>42757</v>
      </c>
      <c r="K13" s="144">
        <f t="shared" ca="1" si="3"/>
        <v>1.0089352896914974</v>
      </c>
      <c r="L13" s="144">
        <f t="shared" ca="1" si="3"/>
        <v>0.81447516930022579</v>
      </c>
      <c r="M13" s="144">
        <f t="shared" ca="1" si="3"/>
        <v>115.18999247554554</v>
      </c>
      <c r="N13" s="144">
        <f t="shared" ca="1" si="3"/>
        <v>8.4640707298720859</v>
      </c>
      <c r="O13" s="144">
        <f t="shared" ca="1" si="3"/>
        <v>59.826467268623034</v>
      </c>
      <c r="P13" s="144">
        <f t="shared" ca="1" si="3"/>
        <v>1</v>
      </c>
      <c r="Q13" s="144">
        <f t="shared" ca="1" si="3"/>
        <v>0.94055680963130184</v>
      </c>
    </row>
    <row r="14" spans="1:22" x14ac:dyDescent="0.25">
      <c r="A14" s="145">
        <v>42756</v>
      </c>
      <c r="B14" s="144">
        <v>1.0631999999999999</v>
      </c>
      <c r="C14" s="144">
        <v>63.607500000000002</v>
      </c>
      <c r="D14" s="144">
        <v>8.9990000000000006</v>
      </c>
      <c r="E14" s="144">
        <v>122.47</v>
      </c>
      <c r="F14" s="144">
        <v>0.86595</v>
      </c>
      <c r="G14" s="144">
        <v>1.0727</v>
      </c>
      <c r="I14" s="144">
        <v>1</v>
      </c>
      <c r="J14" s="145">
        <f t="shared" si="2"/>
        <v>42756</v>
      </c>
      <c r="K14" s="144">
        <f t="shared" ca="1" si="3"/>
        <v>1.0089352896914974</v>
      </c>
      <c r="L14" s="144">
        <f t="shared" ca="1" si="3"/>
        <v>0.81447516930022579</v>
      </c>
      <c r="M14" s="144">
        <f t="shared" ca="1" si="3"/>
        <v>115.18999247554554</v>
      </c>
      <c r="N14" s="144">
        <f t="shared" ca="1" si="3"/>
        <v>8.4640707298720859</v>
      </c>
      <c r="O14" s="144">
        <f t="shared" ca="1" si="3"/>
        <v>59.826467268623034</v>
      </c>
      <c r="P14" s="144">
        <f t="shared" ca="1" si="3"/>
        <v>1</v>
      </c>
      <c r="Q14" s="144">
        <f t="shared" ca="1" si="3"/>
        <v>0.94055680963130184</v>
      </c>
    </row>
    <row r="15" spans="1:22" x14ac:dyDescent="0.25">
      <c r="A15" s="145">
        <v>42755</v>
      </c>
      <c r="B15" s="144">
        <v>1.0631999999999999</v>
      </c>
      <c r="C15" s="144">
        <v>63.607500000000002</v>
      </c>
      <c r="D15" s="144">
        <v>8.9990000000000006</v>
      </c>
      <c r="E15" s="144">
        <v>122.47</v>
      </c>
      <c r="F15" s="144">
        <v>0.86595</v>
      </c>
      <c r="G15" s="144">
        <v>1.0727</v>
      </c>
      <c r="I15" s="144">
        <v>1</v>
      </c>
      <c r="J15" s="145">
        <f t="shared" si="2"/>
        <v>42755</v>
      </c>
      <c r="K15" s="144">
        <f t="shared" ref="K15:Q24" ca="1" si="4">OFFSET($A15,0,K$3)/OFFSET($A15,0,$P$3)</f>
        <v>1.0089352896914974</v>
      </c>
      <c r="L15" s="144">
        <f t="shared" ca="1" si="4"/>
        <v>0.81447516930022579</v>
      </c>
      <c r="M15" s="144">
        <f t="shared" ca="1" si="4"/>
        <v>115.18999247554554</v>
      </c>
      <c r="N15" s="144">
        <f t="shared" ca="1" si="4"/>
        <v>8.4640707298720859</v>
      </c>
      <c r="O15" s="144">
        <f t="shared" ca="1" si="4"/>
        <v>59.826467268623034</v>
      </c>
      <c r="P15" s="144">
        <f t="shared" ca="1" si="4"/>
        <v>1</v>
      </c>
      <c r="Q15" s="144">
        <f t="shared" ca="1" si="4"/>
        <v>0.94055680963130184</v>
      </c>
    </row>
    <row r="16" spans="1:22" x14ac:dyDescent="0.25">
      <c r="A16" s="145">
        <v>42754</v>
      </c>
      <c r="B16" s="144">
        <v>1.0668</v>
      </c>
      <c r="C16" s="144">
        <v>63.580199999999998</v>
      </c>
      <c r="D16" s="144">
        <v>9.0192999999999994</v>
      </c>
      <c r="E16" s="144">
        <v>122.23</v>
      </c>
      <c r="F16" s="144">
        <v>0.86555000000000004</v>
      </c>
      <c r="G16" s="144">
        <v>1.0729</v>
      </c>
      <c r="I16" s="144">
        <v>1</v>
      </c>
      <c r="J16" s="145">
        <f t="shared" si="2"/>
        <v>42754</v>
      </c>
      <c r="K16" s="144">
        <f t="shared" ca="1" si="4"/>
        <v>1.0057180352455943</v>
      </c>
      <c r="L16" s="144">
        <f t="shared" ca="1" si="4"/>
        <v>0.81135170603674545</v>
      </c>
      <c r="M16" s="144">
        <f t="shared" ca="1" si="4"/>
        <v>114.57630296212974</v>
      </c>
      <c r="N16" s="144">
        <f t="shared" ca="1" si="4"/>
        <v>8.4545369328833893</v>
      </c>
      <c r="O16" s="144">
        <f t="shared" ca="1" si="4"/>
        <v>59.59898762654668</v>
      </c>
      <c r="P16" s="144">
        <f t="shared" ca="1" si="4"/>
        <v>1</v>
      </c>
      <c r="Q16" s="144">
        <f t="shared" ca="1" si="4"/>
        <v>0.9373828271466067</v>
      </c>
    </row>
    <row r="17" spans="1:17" x14ac:dyDescent="0.25">
      <c r="A17" s="145">
        <v>42753</v>
      </c>
      <c r="B17" s="144">
        <v>1.0664</v>
      </c>
      <c r="C17" s="144">
        <v>63.247999999999998</v>
      </c>
      <c r="D17" s="144">
        <v>9.0329999999999995</v>
      </c>
      <c r="E17" s="144">
        <v>121.05</v>
      </c>
      <c r="F17" s="144">
        <v>0.86833000000000005</v>
      </c>
      <c r="G17" s="144">
        <v>1.0706</v>
      </c>
      <c r="I17" s="144">
        <v>1</v>
      </c>
      <c r="J17" s="145">
        <f t="shared" si="2"/>
        <v>42753</v>
      </c>
      <c r="K17" s="144">
        <f t="shared" ca="1" si="4"/>
        <v>1.0039384846211552</v>
      </c>
      <c r="L17" s="144">
        <f t="shared" ca="1" si="4"/>
        <v>0.81426294073518379</v>
      </c>
      <c r="M17" s="144">
        <f t="shared" ca="1" si="4"/>
        <v>113.51275318829707</v>
      </c>
      <c r="N17" s="144">
        <f t="shared" ca="1" si="4"/>
        <v>8.4705551387846949</v>
      </c>
      <c r="O17" s="144">
        <f t="shared" ca="1" si="4"/>
        <v>59.309827456864213</v>
      </c>
      <c r="P17" s="144">
        <f t="shared" ca="1" si="4"/>
        <v>1</v>
      </c>
      <c r="Q17" s="144">
        <f t="shared" ca="1" si="4"/>
        <v>0.93773443360840214</v>
      </c>
    </row>
    <row r="18" spans="1:17" x14ac:dyDescent="0.25">
      <c r="A18" s="145">
        <v>42752</v>
      </c>
      <c r="B18" s="144">
        <v>1.0684</v>
      </c>
      <c r="C18" s="144">
        <v>63.242600000000003</v>
      </c>
      <c r="D18" s="144">
        <v>9.0359999999999996</v>
      </c>
      <c r="E18" s="144">
        <v>121.1</v>
      </c>
      <c r="F18" s="144">
        <v>0.8679</v>
      </c>
      <c r="G18" s="144">
        <v>1.0711999999999999</v>
      </c>
      <c r="I18" s="144">
        <v>1</v>
      </c>
      <c r="J18" s="145">
        <f t="shared" si="2"/>
        <v>42752</v>
      </c>
      <c r="K18" s="144">
        <f t="shared" ca="1" si="4"/>
        <v>1.0026207412953949</v>
      </c>
      <c r="L18" s="144">
        <f t="shared" ca="1" si="4"/>
        <v>0.8123362036690378</v>
      </c>
      <c r="M18" s="144">
        <f t="shared" ca="1" si="4"/>
        <v>113.34706102583301</v>
      </c>
      <c r="N18" s="144">
        <f t="shared" ca="1" si="4"/>
        <v>8.4575065518532373</v>
      </c>
      <c r="O18" s="144">
        <f t="shared" ca="1" si="4"/>
        <v>59.193747660052416</v>
      </c>
      <c r="P18" s="144">
        <f t="shared" ca="1" si="4"/>
        <v>1</v>
      </c>
      <c r="Q18" s="144">
        <f t="shared" ca="1" si="4"/>
        <v>0.93597903406963678</v>
      </c>
    </row>
    <row r="19" spans="1:17" x14ac:dyDescent="0.25">
      <c r="A19" s="145">
        <v>42751</v>
      </c>
      <c r="B19" s="144">
        <v>1.0593999999999999</v>
      </c>
      <c r="C19" s="144">
        <v>63.169199999999996</v>
      </c>
      <c r="D19" s="144">
        <v>9.0557999999999996</v>
      </c>
      <c r="E19" s="144">
        <v>120.91</v>
      </c>
      <c r="F19" s="144">
        <v>0.87807999999999997</v>
      </c>
      <c r="G19" s="144">
        <v>1.0709</v>
      </c>
      <c r="I19" s="144">
        <v>1</v>
      </c>
      <c r="J19" s="145">
        <f t="shared" si="2"/>
        <v>42751</v>
      </c>
      <c r="K19" s="144">
        <f t="shared" ca="1" si="4"/>
        <v>1.0108552010572023</v>
      </c>
      <c r="L19" s="144">
        <f t="shared" ca="1" si="4"/>
        <v>0.82884651689635647</v>
      </c>
      <c r="M19" s="144">
        <f t="shared" ca="1" si="4"/>
        <v>114.13063998489712</v>
      </c>
      <c r="N19" s="144">
        <f t="shared" ca="1" si="4"/>
        <v>8.5480460638097036</v>
      </c>
      <c r="O19" s="144">
        <f t="shared" ca="1" si="4"/>
        <v>59.627336228053615</v>
      </c>
      <c r="P19" s="144">
        <f t="shared" ca="1" si="4"/>
        <v>1</v>
      </c>
      <c r="Q19" s="144">
        <f t="shared" ca="1" si="4"/>
        <v>0.94393052671323396</v>
      </c>
    </row>
    <row r="20" spans="1:17" x14ac:dyDescent="0.25">
      <c r="A20" s="145">
        <v>42750</v>
      </c>
      <c r="B20" s="144">
        <v>1.0661</v>
      </c>
      <c r="C20" s="144">
        <v>63.268500000000003</v>
      </c>
      <c r="D20" s="144">
        <v>9.0579999999999998</v>
      </c>
      <c r="E20" s="144">
        <v>121.91</v>
      </c>
      <c r="F20" s="144">
        <v>0.87548000000000004</v>
      </c>
      <c r="G20" s="144">
        <v>1.0728</v>
      </c>
      <c r="I20" s="144">
        <v>1</v>
      </c>
      <c r="J20" s="145">
        <f t="shared" si="2"/>
        <v>42750</v>
      </c>
      <c r="K20" s="144">
        <f t="shared" ca="1" si="4"/>
        <v>1.0062845886877403</v>
      </c>
      <c r="L20" s="144">
        <f t="shared" ca="1" si="4"/>
        <v>0.82119876184222873</v>
      </c>
      <c r="M20" s="144">
        <f t="shared" ca="1" si="4"/>
        <v>114.35137416752649</v>
      </c>
      <c r="N20" s="144">
        <f t="shared" ca="1" si="4"/>
        <v>8.4963887065003281</v>
      </c>
      <c r="O20" s="144">
        <f t="shared" ca="1" si="4"/>
        <v>59.345746177656878</v>
      </c>
      <c r="P20" s="144">
        <f t="shared" ca="1" si="4"/>
        <v>1</v>
      </c>
      <c r="Q20" s="144">
        <f t="shared" ca="1" si="4"/>
        <v>0.93799831160303904</v>
      </c>
    </row>
    <row r="21" spans="1:17" x14ac:dyDescent="0.25">
      <c r="A21" s="145">
        <v>42749</v>
      </c>
      <c r="B21" s="144">
        <v>1.0661</v>
      </c>
      <c r="C21" s="144">
        <v>63.268500000000003</v>
      </c>
      <c r="D21" s="144">
        <v>9.0579999999999998</v>
      </c>
      <c r="E21" s="144">
        <v>121.91</v>
      </c>
      <c r="F21" s="144">
        <v>0.87548000000000004</v>
      </c>
      <c r="G21" s="144">
        <v>1.0728</v>
      </c>
      <c r="I21" s="144">
        <v>1</v>
      </c>
      <c r="J21" s="145">
        <f t="shared" si="2"/>
        <v>42749</v>
      </c>
      <c r="K21" s="144">
        <f t="shared" ca="1" si="4"/>
        <v>1.0062845886877403</v>
      </c>
      <c r="L21" s="144">
        <f t="shared" ca="1" si="4"/>
        <v>0.82119876184222873</v>
      </c>
      <c r="M21" s="144">
        <f t="shared" ca="1" si="4"/>
        <v>114.35137416752649</v>
      </c>
      <c r="N21" s="144">
        <f t="shared" ca="1" si="4"/>
        <v>8.4963887065003281</v>
      </c>
      <c r="O21" s="144">
        <f t="shared" ca="1" si="4"/>
        <v>59.345746177656878</v>
      </c>
      <c r="P21" s="144">
        <f t="shared" ca="1" si="4"/>
        <v>1</v>
      </c>
      <c r="Q21" s="144">
        <f t="shared" ca="1" si="4"/>
        <v>0.93799831160303904</v>
      </c>
    </row>
    <row r="22" spans="1:17" x14ac:dyDescent="0.25">
      <c r="A22" s="145">
        <v>42748</v>
      </c>
      <c r="B22" s="144">
        <v>1.0661</v>
      </c>
      <c r="C22" s="144">
        <v>63.268500000000003</v>
      </c>
      <c r="D22" s="144">
        <v>9.0579999999999998</v>
      </c>
      <c r="E22" s="144">
        <v>121.91</v>
      </c>
      <c r="F22" s="144">
        <v>0.87548000000000004</v>
      </c>
      <c r="G22" s="144">
        <v>1.0728</v>
      </c>
      <c r="I22" s="144">
        <v>1</v>
      </c>
      <c r="J22" s="145">
        <f t="shared" si="2"/>
        <v>42748</v>
      </c>
      <c r="K22" s="144">
        <f t="shared" ca="1" si="4"/>
        <v>1.0062845886877403</v>
      </c>
      <c r="L22" s="144">
        <f t="shared" ca="1" si="4"/>
        <v>0.82119876184222873</v>
      </c>
      <c r="M22" s="144">
        <f t="shared" ca="1" si="4"/>
        <v>114.35137416752649</v>
      </c>
      <c r="N22" s="144">
        <f t="shared" ca="1" si="4"/>
        <v>8.4963887065003281</v>
      </c>
      <c r="O22" s="144">
        <f t="shared" ca="1" si="4"/>
        <v>59.345746177656878</v>
      </c>
      <c r="P22" s="144">
        <f t="shared" ca="1" si="4"/>
        <v>1</v>
      </c>
      <c r="Q22" s="144">
        <f t="shared" ca="1" si="4"/>
        <v>0.93799831160303904</v>
      </c>
    </row>
    <row r="23" spans="1:17" x14ac:dyDescent="0.25">
      <c r="A23" s="145">
        <v>42747</v>
      </c>
      <c r="B23" s="144">
        <v>1.0679000000000001</v>
      </c>
      <c r="C23" s="144">
        <v>63.330199999999998</v>
      </c>
      <c r="D23" s="144">
        <v>9.0625</v>
      </c>
      <c r="E23" s="144">
        <v>121.69</v>
      </c>
      <c r="F23" s="144">
        <v>0.86843000000000004</v>
      </c>
      <c r="G23" s="144">
        <v>1.0742</v>
      </c>
      <c r="I23" s="144">
        <v>1</v>
      </c>
      <c r="J23" s="145">
        <f t="shared" si="2"/>
        <v>42747</v>
      </c>
      <c r="K23" s="144">
        <f t="shared" ca="1" si="4"/>
        <v>1.0058994287854668</v>
      </c>
      <c r="L23" s="144">
        <f t="shared" ca="1" si="4"/>
        <v>0.81321284764491053</v>
      </c>
      <c r="M23" s="144">
        <f t="shared" ca="1" si="4"/>
        <v>113.95261728626275</v>
      </c>
      <c r="N23" s="144">
        <f t="shared" ca="1" si="4"/>
        <v>8.4862814870306202</v>
      </c>
      <c r="O23" s="144">
        <f t="shared" ca="1" si="4"/>
        <v>59.303492836407898</v>
      </c>
      <c r="P23" s="144">
        <f t="shared" ca="1" si="4"/>
        <v>1</v>
      </c>
      <c r="Q23" s="144">
        <f t="shared" ca="1" si="4"/>
        <v>0.93641726753441323</v>
      </c>
    </row>
    <row r="24" spans="1:17" x14ac:dyDescent="0.25">
      <c r="A24" s="145">
        <v>42746</v>
      </c>
      <c r="B24" s="144">
        <v>1.0503</v>
      </c>
      <c r="C24" s="144">
        <v>63.362499999999997</v>
      </c>
      <c r="D24" s="144">
        <v>9.0632999999999999</v>
      </c>
      <c r="E24" s="144">
        <v>122.14</v>
      </c>
      <c r="F24" s="144">
        <v>0.86724999999999997</v>
      </c>
      <c r="G24" s="144">
        <v>1.0721000000000001</v>
      </c>
      <c r="I24" s="144">
        <v>1</v>
      </c>
      <c r="J24" s="145">
        <f t="shared" si="2"/>
        <v>42746</v>
      </c>
      <c r="K24" s="144">
        <f t="shared" ca="1" si="4"/>
        <v>1.0207559744834809</v>
      </c>
      <c r="L24" s="144">
        <f t="shared" ca="1" si="4"/>
        <v>0.82571646196324855</v>
      </c>
      <c r="M24" s="144">
        <f t="shared" ca="1" si="4"/>
        <v>116.29058364276874</v>
      </c>
      <c r="N24" s="144">
        <f t="shared" ca="1" si="4"/>
        <v>8.629248786061126</v>
      </c>
      <c r="O24" s="144">
        <f t="shared" ca="1" si="4"/>
        <v>60.328001523374269</v>
      </c>
      <c r="P24" s="144">
        <f t="shared" ca="1" si="4"/>
        <v>1</v>
      </c>
      <c r="Q24" s="144">
        <f t="shared" ca="1" si="4"/>
        <v>0.95210892126059221</v>
      </c>
    </row>
    <row r="25" spans="1:17" x14ac:dyDescent="0.25">
      <c r="A25" s="145">
        <v>42745</v>
      </c>
      <c r="B25" s="144">
        <v>1.0567</v>
      </c>
      <c r="C25" s="144">
        <v>63.505699999999997</v>
      </c>
      <c r="D25" s="144">
        <v>9.0749999999999993</v>
      </c>
      <c r="E25" s="144">
        <v>122.84</v>
      </c>
      <c r="F25" s="144">
        <v>0.86939999999999995</v>
      </c>
      <c r="G25" s="144">
        <v>1.0737000000000001</v>
      </c>
      <c r="I25" s="144">
        <v>1</v>
      </c>
      <c r="J25" s="145">
        <f t="shared" si="2"/>
        <v>42745</v>
      </c>
      <c r="K25" s="144">
        <f t="shared" ref="K25:Q34" ca="1" si="5">OFFSET($A25,0,K$3)/OFFSET($A25,0,$P$3)</f>
        <v>1.0160878205734836</v>
      </c>
      <c r="L25" s="144">
        <f t="shared" ca="1" si="5"/>
        <v>0.82275007097567898</v>
      </c>
      <c r="M25" s="144">
        <f t="shared" ca="1" si="5"/>
        <v>116.24869877921833</v>
      </c>
      <c r="N25" s="144">
        <f t="shared" ca="1" si="5"/>
        <v>8.5880571590801544</v>
      </c>
      <c r="O25" s="144">
        <f t="shared" ca="1" si="5"/>
        <v>60.098135705498251</v>
      </c>
      <c r="P25" s="144">
        <f t="shared" ca="1" si="5"/>
        <v>1</v>
      </c>
      <c r="Q25" s="144">
        <f t="shared" ca="1" si="5"/>
        <v>0.94634238667549919</v>
      </c>
    </row>
    <row r="26" spans="1:17" x14ac:dyDescent="0.25">
      <c r="A26" s="145">
        <v>42744</v>
      </c>
      <c r="B26" s="144">
        <v>1.0516000000000001</v>
      </c>
      <c r="C26" s="144">
        <v>62.838299999999997</v>
      </c>
      <c r="D26" s="144">
        <v>9.0192999999999994</v>
      </c>
      <c r="E26" s="144">
        <v>122.66</v>
      </c>
      <c r="F26" s="144">
        <v>0.86660000000000004</v>
      </c>
      <c r="G26" s="144">
        <v>1.0721000000000001</v>
      </c>
      <c r="I26" s="144">
        <v>1</v>
      </c>
      <c r="J26" s="145">
        <f t="shared" si="2"/>
        <v>42744</v>
      </c>
      <c r="K26" s="144">
        <f t="shared" ca="1" si="5"/>
        <v>1.0194941042221377</v>
      </c>
      <c r="L26" s="144">
        <f t="shared" ca="1" si="5"/>
        <v>0.82407759604412323</v>
      </c>
      <c r="M26" s="144">
        <f t="shared" ca="1" si="5"/>
        <v>116.64130848231265</v>
      </c>
      <c r="N26" s="144">
        <f t="shared" ca="1" si="5"/>
        <v>8.5767402054012916</v>
      </c>
      <c r="O26" s="144">
        <f t="shared" ca="1" si="5"/>
        <v>59.754944845949019</v>
      </c>
      <c r="P26" s="144">
        <f t="shared" ca="1" si="5"/>
        <v>1</v>
      </c>
      <c r="Q26" s="144">
        <f t="shared" ca="1" si="5"/>
        <v>0.95093191327500948</v>
      </c>
    </row>
    <row r="27" spans="1:17" x14ac:dyDescent="0.25">
      <c r="A27" s="145">
        <v>42743</v>
      </c>
      <c r="B27" s="144">
        <v>1.0589</v>
      </c>
      <c r="C27" s="144">
        <v>62.747500000000002</v>
      </c>
      <c r="D27" s="144">
        <v>8.9868000000000006</v>
      </c>
      <c r="E27" s="144">
        <v>122.83</v>
      </c>
      <c r="F27" s="144">
        <v>0.85648000000000002</v>
      </c>
      <c r="G27" s="144">
        <v>1.0725</v>
      </c>
      <c r="I27" s="144">
        <v>1</v>
      </c>
      <c r="J27" s="145">
        <f t="shared" si="2"/>
        <v>42743</v>
      </c>
      <c r="K27" s="144">
        <f t="shared" ca="1" si="5"/>
        <v>1.0128435168571159</v>
      </c>
      <c r="L27" s="144">
        <f t="shared" ca="1" si="5"/>
        <v>0.80883936160166214</v>
      </c>
      <c r="M27" s="144">
        <f t="shared" ca="1" si="5"/>
        <v>115.99773349702522</v>
      </c>
      <c r="N27" s="144">
        <f t="shared" ca="1" si="5"/>
        <v>8.4869203890830107</v>
      </c>
      <c r="O27" s="144">
        <f t="shared" ca="1" si="5"/>
        <v>59.257248087638118</v>
      </c>
      <c r="P27" s="144">
        <f t="shared" ca="1" si="5"/>
        <v>1</v>
      </c>
      <c r="Q27" s="144">
        <f t="shared" ca="1" si="5"/>
        <v>0.94437623949381433</v>
      </c>
    </row>
    <row r="28" spans="1:17" x14ac:dyDescent="0.25">
      <c r="A28" s="145">
        <v>42742</v>
      </c>
      <c r="B28" s="144">
        <v>1.0589</v>
      </c>
      <c r="C28" s="144">
        <v>62.747500000000002</v>
      </c>
      <c r="D28" s="144">
        <v>8.9868000000000006</v>
      </c>
      <c r="E28" s="144">
        <v>122.83</v>
      </c>
      <c r="F28" s="144">
        <v>0.85648000000000002</v>
      </c>
      <c r="G28" s="144">
        <v>1.0725</v>
      </c>
      <c r="I28" s="144">
        <v>1</v>
      </c>
      <c r="J28" s="145">
        <f t="shared" si="2"/>
        <v>42742</v>
      </c>
      <c r="K28" s="144">
        <f t="shared" ca="1" si="5"/>
        <v>1.0128435168571159</v>
      </c>
      <c r="L28" s="144">
        <f t="shared" ca="1" si="5"/>
        <v>0.80883936160166214</v>
      </c>
      <c r="M28" s="144">
        <f t="shared" ca="1" si="5"/>
        <v>115.99773349702522</v>
      </c>
      <c r="N28" s="144">
        <f t="shared" ca="1" si="5"/>
        <v>8.4869203890830107</v>
      </c>
      <c r="O28" s="144">
        <f t="shared" ca="1" si="5"/>
        <v>59.257248087638118</v>
      </c>
      <c r="P28" s="144">
        <f t="shared" ca="1" si="5"/>
        <v>1</v>
      </c>
      <c r="Q28" s="144">
        <f t="shared" ca="1" si="5"/>
        <v>0.94437623949381433</v>
      </c>
    </row>
    <row r="29" spans="1:17" x14ac:dyDescent="0.25">
      <c r="A29" s="145">
        <v>42741</v>
      </c>
      <c r="B29" s="144">
        <v>1.0589</v>
      </c>
      <c r="C29" s="144">
        <v>62.747500000000002</v>
      </c>
      <c r="D29" s="144">
        <v>8.9868000000000006</v>
      </c>
      <c r="E29" s="144">
        <v>122.83</v>
      </c>
      <c r="F29" s="144">
        <v>0.85648000000000002</v>
      </c>
      <c r="G29" s="144">
        <v>1.0725</v>
      </c>
      <c r="I29" s="144">
        <v>1</v>
      </c>
      <c r="J29" s="145">
        <f t="shared" si="2"/>
        <v>42741</v>
      </c>
      <c r="K29" s="144">
        <f t="shared" ca="1" si="5"/>
        <v>1.0128435168571159</v>
      </c>
      <c r="L29" s="144">
        <f t="shared" ca="1" si="5"/>
        <v>0.80883936160166214</v>
      </c>
      <c r="M29" s="144">
        <f t="shared" ca="1" si="5"/>
        <v>115.99773349702522</v>
      </c>
      <c r="N29" s="144">
        <f t="shared" ca="1" si="5"/>
        <v>8.4869203890830107</v>
      </c>
      <c r="O29" s="144">
        <f t="shared" ca="1" si="5"/>
        <v>59.257248087638118</v>
      </c>
      <c r="P29" s="144">
        <f t="shared" ca="1" si="5"/>
        <v>1</v>
      </c>
      <c r="Q29" s="144">
        <f t="shared" ca="1" si="5"/>
        <v>0.94437623949381433</v>
      </c>
    </row>
    <row r="30" spans="1:17" x14ac:dyDescent="0.25">
      <c r="A30" s="145">
        <v>42740</v>
      </c>
      <c r="B30" s="144">
        <v>1.0501</v>
      </c>
      <c r="C30" s="144">
        <v>62.452599999999997</v>
      </c>
      <c r="D30" s="144">
        <v>9.0214999999999996</v>
      </c>
      <c r="E30" s="144">
        <v>122.38</v>
      </c>
      <c r="F30" s="144">
        <v>0.85440000000000005</v>
      </c>
      <c r="G30" s="144">
        <v>1.0704</v>
      </c>
      <c r="I30" s="144">
        <v>1</v>
      </c>
      <c r="J30" s="145">
        <f t="shared" si="2"/>
        <v>42740</v>
      </c>
      <c r="K30" s="144">
        <f t="shared" ca="1" si="5"/>
        <v>1.0193314922388343</v>
      </c>
      <c r="L30" s="144">
        <f t="shared" ca="1" si="5"/>
        <v>0.81363679649557186</v>
      </c>
      <c r="M30" s="144">
        <f t="shared" ca="1" si="5"/>
        <v>116.54128178268735</v>
      </c>
      <c r="N30" s="144">
        <f t="shared" ca="1" si="5"/>
        <v>8.591086563184458</v>
      </c>
      <c r="O30" s="144">
        <f t="shared" ca="1" si="5"/>
        <v>59.473002571183692</v>
      </c>
      <c r="P30" s="144">
        <f t="shared" ca="1" si="5"/>
        <v>1</v>
      </c>
      <c r="Q30" s="144">
        <f t="shared" ca="1" si="5"/>
        <v>0.95229025807065992</v>
      </c>
    </row>
    <row r="31" spans="1:17" x14ac:dyDescent="0.25">
      <c r="A31" s="145">
        <v>42739</v>
      </c>
      <c r="B31" s="144">
        <v>1.0437000000000001</v>
      </c>
      <c r="C31" s="144">
        <v>63.407800000000002</v>
      </c>
      <c r="D31" s="144">
        <v>8.9905000000000008</v>
      </c>
      <c r="E31" s="144">
        <v>122.64</v>
      </c>
      <c r="F31" s="144">
        <v>0.84945000000000004</v>
      </c>
      <c r="G31" s="144">
        <v>1.0707</v>
      </c>
      <c r="I31" s="144">
        <v>1</v>
      </c>
      <c r="J31" s="145">
        <f t="shared" si="2"/>
        <v>42739</v>
      </c>
      <c r="K31" s="144">
        <f t="shared" ca="1" si="5"/>
        <v>1.0258695027306697</v>
      </c>
      <c r="L31" s="144">
        <f t="shared" ca="1" si="5"/>
        <v>0.8138832997987927</v>
      </c>
      <c r="M31" s="144">
        <f t="shared" ca="1" si="5"/>
        <v>117.50503018108651</v>
      </c>
      <c r="N31" s="144">
        <f t="shared" ca="1" si="5"/>
        <v>8.6140653444476385</v>
      </c>
      <c r="O31" s="144">
        <f t="shared" ca="1" si="5"/>
        <v>60.752898342435564</v>
      </c>
      <c r="P31" s="144">
        <f t="shared" ca="1" si="5"/>
        <v>1</v>
      </c>
      <c r="Q31" s="144">
        <f t="shared" ca="1" si="5"/>
        <v>0.95812973076554564</v>
      </c>
    </row>
    <row r="32" spans="1:17" x14ac:dyDescent="0.25">
      <c r="A32" s="145">
        <v>42738</v>
      </c>
      <c r="B32" s="144">
        <v>1.0385</v>
      </c>
      <c r="C32" s="144">
        <v>62.912500000000001</v>
      </c>
      <c r="D32" s="144">
        <v>9.0013000000000005</v>
      </c>
      <c r="E32" s="144">
        <v>122.75</v>
      </c>
      <c r="F32" s="144">
        <v>0.84565000000000001</v>
      </c>
      <c r="G32" s="144">
        <v>1.0702</v>
      </c>
      <c r="I32" s="144">
        <v>1</v>
      </c>
      <c r="J32" s="145">
        <f t="shared" si="2"/>
        <v>42738</v>
      </c>
      <c r="K32" s="144">
        <f t="shared" ca="1" si="5"/>
        <v>1.0305247953779491</v>
      </c>
      <c r="L32" s="144">
        <f t="shared" ca="1" si="5"/>
        <v>0.81429947038998562</v>
      </c>
      <c r="M32" s="144">
        <f t="shared" ca="1" si="5"/>
        <v>118.19932595089071</v>
      </c>
      <c r="N32" s="144">
        <f t="shared" ca="1" si="5"/>
        <v>8.667597496389023</v>
      </c>
      <c r="O32" s="144">
        <f t="shared" ca="1" si="5"/>
        <v>60.580163697640828</v>
      </c>
      <c r="P32" s="144">
        <f t="shared" ca="1" si="5"/>
        <v>1</v>
      </c>
      <c r="Q32" s="144">
        <f t="shared" ca="1" si="5"/>
        <v>0.96292729898892637</v>
      </c>
    </row>
    <row r="33" spans="1:17" x14ac:dyDescent="0.25">
      <c r="A33" s="145">
        <v>42737</v>
      </c>
      <c r="B33" s="144">
        <v>1.0465</v>
      </c>
      <c r="C33" s="144">
        <v>64.107299999999995</v>
      </c>
      <c r="D33" s="144">
        <v>9.0542999999999996</v>
      </c>
      <c r="E33" s="144">
        <v>122.92</v>
      </c>
      <c r="F33" s="144">
        <v>0.85140000000000005</v>
      </c>
      <c r="G33" s="144">
        <v>1.0710999999999999</v>
      </c>
      <c r="I33" s="144">
        <v>1</v>
      </c>
      <c r="J33" s="145">
        <f t="shared" si="2"/>
        <v>42737</v>
      </c>
      <c r="K33" s="144">
        <f t="shared" ca="1" si="5"/>
        <v>1.0235069278547539</v>
      </c>
      <c r="L33" s="144">
        <f t="shared" ca="1" si="5"/>
        <v>0.81356903965599625</v>
      </c>
      <c r="M33" s="144">
        <f t="shared" ca="1" si="5"/>
        <v>117.45819397993311</v>
      </c>
      <c r="N33" s="144">
        <f t="shared" ca="1" si="5"/>
        <v>8.6519827998088861</v>
      </c>
      <c r="O33" s="144">
        <f t="shared" ca="1" si="5"/>
        <v>61.258767319636881</v>
      </c>
      <c r="P33" s="144">
        <f t="shared" ca="1" si="5"/>
        <v>1</v>
      </c>
      <c r="Q33" s="144">
        <f t="shared" ca="1" si="5"/>
        <v>0.95556617295747737</v>
      </c>
    </row>
    <row r="34" spans="1:17" x14ac:dyDescent="0.25">
      <c r="A34" s="145">
        <v>42736</v>
      </c>
      <c r="B34" s="144">
        <v>1.0541</v>
      </c>
      <c r="C34" s="144">
        <v>64.3</v>
      </c>
      <c r="D34" s="144">
        <v>9.0862999999999996</v>
      </c>
      <c r="E34" s="144">
        <v>123.4</v>
      </c>
      <c r="F34" s="144">
        <v>0.85618000000000005</v>
      </c>
      <c r="G34" s="144">
        <v>1.0739000000000001</v>
      </c>
      <c r="I34" s="144">
        <v>1</v>
      </c>
      <c r="J34" s="145">
        <f t="shared" si="2"/>
        <v>42736</v>
      </c>
      <c r="K34" s="144">
        <f t="shared" ca="1" si="5"/>
        <v>1.0187837966037379</v>
      </c>
      <c r="L34" s="144">
        <f t="shared" ca="1" si="5"/>
        <v>0.81223792809031403</v>
      </c>
      <c r="M34" s="144">
        <f t="shared" ca="1" si="5"/>
        <v>117.06669196470924</v>
      </c>
      <c r="N34" s="144">
        <f t="shared" ca="1" si="5"/>
        <v>8.6199601555829606</v>
      </c>
      <c r="O34" s="144">
        <f t="shared" ca="1" si="5"/>
        <v>60.99990513234038</v>
      </c>
      <c r="P34" s="144">
        <f t="shared" ca="1" si="5"/>
        <v>1</v>
      </c>
      <c r="Q34" s="144">
        <f t="shared" ca="1" si="5"/>
        <v>0.94867659614837296</v>
      </c>
    </row>
    <row r="35" spans="1:17" x14ac:dyDescent="0.25">
      <c r="A35" s="145">
        <v>42735</v>
      </c>
      <c r="B35" s="144">
        <v>1.0541</v>
      </c>
      <c r="C35" s="144">
        <v>64.3</v>
      </c>
      <c r="D35" s="144">
        <v>9.0862999999999996</v>
      </c>
      <c r="E35" s="144">
        <v>123.4</v>
      </c>
      <c r="F35" s="144">
        <v>0.85618000000000005</v>
      </c>
      <c r="G35" s="144">
        <v>1.0739000000000001</v>
      </c>
      <c r="I35" s="144">
        <v>1</v>
      </c>
      <c r="J35" s="145">
        <f t="shared" si="2"/>
        <v>42735</v>
      </c>
      <c r="K35" s="144">
        <f t="shared" ref="K35:Q44" ca="1" si="6">OFFSET($A35,0,K$3)/OFFSET($A35,0,$P$3)</f>
        <v>1.0187837966037379</v>
      </c>
      <c r="L35" s="144">
        <f t="shared" ca="1" si="6"/>
        <v>0.81223792809031403</v>
      </c>
      <c r="M35" s="144">
        <f t="shared" ca="1" si="6"/>
        <v>117.06669196470924</v>
      </c>
      <c r="N35" s="144">
        <f t="shared" ca="1" si="6"/>
        <v>8.6199601555829606</v>
      </c>
      <c r="O35" s="144">
        <f t="shared" ca="1" si="6"/>
        <v>60.99990513234038</v>
      </c>
      <c r="P35" s="144">
        <f t="shared" ca="1" si="6"/>
        <v>1</v>
      </c>
      <c r="Q35" s="144">
        <f t="shared" ca="1" si="6"/>
        <v>0.94867659614837296</v>
      </c>
    </row>
    <row r="36" spans="1:17" x14ac:dyDescent="0.25">
      <c r="A36" s="145">
        <v>42734</v>
      </c>
      <c r="B36" s="144">
        <v>1.0541</v>
      </c>
      <c r="C36" s="144">
        <v>64.3</v>
      </c>
      <c r="D36" s="144">
        <v>9.0862999999999996</v>
      </c>
      <c r="E36" s="144">
        <v>123.4</v>
      </c>
      <c r="F36" s="144">
        <v>0.85618000000000005</v>
      </c>
      <c r="G36" s="144">
        <v>1.0739000000000001</v>
      </c>
      <c r="I36" s="144">
        <v>1</v>
      </c>
      <c r="J36" s="145">
        <f t="shared" si="2"/>
        <v>42734</v>
      </c>
      <c r="K36" s="144">
        <f t="shared" ca="1" si="6"/>
        <v>1.0187837966037379</v>
      </c>
      <c r="L36" s="144">
        <f t="shared" ca="1" si="6"/>
        <v>0.81223792809031403</v>
      </c>
      <c r="M36" s="144">
        <f t="shared" ca="1" si="6"/>
        <v>117.06669196470924</v>
      </c>
      <c r="N36" s="144">
        <f t="shared" ca="1" si="6"/>
        <v>8.6199601555829606</v>
      </c>
      <c r="O36" s="144">
        <f t="shared" ca="1" si="6"/>
        <v>60.99990513234038</v>
      </c>
      <c r="P36" s="144">
        <f t="shared" ca="1" si="6"/>
        <v>1</v>
      </c>
      <c r="Q36" s="144">
        <f t="shared" ca="1" si="6"/>
        <v>0.94867659614837296</v>
      </c>
    </row>
    <row r="37" spans="1:17" x14ac:dyDescent="0.25">
      <c r="A37" s="145">
        <v>42733</v>
      </c>
      <c r="B37" s="144">
        <v>1.0452999999999999</v>
      </c>
      <c r="C37" s="144">
        <v>63.255499999999998</v>
      </c>
      <c r="D37" s="144">
        <v>9.0757999999999992</v>
      </c>
      <c r="E37" s="144">
        <v>122.04</v>
      </c>
      <c r="F37" s="144">
        <v>0.85299999999999998</v>
      </c>
      <c r="G37" s="144">
        <v>1.0713999999999999</v>
      </c>
      <c r="I37" s="144">
        <v>1</v>
      </c>
      <c r="J37" s="145">
        <f t="shared" si="2"/>
        <v>42733</v>
      </c>
      <c r="K37" s="144">
        <f t="shared" ca="1" si="6"/>
        <v>1.0249689084473357</v>
      </c>
      <c r="L37" s="144">
        <f t="shared" ca="1" si="6"/>
        <v>0.81603367454319342</v>
      </c>
      <c r="M37" s="144">
        <f t="shared" ca="1" si="6"/>
        <v>116.75117191236967</v>
      </c>
      <c r="N37" s="144">
        <f t="shared" ca="1" si="6"/>
        <v>8.6824834975605096</v>
      </c>
      <c r="O37" s="144">
        <f t="shared" ca="1" si="6"/>
        <v>60.514206447909693</v>
      </c>
      <c r="P37" s="144">
        <f t="shared" ca="1" si="6"/>
        <v>1</v>
      </c>
      <c r="Q37" s="144">
        <f t="shared" ca="1" si="6"/>
        <v>0.9566631589017508</v>
      </c>
    </row>
    <row r="38" spans="1:17" x14ac:dyDescent="0.25">
      <c r="A38" s="145">
        <v>42732</v>
      </c>
      <c r="B38" s="144">
        <v>1.0401</v>
      </c>
      <c r="C38" s="144">
        <v>62.9938</v>
      </c>
      <c r="D38" s="144">
        <v>9.0777000000000001</v>
      </c>
      <c r="E38" s="144">
        <v>122.39</v>
      </c>
      <c r="F38" s="144">
        <v>0.85128000000000004</v>
      </c>
      <c r="G38" s="144">
        <v>1.0713999999999999</v>
      </c>
      <c r="I38" s="144">
        <v>1</v>
      </c>
      <c r="J38" s="145">
        <f t="shared" si="2"/>
        <v>42732</v>
      </c>
      <c r="K38" s="144">
        <f t="shared" ca="1" si="6"/>
        <v>1.0300932602634361</v>
      </c>
      <c r="L38" s="144">
        <f t="shared" ca="1" si="6"/>
        <v>0.8184597634842804</v>
      </c>
      <c r="M38" s="144">
        <f t="shared" ca="1" si="6"/>
        <v>117.67137775213922</v>
      </c>
      <c r="N38" s="144">
        <f t="shared" ca="1" si="6"/>
        <v>8.7277184886068646</v>
      </c>
      <c r="O38" s="144">
        <f t="shared" ca="1" si="6"/>
        <v>60.565137967503127</v>
      </c>
      <c r="P38" s="144">
        <f t="shared" ca="1" si="6"/>
        <v>1</v>
      </c>
      <c r="Q38" s="144">
        <f t="shared" ca="1" si="6"/>
        <v>0.96144601480626857</v>
      </c>
    </row>
    <row r="39" spans="1:17" x14ac:dyDescent="0.25">
      <c r="A39" s="145">
        <v>42731</v>
      </c>
      <c r="B39" s="144">
        <v>1.0445</v>
      </c>
      <c r="C39" s="144">
        <v>63.452500000000001</v>
      </c>
      <c r="D39" s="144">
        <v>9.1077999999999992</v>
      </c>
      <c r="E39" s="144">
        <v>122.61</v>
      </c>
      <c r="F39" s="144">
        <v>0.85299999999999998</v>
      </c>
      <c r="G39" s="144">
        <v>1.0753999999999999</v>
      </c>
      <c r="I39" s="144">
        <v>1</v>
      </c>
      <c r="J39" s="145">
        <f t="shared" si="2"/>
        <v>42731</v>
      </c>
      <c r="K39" s="144">
        <f t="shared" ca="1" si="6"/>
        <v>1.0295835327908089</v>
      </c>
      <c r="L39" s="144">
        <f t="shared" ca="1" si="6"/>
        <v>0.81665868836764</v>
      </c>
      <c r="M39" s="144">
        <f t="shared" ca="1" si="6"/>
        <v>117.38630923887027</v>
      </c>
      <c r="N39" s="144">
        <f t="shared" ca="1" si="6"/>
        <v>8.7197702249880322</v>
      </c>
      <c r="O39" s="144">
        <f t="shared" ca="1" si="6"/>
        <v>60.749162278602206</v>
      </c>
      <c r="P39" s="144">
        <f t="shared" ca="1" si="6"/>
        <v>1</v>
      </c>
      <c r="Q39" s="144">
        <f t="shared" ca="1" si="6"/>
        <v>0.9573958831977023</v>
      </c>
    </row>
    <row r="40" spans="1:17" x14ac:dyDescent="0.25">
      <c r="A40" s="145">
        <v>42730</v>
      </c>
      <c r="B40" s="144">
        <v>1.0446</v>
      </c>
      <c r="C40" s="144">
        <v>64.008499999999998</v>
      </c>
      <c r="D40" s="144">
        <v>9.0928000000000004</v>
      </c>
      <c r="E40" s="144">
        <v>122.6</v>
      </c>
      <c r="F40" s="144">
        <v>0.85277999999999998</v>
      </c>
      <c r="G40" s="144">
        <v>1.0710999999999999</v>
      </c>
      <c r="I40" s="144">
        <v>1</v>
      </c>
      <c r="J40" s="145">
        <f t="shared" si="2"/>
        <v>42730</v>
      </c>
      <c r="K40" s="144">
        <f t="shared" ca="1" si="6"/>
        <v>1.0253685621290445</v>
      </c>
      <c r="L40" s="144">
        <f t="shared" ca="1" si="6"/>
        <v>0.81636990235496842</v>
      </c>
      <c r="M40" s="144">
        <f t="shared" ca="1" si="6"/>
        <v>117.3654987555045</v>
      </c>
      <c r="N40" s="144">
        <f t="shared" ca="1" si="6"/>
        <v>8.7045759142255417</v>
      </c>
      <c r="O40" s="144">
        <f t="shared" ca="1" si="6"/>
        <v>61.275607888186869</v>
      </c>
      <c r="P40" s="144">
        <f t="shared" ca="1" si="6"/>
        <v>1</v>
      </c>
      <c r="Q40" s="144">
        <f t="shared" ca="1" si="6"/>
        <v>0.95730423128470232</v>
      </c>
    </row>
    <row r="41" spans="1:17" x14ac:dyDescent="0.25">
      <c r="A41" s="145">
        <v>42729</v>
      </c>
      <c r="B41" s="144">
        <v>1.0446</v>
      </c>
      <c r="C41" s="144">
        <v>64.008499999999998</v>
      </c>
      <c r="D41" s="144">
        <v>9.0928000000000004</v>
      </c>
      <c r="E41" s="144">
        <v>122.6</v>
      </c>
      <c r="F41" s="144">
        <v>0.85277999999999998</v>
      </c>
      <c r="G41" s="144">
        <v>1.0710999999999999</v>
      </c>
      <c r="I41" s="144">
        <v>1</v>
      </c>
      <c r="J41" s="145">
        <f t="shared" si="2"/>
        <v>42729</v>
      </c>
      <c r="K41" s="144">
        <f t="shared" ca="1" si="6"/>
        <v>1.0253685621290445</v>
      </c>
      <c r="L41" s="144">
        <f t="shared" ca="1" si="6"/>
        <v>0.81636990235496842</v>
      </c>
      <c r="M41" s="144">
        <f t="shared" ca="1" si="6"/>
        <v>117.3654987555045</v>
      </c>
      <c r="N41" s="144">
        <f t="shared" ca="1" si="6"/>
        <v>8.7045759142255417</v>
      </c>
      <c r="O41" s="144">
        <f t="shared" ca="1" si="6"/>
        <v>61.275607888186869</v>
      </c>
      <c r="P41" s="144">
        <f t="shared" ca="1" si="6"/>
        <v>1</v>
      </c>
      <c r="Q41" s="144">
        <f t="shared" ca="1" si="6"/>
        <v>0.95730423128470232</v>
      </c>
    </row>
    <row r="42" spans="1:17" x14ac:dyDescent="0.25">
      <c r="A42" s="145">
        <v>42728</v>
      </c>
      <c r="B42" s="144">
        <v>1.0446</v>
      </c>
      <c r="C42" s="144">
        <v>64.008499999999998</v>
      </c>
      <c r="D42" s="144">
        <v>9.0928000000000004</v>
      </c>
      <c r="E42" s="144">
        <v>122.6</v>
      </c>
      <c r="F42" s="144">
        <v>0.85277999999999998</v>
      </c>
      <c r="G42" s="144">
        <v>1.0710999999999999</v>
      </c>
      <c r="I42" s="144">
        <v>1</v>
      </c>
      <c r="J42" s="145">
        <f t="shared" si="2"/>
        <v>42728</v>
      </c>
      <c r="K42" s="144">
        <f t="shared" ca="1" si="6"/>
        <v>1.0253685621290445</v>
      </c>
      <c r="L42" s="144">
        <f t="shared" ca="1" si="6"/>
        <v>0.81636990235496842</v>
      </c>
      <c r="M42" s="144">
        <f t="shared" ca="1" si="6"/>
        <v>117.3654987555045</v>
      </c>
      <c r="N42" s="144">
        <f t="shared" ca="1" si="6"/>
        <v>8.7045759142255417</v>
      </c>
      <c r="O42" s="144">
        <f t="shared" ca="1" si="6"/>
        <v>61.275607888186869</v>
      </c>
      <c r="P42" s="144">
        <f t="shared" ca="1" si="6"/>
        <v>1</v>
      </c>
      <c r="Q42" s="144">
        <f t="shared" ca="1" si="6"/>
        <v>0.95730423128470232</v>
      </c>
    </row>
    <row r="43" spans="1:17" x14ac:dyDescent="0.25">
      <c r="A43" s="145">
        <v>42727</v>
      </c>
      <c r="B43" s="144">
        <v>1.0446</v>
      </c>
      <c r="C43" s="144">
        <v>64.008499999999998</v>
      </c>
      <c r="D43" s="144">
        <v>9.0928000000000004</v>
      </c>
      <c r="E43" s="144">
        <v>122.6</v>
      </c>
      <c r="F43" s="144">
        <v>0.85277999999999998</v>
      </c>
      <c r="G43" s="144">
        <v>1.0710999999999999</v>
      </c>
      <c r="I43" s="144">
        <v>1</v>
      </c>
      <c r="J43" s="145">
        <f t="shared" si="2"/>
        <v>42727</v>
      </c>
      <c r="K43" s="144">
        <f t="shared" ca="1" si="6"/>
        <v>1.0253685621290445</v>
      </c>
      <c r="L43" s="144">
        <f t="shared" ca="1" si="6"/>
        <v>0.81636990235496842</v>
      </c>
      <c r="M43" s="144">
        <f t="shared" ca="1" si="6"/>
        <v>117.3654987555045</v>
      </c>
      <c r="N43" s="144">
        <f t="shared" ca="1" si="6"/>
        <v>8.7045759142255417</v>
      </c>
      <c r="O43" s="144">
        <f t="shared" ca="1" si="6"/>
        <v>61.275607888186869</v>
      </c>
      <c r="P43" s="144">
        <f t="shared" ca="1" si="6"/>
        <v>1</v>
      </c>
      <c r="Q43" s="144">
        <f t="shared" ca="1" si="6"/>
        <v>0.95730423128470232</v>
      </c>
    </row>
    <row r="44" spans="1:17" x14ac:dyDescent="0.25">
      <c r="A44" s="145">
        <v>42726</v>
      </c>
      <c r="B44" s="144">
        <v>1.0444</v>
      </c>
      <c r="C44" s="144">
        <v>63.752600000000001</v>
      </c>
      <c r="D44" s="144">
        <v>9.0975000000000001</v>
      </c>
      <c r="E44" s="144">
        <v>122.86</v>
      </c>
      <c r="F44" s="144">
        <v>0.84645000000000004</v>
      </c>
      <c r="G44" s="144">
        <v>1.0706</v>
      </c>
      <c r="I44" s="144">
        <v>1</v>
      </c>
      <c r="J44" s="145">
        <f t="shared" si="2"/>
        <v>42726</v>
      </c>
      <c r="K44" s="144">
        <f t="shared" ca="1" si="6"/>
        <v>1.0250861738797397</v>
      </c>
      <c r="L44" s="144">
        <f t="shared" ca="1" si="6"/>
        <v>0.81046533895059369</v>
      </c>
      <c r="M44" s="144">
        <f t="shared" ca="1" si="6"/>
        <v>117.63692072003064</v>
      </c>
      <c r="N44" s="144">
        <f t="shared" ca="1" si="6"/>
        <v>8.710743010340865</v>
      </c>
      <c r="O44" s="144">
        <f t="shared" ca="1" si="6"/>
        <v>61.042320949827655</v>
      </c>
      <c r="P44" s="144">
        <f t="shared" ca="1" si="6"/>
        <v>1</v>
      </c>
      <c r="Q44" s="144">
        <f t="shared" ca="1" si="6"/>
        <v>0.9574875526618154</v>
      </c>
    </row>
    <row r="45" spans="1:17" x14ac:dyDescent="0.25">
      <c r="A45" s="145">
        <v>42725</v>
      </c>
      <c r="B45" s="144">
        <v>1.0421</v>
      </c>
      <c r="C45" s="144">
        <v>63.668199999999999</v>
      </c>
      <c r="D45" s="144">
        <v>9.0259999999999998</v>
      </c>
      <c r="E45" s="144">
        <v>122.31</v>
      </c>
      <c r="F45" s="144">
        <v>0.84240000000000004</v>
      </c>
      <c r="G45" s="144">
        <v>1.0689</v>
      </c>
      <c r="I45" s="144">
        <v>1</v>
      </c>
      <c r="J45" s="145">
        <f t="shared" si="2"/>
        <v>42725</v>
      </c>
      <c r="K45" s="144">
        <f t="shared" ref="K45:Q54" ca="1" si="7">OFFSET($A45,0,K$3)/OFFSET($A45,0,$P$3)</f>
        <v>1.0257173016025334</v>
      </c>
      <c r="L45" s="144">
        <f t="shared" ca="1" si="7"/>
        <v>0.80836771902888405</v>
      </c>
      <c r="M45" s="144">
        <f t="shared" ca="1" si="7"/>
        <v>117.36877458977065</v>
      </c>
      <c r="N45" s="144">
        <f t="shared" ca="1" si="7"/>
        <v>8.6613568755397754</v>
      </c>
      <c r="O45" s="144">
        <f t="shared" ca="1" si="7"/>
        <v>61.096056040687074</v>
      </c>
      <c r="P45" s="144">
        <f t="shared" ca="1" si="7"/>
        <v>1</v>
      </c>
      <c r="Q45" s="144">
        <f t="shared" ca="1" si="7"/>
        <v>0.95960080606467713</v>
      </c>
    </row>
    <row r="46" spans="1:17" x14ac:dyDescent="0.25">
      <c r="A46" s="145">
        <v>42724</v>
      </c>
      <c r="B46" s="144">
        <v>1.0364</v>
      </c>
      <c r="C46" s="144">
        <v>63.866399999999999</v>
      </c>
      <c r="D46" s="144">
        <v>9.0343</v>
      </c>
      <c r="E46" s="144">
        <v>122.43</v>
      </c>
      <c r="F46" s="144">
        <v>0.83977999999999997</v>
      </c>
      <c r="G46" s="144">
        <v>1.0687</v>
      </c>
      <c r="I46" s="144">
        <v>1</v>
      </c>
      <c r="J46" s="145">
        <f t="shared" si="2"/>
        <v>42724</v>
      </c>
      <c r="K46" s="144">
        <f t="shared" ca="1" si="7"/>
        <v>1.0311655731377847</v>
      </c>
      <c r="L46" s="144">
        <f t="shared" ca="1" si="7"/>
        <v>0.81028560401389427</v>
      </c>
      <c r="M46" s="144">
        <f t="shared" ca="1" si="7"/>
        <v>118.13006561173293</v>
      </c>
      <c r="N46" s="144">
        <f t="shared" ca="1" si="7"/>
        <v>8.71700115785411</v>
      </c>
      <c r="O46" s="144">
        <f t="shared" ca="1" si="7"/>
        <v>61.623311462755694</v>
      </c>
      <c r="P46" s="144">
        <f t="shared" ca="1" si="7"/>
        <v>1</v>
      </c>
      <c r="Q46" s="144">
        <f t="shared" ca="1" si="7"/>
        <v>0.96487842531840984</v>
      </c>
    </row>
    <row r="47" spans="1:17" x14ac:dyDescent="0.25">
      <c r="A47" s="145">
        <v>42723</v>
      </c>
      <c r="B47" s="144">
        <v>1.0422</v>
      </c>
      <c r="C47" s="144">
        <v>64.507499999999993</v>
      </c>
      <c r="D47" s="144">
        <v>9.0485000000000007</v>
      </c>
      <c r="E47" s="144">
        <v>122.19</v>
      </c>
      <c r="F47" s="144">
        <v>0.84140000000000004</v>
      </c>
      <c r="G47" s="144">
        <v>1.0709</v>
      </c>
      <c r="I47" s="144">
        <v>1</v>
      </c>
      <c r="J47" s="145">
        <f t="shared" si="2"/>
        <v>42723</v>
      </c>
      <c r="K47" s="144">
        <f t="shared" ca="1" si="7"/>
        <v>1.0275379005948955</v>
      </c>
      <c r="L47" s="144">
        <f t="shared" ca="1" si="7"/>
        <v>0.8073306467088851</v>
      </c>
      <c r="M47" s="144">
        <f t="shared" ca="1" si="7"/>
        <v>117.24237190558433</v>
      </c>
      <c r="N47" s="144">
        <f t="shared" ca="1" si="7"/>
        <v>8.6821147572442907</v>
      </c>
      <c r="O47" s="144">
        <f t="shared" ca="1" si="7"/>
        <v>61.895509499136438</v>
      </c>
      <c r="P47" s="144">
        <f t="shared" ca="1" si="7"/>
        <v>1</v>
      </c>
      <c r="Q47" s="144">
        <f t="shared" ca="1" si="7"/>
        <v>0.95950873152945693</v>
      </c>
    </row>
    <row r="48" spans="1:17" x14ac:dyDescent="0.25">
      <c r="A48" s="145">
        <v>42722</v>
      </c>
      <c r="B48" s="144">
        <v>1.0439000000000001</v>
      </c>
      <c r="C48" s="144">
        <v>64.301699999999997</v>
      </c>
      <c r="D48" s="144">
        <v>9.0623000000000005</v>
      </c>
      <c r="E48" s="144">
        <v>123.38</v>
      </c>
      <c r="F48" s="144">
        <v>0.83889999999999998</v>
      </c>
      <c r="G48" s="144">
        <v>1.0750999999999999</v>
      </c>
      <c r="I48" s="144">
        <v>1</v>
      </c>
      <c r="J48" s="145">
        <f t="shared" si="2"/>
        <v>42722</v>
      </c>
      <c r="K48" s="144">
        <f t="shared" ca="1" si="7"/>
        <v>1.0298879202988791</v>
      </c>
      <c r="L48" s="144">
        <f t="shared" ca="1" si="7"/>
        <v>0.80362103649774874</v>
      </c>
      <c r="M48" s="144">
        <f t="shared" ca="1" si="7"/>
        <v>118.19139764345243</v>
      </c>
      <c r="N48" s="144">
        <f t="shared" ca="1" si="7"/>
        <v>8.6811955168119557</v>
      </c>
      <c r="O48" s="144">
        <f t="shared" ca="1" si="7"/>
        <v>61.597566816744894</v>
      </c>
      <c r="P48" s="144">
        <f t="shared" ca="1" si="7"/>
        <v>1</v>
      </c>
      <c r="Q48" s="144">
        <f t="shared" ca="1" si="7"/>
        <v>0.95794616342561545</v>
      </c>
    </row>
    <row r="49" spans="1:17" s="149" customFormat="1" x14ac:dyDescent="0.25">
      <c r="A49" s="150">
        <v>42721</v>
      </c>
      <c r="B49" s="149">
        <v>1.0439000000000001</v>
      </c>
      <c r="C49" s="149">
        <v>64.301699999999997</v>
      </c>
      <c r="D49" s="149">
        <v>9.0623000000000005</v>
      </c>
      <c r="E49" s="149">
        <v>123.38</v>
      </c>
      <c r="F49" s="149">
        <v>0.83889999999999998</v>
      </c>
      <c r="G49" s="149">
        <v>1.0750999999999999</v>
      </c>
      <c r="I49" s="149">
        <v>1</v>
      </c>
      <c r="J49" s="150">
        <f t="shared" si="2"/>
        <v>42721</v>
      </c>
      <c r="K49" s="149">
        <f t="shared" ca="1" si="7"/>
        <v>1.0298879202988791</v>
      </c>
      <c r="L49" s="149">
        <f t="shared" ca="1" si="7"/>
        <v>0.80362103649774874</v>
      </c>
      <c r="M49" s="149">
        <f t="shared" ca="1" si="7"/>
        <v>118.19139764345243</v>
      </c>
      <c r="N49" s="149">
        <f t="shared" ca="1" si="7"/>
        <v>8.6811955168119557</v>
      </c>
      <c r="O49" s="149">
        <f t="shared" ca="1" si="7"/>
        <v>61.597566816744894</v>
      </c>
      <c r="P49" s="149">
        <f t="shared" ca="1" si="7"/>
        <v>1</v>
      </c>
      <c r="Q49" s="149">
        <f t="shared" ca="1" si="7"/>
        <v>0.95794616342561545</v>
      </c>
    </row>
    <row r="50" spans="1:17" x14ac:dyDescent="0.25">
      <c r="A50" s="145">
        <v>42720</v>
      </c>
      <c r="B50" s="144">
        <v>1.0439000000000001</v>
      </c>
      <c r="C50" s="144">
        <v>64.301699999999997</v>
      </c>
      <c r="D50" s="144">
        <v>9.0623000000000005</v>
      </c>
      <c r="E50" s="144">
        <v>123.38</v>
      </c>
      <c r="F50" s="144">
        <v>0.83889999999999998</v>
      </c>
      <c r="G50" s="144">
        <v>1.0750999999999999</v>
      </c>
      <c r="I50" s="144">
        <v>1</v>
      </c>
      <c r="J50" s="145">
        <f t="shared" si="2"/>
        <v>42720</v>
      </c>
      <c r="K50" s="144">
        <f t="shared" ca="1" si="7"/>
        <v>1.0298879202988791</v>
      </c>
      <c r="L50" s="144">
        <f t="shared" ca="1" si="7"/>
        <v>0.80362103649774874</v>
      </c>
      <c r="M50" s="144">
        <f t="shared" ca="1" si="7"/>
        <v>118.19139764345243</v>
      </c>
      <c r="N50" s="144">
        <f t="shared" ca="1" si="7"/>
        <v>8.6811955168119557</v>
      </c>
      <c r="O50" s="144">
        <f t="shared" ca="1" si="7"/>
        <v>61.597566816744894</v>
      </c>
      <c r="P50" s="144">
        <f t="shared" ca="1" si="7"/>
        <v>1</v>
      </c>
      <c r="Q50" s="144">
        <f t="shared" ca="1" si="7"/>
        <v>0.95794616342561545</v>
      </c>
    </row>
    <row r="51" spans="1:17" x14ac:dyDescent="0.25">
      <c r="A51" s="145">
        <v>42719</v>
      </c>
      <c r="B51" s="144">
        <v>1.0419</v>
      </c>
      <c r="C51" s="144">
        <v>64.395300000000006</v>
      </c>
      <c r="D51" s="144">
        <v>8.9992999999999999</v>
      </c>
      <c r="E51" s="144">
        <v>123.03</v>
      </c>
      <c r="F51" s="144">
        <v>0.83597999999999995</v>
      </c>
      <c r="G51" s="144">
        <v>1.0732999999999999</v>
      </c>
      <c r="I51" s="144">
        <v>1</v>
      </c>
      <c r="J51" s="145">
        <f t="shared" si="2"/>
        <v>42719</v>
      </c>
      <c r="K51" s="144">
        <f t="shared" ca="1" si="7"/>
        <v>1.0301372492561665</v>
      </c>
      <c r="L51" s="144">
        <f t="shared" ca="1" si="7"/>
        <v>0.80236107112006905</v>
      </c>
      <c r="M51" s="144">
        <f t="shared" ca="1" si="7"/>
        <v>118.08234955369997</v>
      </c>
      <c r="N51" s="144">
        <f t="shared" ca="1" si="7"/>
        <v>8.6373932239178419</v>
      </c>
      <c r="O51" s="144">
        <f t="shared" ca="1" si="7"/>
        <v>61.80564353584797</v>
      </c>
      <c r="P51" s="144">
        <f t="shared" ca="1" si="7"/>
        <v>1</v>
      </c>
      <c r="Q51" s="144">
        <f t="shared" ca="1" si="7"/>
        <v>0.95978500815817247</v>
      </c>
    </row>
    <row r="52" spans="1:17" x14ac:dyDescent="0.25">
      <c r="A52" s="145">
        <v>42718</v>
      </c>
      <c r="B52" s="144">
        <v>1.0644</v>
      </c>
      <c r="C52" s="144">
        <v>65.138599999999997</v>
      </c>
      <c r="D52" s="144">
        <v>9.0222999999999995</v>
      </c>
      <c r="E52" s="144">
        <v>122.39</v>
      </c>
      <c r="F52" s="144">
        <v>0.83962999999999999</v>
      </c>
      <c r="G52" s="144">
        <v>1.0747</v>
      </c>
      <c r="I52" s="144">
        <v>1</v>
      </c>
      <c r="J52" s="145">
        <f t="shared" si="2"/>
        <v>42718</v>
      </c>
      <c r="K52" s="144">
        <f t="shared" ca="1" si="7"/>
        <v>1.0096768132281098</v>
      </c>
      <c r="L52" s="144">
        <f t="shared" ca="1" si="7"/>
        <v>0.78882938744832765</v>
      </c>
      <c r="M52" s="144">
        <f t="shared" ca="1" si="7"/>
        <v>114.98496805712138</v>
      </c>
      <c r="N52" s="144">
        <f t="shared" ca="1" si="7"/>
        <v>8.4764186396091681</v>
      </c>
      <c r="O52" s="144">
        <f t="shared" ca="1" si="7"/>
        <v>61.197482149567826</v>
      </c>
      <c r="P52" s="144">
        <f t="shared" ca="1" si="7"/>
        <v>1</v>
      </c>
      <c r="Q52" s="144">
        <f t="shared" ca="1" si="7"/>
        <v>0.9394964299135663</v>
      </c>
    </row>
    <row r="53" spans="1:17" x14ac:dyDescent="0.25">
      <c r="A53" s="145">
        <v>42717</v>
      </c>
      <c r="B53" s="144">
        <v>1.0609999999999999</v>
      </c>
      <c r="C53" s="144">
        <v>64.583100000000002</v>
      </c>
      <c r="D53" s="144">
        <v>8.9495000000000005</v>
      </c>
      <c r="E53" s="144">
        <v>122.27</v>
      </c>
      <c r="F53" s="144">
        <v>0.83487999999999996</v>
      </c>
      <c r="G53" s="144">
        <v>1.0742</v>
      </c>
      <c r="I53" s="144">
        <v>1</v>
      </c>
      <c r="J53" s="145">
        <f t="shared" si="2"/>
        <v>42717</v>
      </c>
      <c r="K53" s="144">
        <f t="shared" ca="1" si="7"/>
        <v>1.0124410933082</v>
      </c>
      <c r="L53" s="144">
        <f t="shared" ca="1" si="7"/>
        <v>0.78688030160226197</v>
      </c>
      <c r="M53" s="144">
        <f t="shared" ca="1" si="7"/>
        <v>115.24033930254477</v>
      </c>
      <c r="N53" s="144">
        <f t="shared" ca="1" si="7"/>
        <v>8.4349670122525922</v>
      </c>
      <c r="O53" s="144">
        <f t="shared" ca="1" si="7"/>
        <v>60.870028275212071</v>
      </c>
      <c r="P53" s="144">
        <f t="shared" ca="1" si="7"/>
        <v>1</v>
      </c>
      <c r="Q53" s="144">
        <f t="shared" ca="1" si="7"/>
        <v>0.94250706880301605</v>
      </c>
    </row>
    <row r="54" spans="1:17" x14ac:dyDescent="0.25">
      <c r="A54" s="145">
        <v>42716</v>
      </c>
      <c r="B54" s="144">
        <v>1.0596000000000001</v>
      </c>
      <c r="C54" s="144">
        <v>64.866100000000003</v>
      </c>
      <c r="D54" s="144">
        <v>8.9497999999999998</v>
      </c>
      <c r="E54" s="144">
        <v>122.69</v>
      </c>
      <c r="F54" s="144">
        <v>0.83899999999999997</v>
      </c>
      <c r="G54" s="144">
        <v>1.0771999999999999</v>
      </c>
      <c r="I54" s="144">
        <v>1</v>
      </c>
      <c r="J54" s="145">
        <f t="shared" si="2"/>
        <v>42716</v>
      </c>
      <c r="K54" s="144">
        <f t="shared" ca="1" si="7"/>
        <v>1.0166100415251036</v>
      </c>
      <c r="L54" s="144">
        <f t="shared" ca="1" si="7"/>
        <v>0.79180822952057373</v>
      </c>
      <c r="M54" s="144">
        <f t="shared" ca="1" si="7"/>
        <v>115.78897697244241</v>
      </c>
      <c r="N54" s="144">
        <f t="shared" ca="1" si="7"/>
        <v>8.4463948659871644</v>
      </c>
      <c r="O54" s="144">
        <f t="shared" ca="1" si="7"/>
        <v>61.217534918837295</v>
      </c>
      <c r="P54" s="144">
        <f t="shared" ca="1" si="7"/>
        <v>1</v>
      </c>
      <c r="Q54" s="144">
        <f t="shared" ca="1" si="7"/>
        <v>0.94375235938089841</v>
      </c>
    </row>
    <row r="55" spans="1:17" x14ac:dyDescent="0.25">
      <c r="A55" s="145">
        <v>42715</v>
      </c>
      <c r="B55" s="144">
        <v>1.0559000000000001</v>
      </c>
      <c r="C55" s="144">
        <v>66.698800000000006</v>
      </c>
      <c r="D55" s="144">
        <v>8.9804999999999993</v>
      </c>
      <c r="E55" s="144">
        <v>121.48</v>
      </c>
      <c r="F55" s="144">
        <v>0.83935000000000004</v>
      </c>
      <c r="G55" s="144">
        <v>1.0755999999999999</v>
      </c>
      <c r="I55" s="144">
        <v>1</v>
      </c>
      <c r="J55" s="145">
        <f t="shared" si="2"/>
        <v>42715</v>
      </c>
      <c r="K55" s="144">
        <f t="shared" ref="K55:Q64" ca="1" si="8">OFFSET($A55,0,K$3)/OFFSET($A55,0,$P$3)</f>
        <v>1.0186570697982762</v>
      </c>
      <c r="L55" s="144">
        <f t="shared" ca="1" si="8"/>
        <v>0.79491429112605361</v>
      </c>
      <c r="M55" s="144">
        <f t="shared" ca="1" si="8"/>
        <v>115.04877355810208</v>
      </c>
      <c r="N55" s="144">
        <f t="shared" ca="1" si="8"/>
        <v>8.5050667676863334</v>
      </c>
      <c r="O55" s="144">
        <f t="shared" ca="1" si="8"/>
        <v>63.167724216308365</v>
      </c>
      <c r="P55" s="144">
        <f t="shared" ca="1" si="8"/>
        <v>1</v>
      </c>
      <c r="Q55" s="144">
        <f t="shared" ca="1" si="8"/>
        <v>0.94705938062316497</v>
      </c>
    </row>
    <row r="56" spans="1:17" x14ac:dyDescent="0.25">
      <c r="A56" s="145">
        <v>42714</v>
      </c>
      <c r="B56" s="144">
        <v>1.0559000000000001</v>
      </c>
      <c r="C56" s="144">
        <v>66.698800000000006</v>
      </c>
      <c r="D56" s="144">
        <v>8.9804999999999993</v>
      </c>
      <c r="E56" s="144">
        <v>121.48</v>
      </c>
      <c r="F56" s="144">
        <v>0.83935000000000004</v>
      </c>
      <c r="G56" s="144">
        <v>1.0755999999999999</v>
      </c>
      <c r="I56" s="144">
        <v>1</v>
      </c>
      <c r="J56" s="145">
        <f t="shared" si="2"/>
        <v>42714</v>
      </c>
      <c r="K56" s="144">
        <f t="shared" ca="1" si="8"/>
        <v>1.0186570697982762</v>
      </c>
      <c r="L56" s="144">
        <f t="shared" ca="1" si="8"/>
        <v>0.79491429112605361</v>
      </c>
      <c r="M56" s="144">
        <f t="shared" ca="1" si="8"/>
        <v>115.04877355810208</v>
      </c>
      <c r="N56" s="144">
        <f t="shared" ca="1" si="8"/>
        <v>8.5050667676863334</v>
      </c>
      <c r="O56" s="144">
        <f t="shared" ca="1" si="8"/>
        <v>63.167724216308365</v>
      </c>
      <c r="P56" s="144">
        <f t="shared" ca="1" si="8"/>
        <v>1</v>
      </c>
      <c r="Q56" s="144">
        <f t="shared" ca="1" si="8"/>
        <v>0.94705938062316497</v>
      </c>
    </row>
    <row r="57" spans="1:17" x14ac:dyDescent="0.25">
      <c r="A57" s="145">
        <v>42713</v>
      </c>
      <c r="B57" s="144">
        <v>1.0559000000000001</v>
      </c>
      <c r="C57" s="144">
        <v>66.698800000000006</v>
      </c>
      <c r="D57" s="144">
        <v>8.9804999999999993</v>
      </c>
      <c r="E57" s="144">
        <v>121.48</v>
      </c>
      <c r="F57" s="144">
        <v>0.83935000000000004</v>
      </c>
      <c r="G57" s="144">
        <v>1.0755999999999999</v>
      </c>
      <c r="I57" s="144">
        <v>1</v>
      </c>
      <c r="J57" s="145">
        <f t="shared" si="2"/>
        <v>42713</v>
      </c>
      <c r="K57" s="144">
        <f t="shared" ca="1" si="8"/>
        <v>1.0186570697982762</v>
      </c>
      <c r="L57" s="144">
        <f t="shared" ca="1" si="8"/>
        <v>0.79491429112605361</v>
      </c>
      <c r="M57" s="144">
        <f t="shared" ca="1" si="8"/>
        <v>115.04877355810208</v>
      </c>
      <c r="N57" s="144">
        <f t="shared" ca="1" si="8"/>
        <v>8.5050667676863334</v>
      </c>
      <c r="O57" s="144">
        <f t="shared" ca="1" si="8"/>
        <v>63.167724216308365</v>
      </c>
      <c r="P57" s="144">
        <f t="shared" ca="1" si="8"/>
        <v>1</v>
      </c>
      <c r="Q57" s="144">
        <f t="shared" ca="1" si="8"/>
        <v>0.94705938062316497</v>
      </c>
    </row>
    <row r="58" spans="1:17" x14ac:dyDescent="0.25">
      <c r="A58" s="145">
        <v>42712</v>
      </c>
      <c r="B58" s="144">
        <v>1.0762</v>
      </c>
      <c r="C58" s="144">
        <v>68.19</v>
      </c>
      <c r="D58" s="144">
        <v>9.0145</v>
      </c>
      <c r="E58" s="144">
        <v>122.61</v>
      </c>
      <c r="F58" s="144">
        <v>0.84994999999999998</v>
      </c>
      <c r="G58" s="144">
        <v>1.0852999999999999</v>
      </c>
      <c r="I58" s="144">
        <v>1</v>
      </c>
      <c r="J58" s="145">
        <f t="shared" si="2"/>
        <v>42712</v>
      </c>
      <c r="K58" s="144">
        <f t="shared" ca="1" si="8"/>
        <v>1.0084556773833859</v>
      </c>
      <c r="L58" s="144">
        <f t="shared" ca="1" si="8"/>
        <v>0.78976955956141981</v>
      </c>
      <c r="M58" s="144">
        <f t="shared" ca="1" si="8"/>
        <v>113.92863779966548</v>
      </c>
      <c r="N58" s="144">
        <f t="shared" ca="1" si="8"/>
        <v>8.3762311837948324</v>
      </c>
      <c r="O58" s="144">
        <f t="shared" ca="1" si="8"/>
        <v>63.361828656383565</v>
      </c>
      <c r="P58" s="144">
        <f t="shared" ca="1" si="8"/>
        <v>1</v>
      </c>
      <c r="Q58" s="144">
        <f t="shared" ca="1" si="8"/>
        <v>0.92919531685560297</v>
      </c>
    </row>
    <row r="59" spans="1:17" x14ac:dyDescent="0.25">
      <c r="A59" s="145">
        <v>42711</v>
      </c>
      <c r="B59" s="144">
        <v>1.073</v>
      </c>
      <c r="C59" s="144">
        <v>68.392399999999995</v>
      </c>
      <c r="D59" s="144">
        <v>8.9908000000000001</v>
      </c>
      <c r="E59" s="144">
        <v>122.42</v>
      </c>
      <c r="F59" s="144">
        <v>0.85094999999999998</v>
      </c>
      <c r="G59" s="144">
        <v>1.0833999999999999</v>
      </c>
      <c r="I59" s="144">
        <v>1</v>
      </c>
      <c r="J59" s="145">
        <f t="shared" si="2"/>
        <v>42711</v>
      </c>
      <c r="K59" s="144">
        <f t="shared" ca="1" si="8"/>
        <v>1.0096924510717613</v>
      </c>
      <c r="L59" s="144">
        <f t="shared" ca="1" si="8"/>
        <v>0.79305684995340164</v>
      </c>
      <c r="M59" s="144">
        <f t="shared" ca="1" si="8"/>
        <v>114.09133271202238</v>
      </c>
      <c r="N59" s="144">
        <f t="shared" ca="1" si="8"/>
        <v>8.3791239515377445</v>
      </c>
      <c r="O59" s="144">
        <f t="shared" ca="1" si="8"/>
        <v>63.73942218080149</v>
      </c>
      <c r="P59" s="144">
        <f t="shared" ca="1" si="8"/>
        <v>1</v>
      </c>
      <c r="Q59" s="144">
        <f t="shared" ca="1" si="8"/>
        <v>0.93196644920782856</v>
      </c>
    </row>
    <row r="60" spans="1:17" x14ac:dyDescent="0.25">
      <c r="A60" s="145">
        <v>42710</v>
      </c>
      <c r="B60" s="144">
        <v>1.0733999999999999</v>
      </c>
      <c r="C60" s="144">
        <v>68.424700000000001</v>
      </c>
      <c r="D60" s="144">
        <v>8.9802999999999997</v>
      </c>
      <c r="E60" s="144">
        <v>122.28</v>
      </c>
      <c r="F60" s="144">
        <v>0.84209999999999996</v>
      </c>
      <c r="G60" s="144">
        <v>1.0832999999999999</v>
      </c>
      <c r="I60" s="144">
        <v>1</v>
      </c>
      <c r="J60" s="145">
        <f t="shared" si="2"/>
        <v>42710</v>
      </c>
      <c r="K60" s="144">
        <f t="shared" ca="1" si="8"/>
        <v>1.0092230296254892</v>
      </c>
      <c r="L60" s="144">
        <f t="shared" ca="1" si="8"/>
        <v>0.78451648965902743</v>
      </c>
      <c r="M60" s="144">
        <f t="shared" ca="1" si="8"/>
        <v>113.91839016210174</v>
      </c>
      <c r="N60" s="144">
        <f t="shared" ca="1" si="8"/>
        <v>8.3662194894727033</v>
      </c>
      <c r="O60" s="144">
        <f t="shared" ca="1" si="8"/>
        <v>63.745761132848898</v>
      </c>
      <c r="P60" s="144">
        <f t="shared" ca="1" si="8"/>
        <v>1</v>
      </c>
      <c r="Q60" s="144">
        <f t="shared" ca="1" si="8"/>
        <v>0.93161915408980811</v>
      </c>
    </row>
    <row r="61" spans="1:17" x14ac:dyDescent="0.25">
      <c r="A61" s="145">
        <v>42709</v>
      </c>
      <c r="B61" s="144">
        <v>1.0702</v>
      </c>
      <c r="C61" s="144">
        <v>68.117500000000007</v>
      </c>
      <c r="D61" s="144">
        <v>8.984</v>
      </c>
      <c r="E61" s="144">
        <v>122.32</v>
      </c>
      <c r="F61" s="144">
        <v>0.84167999999999998</v>
      </c>
      <c r="G61" s="144">
        <v>1.0797000000000001</v>
      </c>
      <c r="I61" s="144">
        <v>1</v>
      </c>
      <c r="J61" s="145">
        <f t="shared" si="2"/>
        <v>42709</v>
      </c>
      <c r="K61" s="144">
        <f t="shared" ca="1" si="8"/>
        <v>1.0088768454494488</v>
      </c>
      <c r="L61" s="144">
        <f t="shared" ca="1" si="8"/>
        <v>0.78646981872547184</v>
      </c>
      <c r="M61" s="144">
        <f t="shared" ca="1" si="8"/>
        <v>114.29639319753316</v>
      </c>
      <c r="N61" s="144">
        <f t="shared" ca="1" si="8"/>
        <v>8.394692580826014</v>
      </c>
      <c r="O61" s="144">
        <f t="shared" ca="1" si="8"/>
        <v>63.649317884507575</v>
      </c>
      <c r="P61" s="144">
        <f t="shared" ca="1" si="8"/>
        <v>1</v>
      </c>
      <c r="Q61" s="144">
        <f t="shared" ca="1" si="8"/>
        <v>0.93440478415249484</v>
      </c>
    </row>
    <row r="62" spans="1:17" x14ac:dyDescent="0.25">
      <c r="A62" s="145">
        <v>42708</v>
      </c>
      <c r="B62" s="144">
        <v>1.0642</v>
      </c>
      <c r="C62" s="144">
        <v>68.257000000000005</v>
      </c>
      <c r="D62" s="144">
        <v>8.9860000000000007</v>
      </c>
      <c r="E62" s="144">
        <v>121.2</v>
      </c>
      <c r="F62" s="144">
        <v>0.84302999999999995</v>
      </c>
      <c r="G62" s="144">
        <v>1.0750999999999999</v>
      </c>
      <c r="I62" s="144">
        <v>1</v>
      </c>
      <c r="J62" s="145">
        <f t="shared" si="2"/>
        <v>42708</v>
      </c>
      <c r="K62" s="144">
        <f t="shared" ca="1" si="8"/>
        <v>1.0102424356323998</v>
      </c>
      <c r="L62" s="144">
        <f t="shared" ca="1" si="8"/>
        <v>0.79217252396166127</v>
      </c>
      <c r="M62" s="144">
        <f t="shared" ca="1" si="8"/>
        <v>113.88836684833677</v>
      </c>
      <c r="N62" s="144">
        <f t="shared" ca="1" si="8"/>
        <v>8.4439015222702505</v>
      </c>
      <c r="O62" s="144">
        <f t="shared" ca="1" si="8"/>
        <v>64.139259537680886</v>
      </c>
      <c r="P62" s="144">
        <f t="shared" ca="1" si="8"/>
        <v>1</v>
      </c>
      <c r="Q62" s="144">
        <f t="shared" ca="1" si="8"/>
        <v>0.93967299379815816</v>
      </c>
    </row>
    <row r="63" spans="1:17" x14ac:dyDescent="0.25">
      <c r="A63" s="145">
        <v>42707</v>
      </c>
      <c r="B63" s="144">
        <v>1.0642</v>
      </c>
      <c r="C63" s="144">
        <v>68.257000000000005</v>
      </c>
      <c r="D63" s="144">
        <v>8.9860000000000007</v>
      </c>
      <c r="E63" s="144">
        <v>121.2</v>
      </c>
      <c r="F63" s="144">
        <v>0.84302999999999995</v>
      </c>
      <c r="G63" s="144">
        <v>1.0750999999999999</v>
      </c>
      <c r="I63" s="144">
        <v>1</v>
      </c>
      <c r="J63" s="145">
        <f t="shared" si="2"/>
        <v>42707</v>
      </c>
      <c r="K63" s="144">
        <f t="shared" ca="1" si="8"/>
        <v>1.0102424356323998</v>
      </c>
      <c r="L63" s="144">
        <f t="shared" ca="1" si="8"/>
        <v>0.79217252396166127</v>
      </c>
      <c r="M63" s="144">
        <f t="shared" ca="1" si="8"/>
        <v>113.88836684833677</v>
      </c>
      <c r="N63" s="144">
        <f t="shared" ca="1" si="8"/>
        <v>8.4439015222702505</v>
      </c>
      <c r="O63" s="144">
        <f t="shared" ca="1" si="8"/>
        <v>64.139259537680886</v>
      </c>
      <c r="P63" s="144">
        <f t="shared" ca="1" si="8"/>
        <v>1</v>
      </c>
      <c r="Q63" s="144">
        <f t="shared" ca="1" si="8"/>
        <v>0.93967299379815816</v>
      </c>
    </row>
    <row r="64" spans="1:17" x14ac:dyDescent="0.25">
      <c r="A64" s="145">
        <v>42706</v>
      </c>
      <c r="B64" s="144">
        <v>1.0642</v>
      </c>
      <c r="C64" s="144">
        <v>68.257000000000005</v>
      </c>
      <c r="D64" s="144">
        <v>8.9860000000000007</v>
      </c>
      <c r="E64" s="144">
        <v>121.2</v>
      </c>
      <c r="F64" s="144">
        <v>0.84302999999999995</v>
      </c>
      <c r="G64" s="144">
        <v>1.0750999999999999</v>
      </c>
      <c r="I64" s="144">
        <v>1</v>
      </c>
      <c r="J64" s="145">
        <f t="shared" si="2"/>
        <v>42706</v>
      </c>
      <c r="K64" s="144">
        <f t="shared" ca="1" si="8"/>
        <v>1.0102424356323998</v>
      </c>
      <c r="L64" s="144">
        <f t="shared" ca="1" si="8"/>
        <v>0.79217252396166127</v>
      </c>
      <c r="M64" s="144">
        <f t="shared" ca="1" si="8"/>
        <v>113.88836684833677</v>
      </c>
      <c r="N64" s="144">
        <f t="shared" ca="1" si="8"/>
        <v>8.4439015222702505</v>
      </c>
      <c r="O64" s="144">
        <f t="shared" ca="1" si="8"/>
        <v>64.139259537680886</v>
      </c>
      <c r="P64" s="144">
        <f t="shared" ca="1" si="8"/>
        <v>1</v>
      </c>
      <c r="Q64" s="144">
        <f t="shared" ca="1" si="8"/>
        <v>0.93967299379815816</v>
      </c>
    </row>
    <row r="65" spans="1:17" x14ac:dyDescent="0.25">
      <c r="A65" s="145">
        <v>42705</v>
      </c>
      <c r="B65" s="144">
        <v>1.0627</v>
      </c>
      <c r="C65" s="144">
        <v>67.77</v>
      </c>
      <c r="D65" s="144">
        <v>8.9627999999999997</v>
      </c>
      <c r="E65" s="144">
        <v>121.39</v>
      </c>
      <c r="F65" s="144">
        <v>0.84097999999999995</v>
      </c>
      <c r="G65" s="144">
        <v>1.0764</v>
      </c>
      <c r="I65" s="144">
        <v>1</v>
      </c>
      <c r="J65" s="145">
        <f t="shared" si="2"/>
        <v>42705</v>
      </c>
      <c r="K65" s="144">
        <f t="shared" ref="K65:Q74" ca="1" si="9">OFFSET($A65,0,K$3)/OFFSET($A65,0,$P$3)</f>
        <v>1.0128916909758163</v>
      </c>
      <c r="L65" s="144">
        <f t="shared" ca="1" si="9"/>
        <v>0.79136162604686178</v>
      </c>
      <c r="M65" s="144">
        <f t="shared" ca="1" si="9"/>
        <v>114.22791004046297</v>
      </c>
      <c r="N65" s="144">
        <f t="shared" ca="1" si="9"/>
        <v>8.4339888962077723</v>
      </c>
      <c r="O65" s="144">
        <f t="shared" ca="1" si="9"/>
        <v>63.771525359932248</v>
      </c>
      <c r="P65" s="144">
        <f t="shared" ca="1" si="9"/>
        <v>1</v>
      </c>
      <c r="Q65" s="144">
        <f t="shared" ca="1" si="9"/>
        <v>0.94099934130046115</v>
      </c>
    </row>
    <row r="66" spans="1:17" x14ac:dyDescent="0.25">
      <c r="A66" s="145">
        <v>42704</v>
      </c>
      <c r="B66" s="144">
        <v>1.0634999999999999</v>
      </c>
      <c r="C66" s="144">
        <v>68.420900000000003</v>
      </c>
      <c r="D66" s="144">
        <v>9.0190000000000001</v>
      </c>
      <c r="E66" s="144">
        <v>120.48</v>
      </c>
      <c r="F66" s="144">
        <v>0.85250000000000004</v>
      </c>
      <c r="G66" s="144">
        <v>1.0803</v>
      </c>
      <c r="I66" s="144">
        <v>1</v>
      </c>
      <c r="J66" s="145">
        <f t="shared" si="2"/>
        <v>42704</v>
      </c>
      <c r="K66" s="144">
        <f t="shared" ca="1" si="9"/>
        <v>1.015796897038082</v>
      </c>
      <c r="L66" s="144">
        <f t="shared" ca="1" si="9"/>
        <v>0.80159849553361551</v>
      </c>
      <c r="M66" s="144">
        <f t="shared" ca="1" si="9"/>
        <v>113.28631875881524</v>
      </c>
      <c r="N66" s="144">
        <f t="shared" ca="1" si="9"/>
        <v>8.4804889515749888</v>
      </c>
      <c r="O66" s="144">
        <f t="shared" ca="1" si="9"/>
        <v>64.335590032910218</v>
      </c>
      <c r="P66" s="144">
        <f t="shared" ca="1" si="9"/>
        <v>1</v>
      </c>
      <c r="Q66" s="144">
        <f t="shared" ca="1" si="9"/>
        <v>0.94029149036201232</v>
      </c>
    </row>
    <row r="67" spans="1:17" x14ac:dyDescent="0.25">
      <c r="A67" s="145">
        <v>42703</v>
      </c>
      <c r="B67" s="144">
        <v>1.0576000000000001</v>
      </c>
      <c r="C67" s="144">
        <v>69.045299999999997</v>
      </c>
      <c r="D67" s="144">
        <v>9.0764999999999993</v>
      </c>
      <c r="E67" s="144">
        <v>119.48</v>
      </c>
      <c r="F67" s="144">
        <v>0.84814999999999996</v>
      </c>
      <c r="G67" s="144">
        <v>1.0751999999999999</v>
      </c>
      <c r="I67" s="144">
        <v>1</v>
      </c>
      <c r="J67" s="145">
        <f t="shared" si="2"/>
        <v>42703</v>
      </c>
      <c r="K67" s="144">
        <f t="shared" ca="1" si="9"/>
        <v>1.0166414523449319</v>
      </c>
      <c r="L67" s="144">
        <f t="shared" ca="1" si="9"/>
        <v>0.80195726172465953</v>
      </c>
      <c r="M67" s="144">
        <f t="shared" ca="1" si="9"/>
        <v>112.97276853252647</v>
      </c>
      <c r="N67" s="144">
        <f t="shared" ca="1" si="9"/>
        <v>8.5821671709531007</v>
      </c>
      <c r="O67" s="144">
        <f t="shared" ca="1" si="9"/>
        <v>65.284890317700444</v>
      </c>
      <c r="P67" s="144">
        <f t="shared" ca="1" si="9"/>
        <v>1</v>
      </c>
      <c r="Q67" s="144">
        <f t="shared" ca="1" si="9"/>
        <v>0.94553706505294999</v>
      </c>
    </row>
    <row r="68" spans="1:17" x14ac:dyDescent="0.25">
      <c r="A68" s="145">
        <v>42702</v>
      </c>
      <c r="B68" s="144">
        <v>1.0588</v>
      </c>
      <c r="C68" s="144">
        <v>68.807500000000005</v>
      </c>
      <c r="D68" s="144">
        <v>9.0847999999999995</v>
      </c>
      <c r="E68" s="144">
        <v>119.25</v>
      </c>
      <c r="F68" s="144">
        <v>0.85302999999999995</v>
      </c>
      <c r="G68" s="144">
        <v>1.0750999999999999</v>
      </c>
      <c r="I68" s="144">
        <v>1</v>
      </c>
      <c r="J68" s="145">
        <f t="shared" si="2"/>
        <v>42702</v>
      </c>
      <c r="K68" s="144">
        <f t="shared" ca="1" si="9"/>
        <v>1.0153947865508122</v>
      </c>
      <c r="L68" s="144">
        <f t="shared" ca="1" si="9"/>
        <v>0.80565734794106536</v>
      </c>
      <c r="M68" s="144">
        <f t="shared" ca="1" si="9"/>
        <v>112.62750283339631</v>
      </c>
      <c r="N68" s="144">
        <f t="shared" ca="1" si="9"/>
        <v>8.5802795617680392</v>
      </c>
      <c r="O68" s="144">
        <f t="shared" ca="1" si="9"/>
        <v>64.986305251227805</v>
      </c>
      <c r="P68" s="144">
        <f t="shared" ca="1" si="9"/>
        <v>1</v>
      </c>
      <c r="Q68" s="144">
        <f t="shared" ca="1" si="9"/>
        <v>0.94446543256516813</v>
      </c>
    </row>
    <row r="69" spans="1:17" x14ac:dyDescent="0.25">
      <c r="A69" s="145">
        <v>42701</v>
      </c>
      <c r="B69" s="144">
        <v>1.0591999999999999</v>
      </c>
      <c r="C69" s="144">
        <v>68.411100000000005</v>
      </c>
      <c r="D69" s="144">
        <v>9.0690000000000008</v>
      </c>
      <c r="E69" s="144">
        <v>119.73</v>
      </c>
      <c r="F69" s="144">
        <v>0.85182000000000002</v>
      </c>
      <c r="G69" s="144">
        <v>1.0736000000000001</v>
      </c>
      <c r="I69" s="144">
        <v>1</v>
      </c>
      <c r="J69" s="145">
        <f t="shared" ref="J69:J132" si="10">A69</f>
        <v>42701</v>
      </c>
      <c r="K69" s="144">
        <f t="shared" ca="1" si="9"/>
        <v>1.0135951661631422</v>
      </c>
      <c r="L69" s="144">
        <f t="shared" ca="1" si="9"/>
        <v>0.80421072507552882</v>
      </c>
      <c r="M69" s="144">
        <f t="shared" ca="1" si="9"/>
        <v>113.03814199395772</v>
      </c>
      <c r="N69" s="144">
        <f t="shared" ca="1" si="9"/>
        <v>8.56212235649547</v>
      </c>
      <c r="O69" s="144">
        <f t="shared" ca="1" si="9"/>
        <v>64.587518882175232</v>
      </c>
      <c r="P69" s="144">
        <f t="shared" ca="1" si="9"/>
        <v>1</v>
      </c>
      <c r="Q69" s="144">
        <f t="shared" ca="1" si="9"/>
        <v>0.94410876132930521</v>
      </c>
    </row>
    <row r="70" spans="1:17" x14ac:dyDescent="0.25">
      <c r="A70" s="145">
        <v>42700</v>
      </c>
      <c r="B70" s="144">
        <v>1.0591999999999999</v>
      </c>
      <c r="C70" s="144">
        <v>68.411100000000005</v>
      </c>
      <c r="D70" s="144">
        <v>9.0690000000000008</v>
      </c>
      <c r="E70" s="144">
        <v>119.73</v>
      </c>
      <c r="F70" s="144">
        <v>0.85182000000000002</v>
      </c>
      <c r="G70" s="144">
        <v>1.0736000000000001</v>
      </c>
      <c r="I70" s="144">
        <v>1</v>
      </c>
      <c r="J70" s="145">
        <f t="shared" si="10"/>
        <v>42700</v>
      </c>
      <c r="K70" s="144">
        <f t="shared" ca="1" si="9"/>
        <v>1.0135951661631422</v>
      </c>
      <c r="L70" s="144">
        <f t="shared" ca="1" si="9"/>
        <v>0.80421072507552882</v>
      </c>
      <c r="M70" s="144">
        <f t="shared" ca="1" si="9"/>
        <v>113.03814199395772</v>
      </c>
      <c r="N70" s="144">
        <f t="shared" ca="1" si="9"/>
        <v>8.56212235649547</v>
      </c>
      <c r="O70" s="144">
        <f t="shared" ca="1" si="9"/>
        <v>64.587518882175232</v>
      </c>
      <c r="P70" s="144">
        <f t="shared" ca="1" si="9"/>
        <v>1</v>
      </c>
      <c r="Q70" s="144">
        <f t="shared" ca="1" si="9"/>
        <v>0.94410876132930521</v>
      </c>
    </row>
    <row r="71" spans="1:17" x14ac:dyDescent="0.25">
      <c r="A71" s="145">
        <v>42699</v>
      </c>
      <c r="B71" s="144">
        <v>1.0591999999999999</v>
      </c>
      <c r="C71" s="144">
        <v>68.411100000000005</v>
      </c>
      <c r="D71" s="144">
        <v>9.0690000000000008</v>
      </c>
      <c r="E71" s="144">
        <v>119.73</v>
      </c>
      <c r="F71" s="144">
        <v>0.85182000000000002</v>
      </c>
      <c r="G71" s="144">
        <v>1.0736000000000001</v>
      </c>
      <c r="I71" s="144">
        <v>1</v>
      </c>
      <c r="J71" s="145">
        <f t="shared" si="10"/>
        <v>42699</v>
      </c>
      <c r="K71" s="144">
        <f t="shared" ca="1" si="9"/>
        <v>1.0135951661631422</v>
      </c>
      <c r="L71" s="144">
        <f t="shared" ca="1" si="9"/>
        <v>0.80421072507552882</v>
      </c>
      <c r="M71" s="144">
        <f t="shared" ca="1" si="9"/>
        <v>113.03814199395772</v>
      </c>
      <c r="N71" s="144">
        <f t="shared" ca="1" si="9"/>
        <v>8.56212235649547</v>
      </c>
      <c r="O71" s="144">
        <f t="shared" ca="1" si="9"/>
        <v>64.587518882175232</v>
      </c>
      <c r="P71" s="144">
        <f t="shared" ca="1" si="9"/>
        <v>1</v>
      </c>
      <c r="Q71" s="144">
        <f t="shared" ca="1" si="9"/>
        <v>0.94410876132930521</v>
      </c>
    </row>
    <row r="72" spans="1:17" x14ac:dyDescent="0.25">
      <c r="A72" s="145">
        <v>42698</v>
      </c>
      <c r="B72" s="144">
        <v>1.0548</v>
      </c>
      <c r="C72" s="144">
        <v>68.079800000000006</v>
      </c>
      <c r="D72" s="144">
        <v>9.0858000000000008</v>
      </c>
      <c r="E72" s="144">
        <v>119.43</v>
      </c>
      <c r="F72" s="144">
        <v>0.84799999999999998</v>
      </c>
      <c r="G72" s="144">
        <v>1.0727</v>
      </c>
      <c r="I72" s="144">
        <v>1</v>
      </c>
      <c r="J72" s="145">
        <f t="shared" si="10"/>
        <v>42698</v>
      </c>
      <c r="K72" s="144">
        <f t="shared" ca="1" si="9"/>
        <v>1.016970041714069</v>
      </c>
      <c r="L72" s="144">
        <f t="shared" ca="1" si="9"/>
        <v>0.8039438756162306</v>
      </c>
      <c r="M72" s="144">
        <f t="shared" ca="1" si="9"/>
        <v>113.22525597269626</v>
      </c>
      <c r="N72" s="144">
        <f t="shared" ca="1" si="9"/>
        <v>8.6137656427758831</v>
      </c>
      <c r="O72" s="144">
        <f t="shared" ca="1" si="9"/>
        <v>64.542851725445587</v>
      </c>
      <c r="P72" s="144">
        <f t="shared" ca="1" si="9"/>
        <v>1</v>
      </c>
      <c r="Q72" s="144">
        <f t="shared" ca="1" si="9"/>
        <v>0.94804702313234746</v>
      </c>
    </row>
    <row r="73" spans="1:17" x14ac:dyDescent="0.25">
      <c r="A73" s="145">
        <v>42697</v>
      </c>
      <c r="B73" s="144">
        <v>1.0602</v>
      </c>
      <c r="C73" s="144">
        <v>68.145799999999994</v>
      </c>
      <c r="D73" s="144">
        <v>9.0679999999999996</v>
      </c>
      <c r="E73" s="144">
        <v>118.04</v>
      </c>
      <c r="F73" s="144">
        <v>0.85392999999999997</v>
      </c>
      <c r="G73" s="144">
        <v>1.0730999999999999</v>
      </c>
      <c r="I73" s="144">
        <v>1</v>
      </c>
      <c r="J73" s="145">
        <f t="shared" si="10"/>
        <v>42697</v>
      </c>
      <c r="K73" s="144">
        <f t="shared" ca="1" si="9"/>
        <v>1.0121675155631011</v>
      </c>
      <c r="L73" s="144">
        <f t="shared" ca="1" si="9"/>
        <v>0.80544236936427083</v>
      </c>
      <c r="M73" s="144">
        <f t="shared" ca="1" si="9"/>
        <v>111.33748349368044</v>
      </c>
      <c r="N73" s="144">
        <f t="shared" ca="1" si="9"/>
        <v>8.5531031880777206</v>
      </c>
      <c r="O73" s="144">
        <f t="shared" ca="1" si="9"/>
        <v>64.276362950386712</v>
      </c>
      <c r="P73" s="144">
        <f t="shared" ca="1" si="9"/>
        <v>1</v>
      </c>
      <c r="Q73" s="144">
        <f t="shared" ca="1" si="9"/>
        <v>0.94321826070552728</v>
      </c>
    </row>
    <row r="74" spans="1:17" x14ac:dyDescent="0.25">
      <c r="A74" s="145">
        <v>42696</v>
      </c>
      <c r="B74" s="144">
        <v>1.0617000000000001</v>
      </c>
      <c r="C74" s="144">
        <v>67.959999999999994</v>
      </c>
      <c r="D74" s="144">
        <v>9.0563000000000002</v>
      </c>
      <c r="E74" s="144">
        <v>117.74</v>
      </c>
      <c r="F74" s="144">
        <v>0.85423000000000004</v>
      </c>
      <c r="G74" s="144">
        <v>1.073</v>
      </c>
      <c r="I74" s="144">
        <v>1</v>
      </c>
      <c r="J74" s="145">
        <f t="shared" si="10"/>
        <v>42696</v>
      </c>
      <c r="K74" s="144">
        <f t="shared" ca="1" si="9"/>
        <v>1.0106433079024206</v>
      </c>
      <c r="L74" s="144">
        <f t="shared" ca="1" si="9"/>
        <v>0.80458698314024679</v>
      </c>
      <c r="M74" s="144">
        <f t="shared" ca="1" si="9"/>
        <v>110.89761702929263</v>
      </c>
      <c r="N74" s="144">
        <f t="shared" ca="1" si="9"/>
        <v>8.5299990581143437</v>
      </c>
      <c r="O74" s="144">
        <f t="shared" ca="1" si="9"/>
        <v>64.010549119336901</v>
      </c>
      <c r="P74" s="144">
        <f t="shared" ca="1" si="9"/>
        <v>1</v>
      </c>
      <c r="Q74" s="144">
        <f t="shared" ca="1" si="9"/>
        <v>0.94188565508147304</v>
      </c>
    </row>
    <row r="75" spans="1:17" x14ac:dyDescent="0.25">
      <c r="A75" s="145">
        <v>42695</v>
      </c>
      <c r="B75" s="144">
        <v>1.0630999999999999</v>
      </c>
      <c r="C75" s="144">
        <v>68.168999999999997</v>
      </c>
      <c r="D75" s="144">
        <v>9.0843000000000007</v>
      </c>
      <c r="E75" s="144">
        <v>117.59</v>
      </c>
      <c r="F75" s="144">
        <v>0.85724999999999996</v>
      </c>
      <c r="G75" s="144">
        <v>1.0727</v>
      </c>
      <c r="I75" s="144">
        <v>1</v>
      </c>
      <c r="J75" s="145">
        <f t="shared" si="10"/>
        <v>42695</v>
      </c>
      <c r="K75" s="144">
        <f t="shared" ref="K75:Q84" ca="1" si="11">OFFSET($A75,0,K$3)/OFFSET($A75,0,$P$3)</f>
        <v>1.0090301947135736</v>
      </c>
      <c r="L75" s="144">
        <f t="shared" ca="1" si="11"/>
        <v>0.80636816856363469</v>
      </c>
      <c r="M75" s="144">
        <f t="shared" ca="1" si="11"/>
        <v>110.61047878844889</v>
      </c>
      <c r="N75" s="144">
        <f t="shared" ca="1" si="11"/>
        <v>8.5451039413037364</v>
      </c>
      <c r="O75" s="144">
        <f t="shared" ca="1" si="11"/>
        <v>64.122848273915906</v>
      </c>
      <c r="P75" s="144">
        <f t="shared" ca="1" si="11"/>
        <v>1</v>
      </c>
      <c r="Q75" s="144">
        <f t="shared" ca="1" si="11"/>
        <v>0.94064528266390746</v>
      </c>
    </row>
    <row r="76" spans="1:17" x14ac:dyDescent="0.25">
      <c r="A76" s="145">
        <v>42694</v>
      </c>
      <c r="B76" s="144">
        <v>1.0629</v>
      </c>
      <c r="C76" s="144">
        <v>68.7941</v>
      </c>
      <c r="D76" s="144">
        <v>9.1037999999999997</v>
      </c>
      <c r="E76" s="144">
        <v>116.95</v>
      </c>
      <c r="F76" s="144">
        <v>0.86217999999999995</v>
      </c>
      <c r="G76" s="144">
        <v>1.0710999999999999</v>
      </c>
      <c r="I76" s="144">
        <v>1</v>
      </c>
      <c r="J76" s="145">
        <f t="shared" si="10"/>
        <v>42694</v>
      </c>
      <c r="K76" s="144">
        <f t="shared" ca="1" si="11"/>
        <v>1.0077147426851067</v>
      </c>
      <c r="L76" s="144">
        <f t="shared" ca="1" si="11"/>
        <v>0.81115815222504473</v>
      </c>
      <c r="M76" s="144">
        <f t="shared" ca="1" si="11"/>
        <v>110.02916549063883</v>
      </c>
      <c r="N76" s="144">
        <f t="shared" ca="1" si="11"/>
        <v>8.5650578605701391</v>
      </c>
      <c r="O76" s="144">
        <f t="shared" ca="1" si="11"/>
        <v>64.723021921159102</v>
      </c>
      <c r="P76" s="144">
        <f t="shared" ca="1" si="11"/>
        <v>1</v>
      </c>
      <c r="Q76" s="144">
        <f t="shared" ca="1" si="11"/>
        <v>0.94082227867155899</v>
      </c>
    </row>
    <row r="77" spans="1:17" x14ac:dyDescent="0.25">
      <c r="A77" s="145">
        <v>42693</v>
      </c>
      <c r="B77" s="144">
        <v>1.0629</v>
      </c>
      <c r="C77" s="144">
        <v>68.7941</v>
      </c>
      <c r="D77" s="144">
        <v>9.1037999999999997</v>
      </c>
      <c r="E77" s="144">
        <v>116.95</v>
      </c>
      <c r="F77" s="144">
        <v>0.86217999999999995</v>
      </c>
      <c r="G77" s="144">
        <v>1.0710999999999999</v>
      </c>
      <c r="I77" s="144">
        <v>1</v>
      </c>
      <c r="J77" s="145">
        <f t="shared" si="10"/>
        <v>42693</v>
      </c>
      <c r="K77" s="144">
        <f t="shared" ca="1" si="11"/>
        <v>1.0077147426851067</v>
      </c>
      <c r="L77" s="144">
        <f t="shared" ca="1" si="11"/>
        <v>0.81115815222504473</v>
      </c>
      <c r="M77" s="144">
        <f t="shared" ca="1" si="11"/>
        <v>110.02916549063883</v>
      </c>
      <c r="N77" s="144">
        <f t="shared" ca="1" si="11"/>
        <v>8.5650578605701391</v>
      </c>
      <c r="O77" s="144">
        <f t="shared" ca="1" si="11"/>
        <v>64.723021921159102</v>
      </c>
      <c r="P77" s="144">
        <f t="shared" ca="1" si="11"/>
        <v>1</v>
      </c>
      <c r="Q77" s="144">
        <f t="shared" ca="1" si="11"/>
        <v>0.94082227867155899</v>
      </c>
    </row>
    <row r="78" spans="1:17" x14ac:dyDescent="0.25">
      <c r="A78" s="145">
        <v>42692</v>
      </c>
      <c r="B78" s="144">
        <v>1.0629</v>
      </c>
      <c r="C78" s="144">
        <v>68.7941</v>
      </c>
      <c r="D78" s="144">
        <v>9.1037999999999997</v>
      </c>
      <c r="E78" s="144">
        <v>116.95</v>
      </c>
      <c r="F78" s="144">
        <v>0.86217999999999995</v>
      </c>
      <c r="G78" s="144">
        <v>1.0710999999999999</v>
      </c>
      <c r="I78" s="144">
        <v>1</v>
      </c>
      <c r="J78" s="145">
        <f t="shared" si="10"/>
        <v>42692</v>
      </c>
      <c r="K78" s="144">
        <f t="shared" ca="1" si="11"/>
        <v>1.0077147426851067</v>
      </c>
      <c r="L78" s="144">
        <f t="shared" ca="1" si="11"/>
        <v>0.81115815222504473</v>
      </c>
      <c r="M78" s="144">
        <f t="shared" ca="1" si="11"/>
        <v>110.02916549063883</v>
      </c>
      <c r="N78" s="144">
        <f t="shared" ca="1" si="11"/>
        <v>8.5650578605701391</v>
      </c>
      <c r="O78" s="144">
        <f t="shared" ca="1" si="11"/>
        <v>64.723021921159102</v>
      </c>
      <c r="P78" s="144">
        <f t="shared" ca="1" si="11"/>
        <v>1</v>
      </c>
      <c r="Q78" s="144">
        <f t="shared" ca="1" si="11"/>
        <v>0.94082227867155899</v>
      </c>
    </row>
    <row r="79" spans="1:17" x14ac:dyDescent="0.25">
      <c r="A79" s="145">
        <v>42691</v>
      </c>
      <c r="B79" s="144">
        <v>1.0717000000000001</v>
      </c>
      <c r="C79" s="144">
        <v>69.218400000000003</v>
      </c>
      <c r="D79" s="144">
        <v>9.0877999999999997</v>
      </c>
      <c r="E79" s="144">
        <v>117.12</v>
      </c>
      <c r="F79" s="144">
        <v>0.86055000000000004</v>
      </c>
      <c r="G79" s="144">
        <v>1.0737000000000001</v>
      </c>
      <c r="I79" s="144">
        <v>1</v>
      </c>
      <c r="J79" s="145">
        <f t="shared" si="10"/>
        <v>42691</v>
      </c>
      <c r="K79" s="144">
        <f t="shared" ca="1" si="11"/>
        <v>1.0018661938975459</v>
      </c>
      <c r="L79" s="144">
        <f t="shared" ca="1" si="11"/>
        <v>0.80297657926658572</v>
      </c>
      <c r="M79" s="144">
        <f t="shared" ca="1" si="11"/>
        <v>109.28431464029111</v>
      </c>
      <c r="N79" s="144">
        <f t="shared" ca="1" si="11"/>
        <v>8.4797984510590645</v>
      </c>
      <c r="O79" s="144">
        <f t="shared" ca="1" si="11"/>
        <v>64.587477838947464</v>
      </c>
      <c r="P79" s="144">
        <f t="shared" ca="1" si="11"/>
        <v>1</v>
      </c>
      <c r="Q79" s="144">
        <f t="shared" ca="1" si="11"/>
        <v>0.93309694877297744</v>
      </c>
    </row>
    <row r="80" spans="1:17" x14ac:dyDescent="0.25">
      <c r="A80" s="145">
        <v>42690</v>
      </c>
      <c r="B80" s="144">
        <v>1.0702</v>
      </c>
      <c r="C80" s="144">
        <v>69.684600000000003</v>
      </c>
      <c r="D80" s="144">
        <v>9.0719999999999992</v>
      </c>
      <c r="E80" s="144">
        <v>117.25</v>
      </c>
      <c r="F80" s="144">
        <v>0.86109999999999998</v>
      </c>
      <c r="G80" s="144">
        <v>1.0738000000000001</v>
      </c>
      <c r="I80" s="144">
        <v>1</v>
      </c>
      <c r="J80" s="145">
        <f t="shared" si="10"/>
        <v>42690</v>
      </c>
      <c r="K80" s="144">
        <f t="shared" ca="1" si="11"/>
        <v>1.0033638572229491</v>
      </c>
      <c r="L80" s="144">
        <f t="shared" ca="1" si="11"/>
        <v>0.80461595963371324</v>
      </c>
      <c r="M80" s="144">
        <f t="shared" ca="1" si="11"/>
        <v>109.55896094188002</v>
      </c>
      <c r="N80" s="144">
        <f t="shared" ca="1" si="11"/>
        <v>8.4769202018314331</v>
      </c>
      <c r="O80" s="144">
        <f t="shared" ca="1" si="11"/>
        <v>65.11362362175295</v>
      </c>
      <c r="P80" s="144">
        <f t="shared" ca="1" si="11"/>
        <v>1</v>
      </c>
      <c r="Q80" s="144">
        <f t="shared" ca="1" si="11"/>
        <v>0.93440478415249484</v>
      </c>
    </row>
    <row r="81" spans="1:17" x14ac:dyDescent="0.25">
      <c r="A81" s="145">
        <v>42689</v>
      </c>
      <c r="B81" s="144">
        <v>1.0765</v>
      </c>
      <c r="C81" s="144">
        <v>70.200500000000005</v>
      </c>
      <c r="D81" s="144">
        <v>9.0847999999999995</v>
      </c>
      <c r="E81" s="144">
        <v>116.55</v>
      </c>
      <c r="F81" s="144">
        <v>0.86638000000000004</v>
      </c>
      <c r="G81" s="144">
        <v>1.0758000000000001</v>
      </c>
      <c r="I81" s="144">
        <v>1</v>
      </c>
      <c r="J81" s="145">
        <f t="shared" si="10"/>
        <v>42689</v>
      </c>
      <c r="K81" s="144">
        <f t="shared" ca="1" si="11"/>
        <v>0.99934974454249892</v>
      </c>
      <c r="L81" s="144">
        <f t="shared" ca="1" si="11"/>
        <v>0.8048118903855086</v>
      </c>
      <c r="M81" s="144">
        <f t="shared" ca="1" si="11"/>
        <v>108.26753367394333</v>
      </c>
      <c r="N81" s="144">
        <f t="shared" ca="1" si="11"/>
        <v>8.439201114723641</v>
      </c>
      <c r="O81" s="144">
        <f t="shared" ca="1" si="11"/>
        <v>65.211797491871806</v>
      </c>
      <c r="P81" s="144">
        <f t="shared" ca="1" si="11"/>
        <v>1</v>
      </c>
      <c r="Q81" s="144">
        <f t="shared" ca="1" si="11"/>
        <v>0.92893636785880163</v>
      </c>
    </row>
    <row r="82" spans="1:17" x14ac:dyDescent="0.25">
      <c r="A82" s="145">
        <v>42688</v>
      </c>
      <c r="B82" s="144">
        <v>1.0777000000000001</v>
      </c>
      <c r="C82" s="144">
        <v>71.614800000000002</v>
      </c>
      <c r="D82" s="144">
        <v>9.1349999999999998</v>
      </c>
      <c r="E82" s="144">
        <v>116.27</v>
      </c>
      <c r="F82" s="144">
        <v>0.85985</v>
      </c>
      <c r="G82" s="144">
        <v>1.0739000000000001</v>
      </c>
      <c r="I82" s="144">
        <v>1</v>
      </c>
      <c r="J82" s="145">
        <f t="shared" si="10"/>
        <v>42688</v>
      </c>
      <c r="K82" s="144">
        <f t="shared" ca="1" si="11"/>
        <v>0.99647397234851998</v>
      </c>
      <c r="L82" s="144">
        <f t="shared" ca="1" si="11"/>
        <v>0.79785654634870551</v>
      </c>
      <c r="M82" s="144">
        <f t="shared" ca="1" si="11"/>
        <v>107.88716711515262</v>
      </c>
      <c r="N82" s="144">
        <f t="shared" ca="1" si="11"/>
        <v>8.4763848937552186</v>
      </c>
      <c r="O82" s="144">
        <f t="shared" ca="1" si="11"/>
        <v>66.451517119792143</v>
      </c>
      <c r="P82" s="144">
        <f t="shared" ca="1" si="11"/>
        <v>1</v>
      </c>
      <c r="Q82" s="144">
        <f t="shared" ca="1" si="11"/>
        <v>0.92790201354736934</v>
      </c>
    </row>
    <row r="83" spans="1:17" x14ac:dyDescent="0.25">
      <c r="A83" s="145">
        <v>42687</v>
      </c>
      <c r="B83" s="144">
        <v>1.0904</v>
      </c>
      <c r="C83" s="144">
        <v>71.407499999999999</v>
      </c>
      <c r="D83" s="144">
        <v>9.1148000000000007</v>
      </c>
      <c r="E83" s="144">
        <v>115.96</v>
      </c>
      <c r="F83" s="144">
        <v>0.86133000000000004</v>
      </c>
      <c r="G83" s="144">
        <v>1.0731999999999999</v>
      </c>
      <c r="I83" s="144">
        <v>1</v>
      </c>
      <c r="J83" s="145">
        <f t="shared" si="10"/>
        <v>42687</v>
      </c>
      <c r="K83" s="144">
        <f t="shared" ca="1" si="11"/>
        <v>0.9842259721203227</v>
      </c>
      <c r="L83" s="144">
        <f t="shared" ca="1" si="11"/>
        <v>0.78992112986060159</v>
      </c>
      <c r="M83" s="144">
        <f t="shared" ca="1" si="11"/>
        <v>106.34629493763755</v>
      </c>
      <c r="N83" s="144">
        <f t="shared" ca="1" si="11"/>
        <v>8.3591342626559069</v>
      </c>
      <c r="O83" s="144">
        <f t="shared" ca="1" si="11"/>
        <v>65.487435803374908</v>
      </c>
      <c r="P83" s="144">
        <f t="shared" ca="1" si="11"/>
        <v>1</v>
      </c>
      <c r="Q83" s="144">
        <f t="shared" ca="1" si="11"/>
        <v>0.91709464416727804</v>
      </c>
    </row>
    <row r="84" spans="1:17" x14ac:dyDescent="0.25">
      <c r="A84" s="145">
        <v>42686</v>
      </c>
      <c r="B84" s="144">
        <v>1.0904</v>
      </c>
      <c r="C84" s="144">
        <v>71.407499999999999</v>
      </c>
      <c r="D84" s="144">
        <v>9.1148000000000007</v>
      </c>
      <c r="E84" s="144">
        <v>115.96</v>
      </c>
      <c r="F84" s="144">
        <v>0.86133000000000004</v>
      </c>
      <c r="G84" s="144">
        <v>1.0731999999999999</v>
      </c>
      <c r="I84" s="144">
        <v>1</v>
      </c>
      <c r="J84" s="145">
        <f t="shared" si="10"/>
        <v>42686</v>
      </c>
      <c r="K84" s="144">
        <f t="shared" ca="1" si="11"/>
        <v>0.9842259721203227</v>
      </c>
      <c r="L84" s="144">
        <f t="shared" ca="1" si="11"/>
        <v>0.78992112986060159</v>
      </c>
      <c r="M84" s="144">
        <f t="shared" ca="1" si="11"/>
        <v>106.34629493763755</v>
      </c>
      <c r="N84" s="144">
        <f t="shared" ca="1" si="11"/>
        <v>8.3591342626559069</v>
      </c>
      <c r="O84" s="144">
        <f t="shared" ca="1" si="11"/>
        <v>65.487435803374908</v>
      </c>
      <c r="P84" s="144">
        <f t="shared" ca="1" si="11"/>
        <v>1</v>
      </c>
      <c r="Q84" s="144">
        <f t="shared" ca="1" si="11"/>
        <v>0.91709464416727804</v>
      </c>
    </row>
    <row r="85" spans="1:17" x14ac:dyDescent="0.25">
      <c r="A85" s="145">
        <v>42685</v>
      </c>
      <c r="B85" s="144">
        <v>1.0904</v>
      </c>
      <c r="C85" s="144">
        <v>71.407499999999999</v>
      </c>
      <c r="D85" s="144">
        <v>9.1148000000000007</v>
      </c>
      <c r="E85" s="144">
        <v>115.96</v>
      </c>
      <c r="F85" s="144">
        <v>0.86133000000000004</v>
      </c>
      <c r="G85" s="144">
        <v>1.0731999999999999</v>
      </c>
      <c r="I85" s="144">
        <v>1</v>
      </c>
      <c r="J85" s="145">
        <f t="shared" si="10"/>
        <v>42685</v>
      </c>
      <c r="K85" s="144">
        <f t="shared" ref="K85:Q94" ca="1" si="12">OFFSET($A85,0,K$3)/OFFSET($A85,0,$P$3)</f>
        <v>0.9842259721203227</v>
      </c>
      <c r="L85" s="144">
        <f t="shared" ca="1" si="12"/>
        <v>0.78992112986060159</v>
      </c>
      <c r="M85" s="144">
        <f t="shared" ca="1" si="12"/>
        <v>106.34629493763755</v>
      </c>
      <c r="N85" s="144">
        <f t="shared" ca="1" si="12"/>
        <v>8.3591342626559069</v>
      </c>
      <c r="O85" s="144">
        <f t="shared" ca="1" si="12"/>
        <v>65.487435803374908</v>
      </c>
      <c r="P85" s="144">
        <f t="shared" ca="1" si="12"/>
        <v>1</v>
      </c>
      <c r="Q85" s="144">
        <f t="shared" ca="1" si="12"/>
        <v>0.91709464416727804</v>
      </c>
    </row>
    <row r="86" spans="1:17" x14ac:dyDescent="0.25">
      <c r="A86" s="145">
        <v>42684</v>
      </c>
      <c r="B86" s="144">
        <v>1.0894999999999999</v>
      </c>
      <c r="C86" s="144">
        <v>69.628299999999996</v>
      </c>
      <c r="D86" s="144">
        <v>9.0732999999999997</v>
      </c>
      <c r="E86" s="144">
        <v>116.4</v>
      </c>
      <c r="F86" s="144">
        <v>0.87785000000000002</v>
      </c>
      <c r="G86" s="144">
        <v>1.0762</v>
      </c>
      <c r="I86" s="144">
        <v>1</v>
      </c>
      <c r="J86" s="145">
        <f t="shared" si="10"/>
        <v>42684</v>
      </c>
      <c r="K86" s="144">
        <f t="shared" ca="1" si="12"/>
        <v>0.98779256539697124</v>
      </c>
      <c r="L86" s="144">
        <f t="shared" ca="1" si="12"/>
        <v>0.80573657641119789</v>
      </c>
      <c r="M86" s="144">
        <f t="shared" ca="1" si="12"/>
        <v>106.83799908214779</v>
      </c>
      <c r="N86" s="144">
        <f t="shared" ca="1" si="12"/>
        <v>8.3279486002753558</v>
      </c>
      <c r="O86" s="144">
        <f t="shared" ca="1" si="12"/>
        <v>63.908490133088577</v>
      </c>
      <c r="P86" s="144">
        <f t="shared" ca="1" si="12"/>
        <v>1</v>
      </c>
      <c r="Q86" s="144">
        <f t="shared" ca="1" si="12"/>
        <v>0.9178522257916476</v>
      </c>
    </row>
    <row r="87" spans="1:17" x14ac:dyDescent="0.25">
      <c r="A87" s="145">
        <v>42683</v>
      </c>
      <c r="B87" s="144">
        <v>1.1022000000000001</v>
      </c>
      <c r="C87" s="144">
        <v>69.856200000000001</v>
      </c>
      <c r="D87" s="144">
        <v>9.1193000000000008</v>
      </c>
      <c r="E87" s="144">
        <v>114.54</v>
      </c>
      <c r="F87" s="144">
        <v>0.89029999999999998</v>
      </c>
      <c r="G87" s="144">
        <v>1.0792999999999999</v>
      </c>
      <c r="I87" s="144">
        <v>1</v>
      </c>
      <c r="J87" s="145">
        <f t="shared" si="10"/>
        <v>42683</v>
      </c>
      <c r="K87" s="144">
        <f t="shared" ca="1" si="12"/>
        <v>0.97922337143894023</v>
      </c>
      <c r="L87" s="144">
        <f t="shared" ca="1" si="12"/>
        <v>0.8077481400834694</v>
      </c>
      <c r="M87" s="144">
        <f t="shared" ca="1" si="12"/>
        <v>103.91943385955362</v>
      </c>
      <c r="N87" s="144">
        <f t="shared" ca="1" si="12"/>
        <v>8.2737252767192881</v>
      </c>
      <c r="O87" s="144">
        <f t="shared" ca="1" si="12"/>
        <v>63.378878606423513</v>
      </c>
      <c r="P87" s="144">
        <f t="shared" ca="1" si="12"/>
        <v>1</v>
      </c>
      <c r="Q87" s="144">
        <f t="shared" ca="1" si="12"/>
        <v>0.90727635637815274</v>
      </c>
    </row>
    <row r="88" spans="1:17" x14ac:dyDescent="0.25">
      <c r="A88" s="145">
        <v>42682</v>
      </c>
      <c r="B88" s="144">
        <v>1.1037999999999999</v>
      </c>
      <c r="C88" s="144">
        <v>70.403999999999996</v>
      </c>
      <c r="D88" s="144">
        <v>9.0753000000000004</v>
      </c>
      <c r="E88" s="144">
        <v>115.66</v>
      </c>
      <c r="F88" s="144">
        <v>0.89088000000000001</v>
      </c>
      <c r="G88" s="144">
        <v>1.0778000000000001</v>
      </c>
      <c r="I88" s="144">
        <v>1</v>
      </c>
      <c r="J88" s="145">
        <f t="shared" si="10"/>
        <v>42682</v>
      </c>
      <c r="K88" s="144">
        <f t="shared" ca="1" si="12"/>
        <v>0.97644500815365121</v>
      </c>
      <c r="L88" s="144">
        <f t="shared" ca="1" si="12"/>
        <v>0.80710273600289917</v>
      </c>
      <c r="M88" s="144">
        <f t="shared" ca="1" si="12"/>
        <v>104.78347526725857</v>
      </c>
      <c r="N88" s="144">
        <f t="shared" ca="1" si="12"/>
        <v>8.2218699039681109</v>
      </c>
      <c r="O88" s="144">
        <f t="shared" ca="1" si="12"/>
        <v>63.783294075013593</v>
      </c>
      <c r="P88" s="144">
        <f t="shared" ca="1" si="12"/>
        <v>1</v>
      </c>
      <c r="Q88" s="144">
        <f t="shared" ca="1" si="12"/>
        <v>0.90596122485957609</v>
      </c>
    </row>
    <row r="89" spans="1:17" x14ac:dyDescent="0.25">
      <c r="A89" s="145">
        <v>42681</v>
      </c>
      <c r="B89" s="144">
        <v>1.1062000000000001</v>
      </c>
      <c r="C89" s="144">
        <v>70.474999999999994</v>
      </c>
      <c r="D89" s="144">
        <v>9.1035000000000004</v>
      </c>
      <c r="E89" s="144">
        <v>115.4</v>
      </c>
      <c r="F89" s="144">
        <v>0.89039999999999997</v>
      </c>
      <c r="G89" s="144">
        <v>1.0789</v>
      </c>
      <c r="I89" s="144">
        <v>1</v>
      </c>
      <c r="J89" s="145">
        <f t="shared" si="10"/>
        <v>42681</v>
      </c>
      <c r="K89" s="144">
        <f t="shared" ca="1" si="12"/>
        <v>0.97532091845959135</v>
      </c>
      <c r="L89" s="144">
        <f t="shared" ca="1" si="12"/>
        <v>0.80491773639486519</v>
      </c>
      <c r="M89" s="144">
        <f t="shared" ca="1" si="12"/>
        <v>104.32109925872355</v>
      </c>
      <c r="N89" s="144">
        <f t="shared" ca="1" si="12"/>
        <v>8.2295244982824087</v>
      </c>
      <c r="O89" s="144">
        <f t="shared" ca="1" si="12"/>
        <v>63.709094196347849</v>
      </c>
      <c r="P89" s="144">
        <f t="shared" ca="1" si="12"/>
        <v>1</v>
      </c>
      <c r="Q89" s="144">
        <f t="shared" ca="1" si="12"/>
        <v>0.90399566082082805</v>
      </c>
    </row>
    <row r="90" spans="1:17" x14ac:dyDescent="0.25">
      <c r="A90" s="145">
        <v>42680</v>
      </c>
      <c r="B90" s="144">
        <v>1.1093</v>
      </c>
      <c r="C90" s="144">
        <v>71.0672</v>
      </c>
      <c r="D90" s="144">
        <v>9.1097999999999999</v>
      </c>
      <c r="E90" s="144">
        <v>114.24</v>
      </c>
      <c r="F90" s="144">
        <v>0.88807999999999998</v>
      </c>
      <c r="G90" s="144">
        <v>1.0773999999999999</v>
      </c>
      <c r="I90" s="144">
        <v>1</v>
      </c>
      <c r="J90" s="145">
        <f t="shared" si="10"/>
        <v>42680</v>
      </c>
      <c r="K90" s="144">
        <f t="shared" ca="1" si="12"/>
        <v>0.97124312629586218</v>
      </c>
      <c r="L90" s="144">
        <f t="shared" ca="1" si="12"/>
        <v>0.80057694041287297</v>
      </c>
      <c r="M90" s="144">
        <f t="shared" ca="1" si="12"/>
        <v>102.98386369782746</v>
      </c>
      <c r="N90" s="144">
        <f t="shared" ca="1" si="12"/>
        <v>8.2122058956098449</v>
      </c>
      <c r="O90" s="144">
        <f t="shared" ca="1" si="12"/>
        <v>64.064905796448215</v>
      </c>
      <c r="P90" s="144">
        <f t="shared" ca="1" si="12"/>
        <v>1</v>
      </c>
      <c r="Q90" s="144">
        <f t="shared" ca="1" si="12"/>
        <v>0.9014693951140359</v>
      </c>
    </row>
    <row r="91" spans="1:17" x14ac:dyDescent="0.25">
      <c r="A91" s="145">
        <v>42679</v>
      </c>
      <c r="B91" s="144">
        <v>1.1093</v>
      </c>
      <c r="C91" s="144">
        <v>71.0672</v>
      </c>
      <c r="D91" s="144">
        <v>9.1097999999999999</v>
      </c>
      <c r="E91" s="144">
        <v>114.24</v>
      </c>
      <c r="F91" s="144">
        <v>0.88807999999999998</v>
      </c>
      <c r="G91" s="144">
        <v>1.0773999999999999</v>
      </c>
      <c r="I91" s="144">
        <v>1</v>
      </c>
      <c r="J91" s="145">
        <f t="shared" si="10"/>
        <v>42679</v>
      </c>
      <c r="K91" s="144">
        <f t="shared" ca="1" si="12"/>
        <v>0.97124312629586218</v>
      </c>
      <c r="L91" s="144">
        <f t="shared" ca="1" si="12"/>
        <v>0.80057694041287297</v>
      </c>
      <c r="M91" s="144">
        <f t="shared" ca="1" si="12"/>
        <v>102.98386369782746</v>
      </c>
      <c r="N91" s="144">
        <f t="shared" ca="1" si="12"/>
        <v>8.2122058956098449</v>
      </c>
      <c r="O91" s="144">
        <f t="shared" ca="1" si="12"/>
        <v>64.064905796448215</v>
      </c>
      <c r="P91" s="144">
        <f t="shared" ca="1" si="12"/>
        <v>1</v>
      </c>
      <c r="Q91" s="144">
        <f t="shared" ca="1" si="12"/>
        <v>0.9014693951140359</v>
      </c>
    </row>
    <row r="92" spans="1:17" x14ac:dyDescent="0.25">
      <c r="A92" s="145">
        <v>42678</v>
      </c>
      <c r="B92" s="144">
        <v>1.1093</v>
      </c>
      <c r="C92" s="144">
        <v>71.0672</v>
      </c>
      <c r="D92" s="144">
        <v>9.1097999999999999</v>
      </c>
      <c r="E92" s="144">
        <v>114.24</v>
      </c>
      <c r="F92" s="144">
        <v>0.88807999999999998</v>
      </c>
      <c r="G92" s="144">
        <v>1.0773999999999999</v>
      </c>
      <c r="I92" s="144">
        <v>1</v>
      </c>
      <c r="J92" s="145">
        <f t="shared" si="10"/>
        <v>42678</v>
      </c>
      <c r="K92" s="144">
        <f t="shared" ca="1" si="12"/>
        <v>0.97124312629586218</v>
      </c>
      <c r="L92" s="144">
        <f t="shared" ca="1" si="12"/>
        <v>0.80057694041287297</v>
      </c>
      <c r="M92" s="144">
        <f t="shared" ca="1" si="12"/>
        <v>102.98386369782746</v>
      </c>
      <c r="N92" s="144">
        <f t="shared" ca="1" si="12"/>
        <v>8.2122058956098449</v>
      </c>
      <c r="O92" s="144">
        <f t="shared" ca="1" si="12"/>
        <v>64.064905796448215</v>
      </c>
      <c r="P92" s="144">
        <f t="shared" ca="1" si="12"/>
        <v>1</v>
      </c>
      <c r="Q92" s="144">
        <f t="shared" ca="1" si="12"/>
        <v>0.9014693951140359</v>
      </c>
    </row>
    <row r="93" spans="1:17" x14ac:dyDescent="0.25">
      <c r="A93" s="145">
        <v>42677</v>
      </c>
      <c r="B93" s="144">
        <v>1.1064000000000001</v>
      </c>
      <c r="C93" s="144">
        <v>70.548199999999994</v>
      </c>
      <c r="D93" s="144">
        <v>9.0574999999999992</v>
      </c>
      <c r="E93" s="144">
        <v>114.25</v>
      </c>
      <c r="F93" s="144">
        <v>0.88658000000000003</v>
      </c>
      <c r="G93" s="144">
        <v>1.0787</v>
      </c>
      <c r="I93" s="144">
        <v>1</v>
      </c>
      <c r="J93" s="145">
        <f t="shared" si="10"/>
        <v>42677</v>
      </c>
      <c r="K93" s="144">
        <f t="shared" ca="1" si="12"/>
        <v>0.97496384671005054</v>
      </c>
      <c r="L93" s="144">
        <f t="shared" ca="1" si="12"/>
        <v>0.80131959508315254</v>
      </c>
      <c r="M93" s="144">
        <f t="shared" ca="1" si="12"/>
        <v>103.26283441793203</v>
      </c>
      <c r="N93" s="144">
        <f t="shared" ca="1" si="12"/>
        <v>8.1864605929139547</v>
      </c>
      <c r="O93" s="144">
        <f t="shared" ca="1" si="12"/>
        <v>63.763738250180758</v>
      </c>
      <c r="P93" s="144">
        <f t="shared" ca="1" si="12"/>
        <v>1</v>
      </c>
      <c r="Q93" s="144">
        <f t="shared" ca="1" si="12"/>
        <v>0.90383224873463486</v>
      </c>
    </row>
    <row r="94" spans="1:17" x14ac:dyDescent="0.25">
      <c r="A94" s="145">
        <v>42676</v>
      </c>
      <c r="B94" s="144">
        <v>1.1094999999999999</v>
      </c>
      <c r="C94" s="144">
        <v>70.398300000000006</v>
      </c>
      <c r="D94" s="144">
        <v>9.0734999999999992</v>
      </c>
      <c r="E94" s="144">
        <v>114.62</v>
      </c>
      <c r="F94" s="144">
        <v>0.90063000000000004</v>
      </c>
      <c r="G94" s="144">
        <v>1.0787</v>
      </c>
      <c r="I94" s="144">
        <v>1</v>
      </c>
      <c r="J94" s="145">
        <f t="shared" si="10"/>
        <v>42676</v>
      </c>
      <c r="K94" s="144">
        <f t="shared" ca="1" si="12"/>
        <v>0.97223974763406951</v>
      </c>
      <c r="L94" s="144">
        <f t="shared" ca="1" si="12"/>
        <v>0.81174402884182073</v>
      </c>
      <c r="M94" s="144">
        <f t="shared" ca="1" si="12"/>
        <v>103.30779630464174</v>
      </c>
      <c r="N94" s="144">
        <f t="shared" ca="1" si="12"/>
        <v>8.178008111762054</v>
      </c>
      <c r="O94" s="144">
        <f t="shared" ca="1" si="12"/>
        <v>63.450473186119886</v>
      </c>
      <c r="P94" s="144">
        <f t="shared" ca="1" si="12"/>
        <v>1</v>
      </c>
      <c r="Q94" s="144">
        <f t="shared" ca="1" si="12"/>
        <v>0.90130689499774674</v>
      </c>
    </row>
    <row r="95" spans="1:17" x14ac:dyDescent="0.25">
      <c r="A95" s="145">
        <v>42675</v>
      </c>
      <c r="B95" s="144">
        <v>1.1025</v>
      </c>
      <c r="C95" s="144">
        <v>69.369799999999998</v>
      </c>
      <c r="D95" s="144">
        <v>9.0213000000000001</v>
      </c>
      <c r="E95" s="144">
        <v>115.57</v>
      </c>
      <c r="F95" s="144">
        <v>0.90173000000000003</v>
      </c>
      <c r="G95" s="144">
        <v>1.0823</v>
      </c>
      <c r="I95" s="144">
        <v>1</v>
      </c>
      <c r="J95" s="145">
        <f t="shared" si="10"/>
        <v>42675</v>
      </c>
      <c r="K95" s="144">
        <f t="shared" ref="K95:Q104" ca="1" si="13">OFFSET($A95,0,K$3)/OFFSET($A95,0,$P$3)</f>
        <v>0.98167800453514742</v>
      </c>
      <c r="L95" s="144">
        <f t="shared" ca="1" si="13"/>
        <v>0.81789569160997733</v>
      </c>
      <c r="M95" s="144">
        <f t="shared" ca="1" si="13"/>
        <v>104.82539682539682</v>
      </c>
      <c r="N95" s="144">
        <f t="shared" ca="1" si="13"/>
        <v>8.1825850340136057</v>
      </c>
      <c r="O95" s="144">
        <f t="shared" ca="1" si="13"/>
        <v>62.920453514739222</v>
      </c>
      <c r="P95" s="144">
        <f t="shared" ca="1" si="13"/>
        <v>1</v>
      </c>
      <c r="Q95" s="144">
        <f t="shared" ca="1" si="13"/>
        <v>0.90702947845804982</v>
      </c>
    </row>
    <row r="96" spans="1:17" x14ac:dyDescent="0.25">
      <c r="A96" s="145">
        <v>42674</v>
      </c>
      <c r="B96" s="144">
        <v>1.0946</v>
      </c>
      <c r="C96" s="144">
        <v>69.249799999999993</v>
      </c>
      <c r="D96" s="144">
        <v>9.0344999999999995</v>
      </c>
      <c r="E96" s="144">
        <v>114.97</v>
      </c>
      <c r="F96" s="144">
        <v>0.90049999999999997</v>
      </c>
      <c r="G96" s="144">
        <v>1.0820000000000001</v>
      </c>
      <c r="I96" s="144">
        <v>1</v>
      </c>
      <c r="J96" s="145">
        <f t="shared" si="10"/>
        <v>42674</v>
      </c>
      <c r="K96" s="144">
        <f t="shared" ca="1" si="13"/>
        <v>0.98848894573360135</v>
      </c>
      <c r="L96" s="144">
        <f t="shared" ca="1" si="13"/>
        <v>0.82267494975333455</v>
      </c>
      <c r="M96" s="144">
        <f t="shared" ca="1" si="13"/>
        <v>105.03380230221084</v>
      </c>
      <c r="N96" s="144">
        <f t="shared" ca="1" si="13"/>
        <v>8.2536999817284844</v>
      </c>
      <c r="O96" s="144">
        <f t="shared" ca="1" si="13"/>
        <v>63.264936963274245</v>
      </c>
      <c r="P96" s="144">
        <f t="shared" ca="1" si="13"/>
        <v>1</v>
      </c>
      <c r="Q96" s="144">
        <f t="shared" ca="1" si="13"/>
        <v>0.91357573542846704</v>
      </c>
    </row>
    <row r="97" spans="1:17" x14ac:dyDescent="0.25">
      <c r="A97" s="145">
        <v>42673</v>
      </c>
      <c r="B97" s="144">
        <v>1.0922000000000001</v>
      </c>
      <c r="C97" s="144">
        <v>68.767799999999994</v>
      </c>
      <c r="D97" s="144">
        <v>9.0444999999999993</v>
      </c>
      <c r="E97" s="144">
        <v>115.1</v>
      </c>
      <c r="F97" s="144">
        <v>0.89905000000000002</v>
      </c>
      <c r="G97" s="144">
        <v>1.0854999999999999</v>
      </c>
      <c r="I97" s="144">
        <v>1</v>
      </c>
      <c r="J97" s="145">
        <f t="shared" si="10"/>
        <v>42673</v>
      </c>
      <c r="K97" s="144">
        <f t="shared" ca="1" si="13"/>
        <v>0.9938655923823474</v>
      </c>
      <c r="L97" s="144">
        <f t="shared" ca="1" si="13"/>
        <v>0.82315509979857171</v>
      </c>
      <c r="M97" s="144">
        <f t="shared" ca="1" si="13"/>
        <v>105.38362937190989</v>
      </c>
      <c r="N97" s="144">
        <f t="shared" ca="1" si="13"/>
        <v>8.2809924922175409</v>
      </c>
      <c r="O97" s="144">
        <f t="shared" ca="1" si="13"/>
        <v>62.96264420435817</v>
      </c>
      <c r="P97" s="144">
        <f t="shared" ca="1" si="13"/>
        <v>1</v>
      </c>
      <c r="Q97" s="144">
        <f t="shared" ca="1" si="13"/>
        <v>0.91558322651529023</v>
      </c>
    </row>
    <row r="98" spans="1:17" x14ac:dyDescent="0.25">
      <c r="A98" s="145">
        <v>42672</v>
      </c>
      <c r="B98" s="144">
        <v>1.0922000000000001</v>
      </c>
      <c r="C98" s="144">
        <v>68.767799999999994</v>
      </c>
      <c r="D98" s="144">
        <v>9.0444999999999993</v>
      </c>
      <c r="E98" s="144">
        <v>115.1</v>
      </c>
      <c r="F98" s="144">
        <v>0.89905000000000002</v>
      </c>
      <c r="G98" s="144">
        <v>1.0854999999999999</v>
      </c>
      <c r="I98" s="144">
        <v>1</v>
      </c>
      <c r="J98" s="145">
        <f t="shared" si="10"/>
        <v>42672</v>
      </c>
      <c r="K98" s="144">
        <f t="shared" ca="1" si="13"/>
        <v>0.9938655923823474</v>
      </c>
      <c r="L98" s="144">
        <f t="shared" ca="1" si="13"/>
        <v>0.82315509979857171</v>
      </c>
      <c r="M98" s="144">
        <f t="shared" ca="1" si="13"/>
        <v>105.38362937190989</v>
      </c>
      <c r="N98" s="144">
        <f t="shared" ca="1" si="13"/>
        <v>8.2809924922175409</v>
      </c>
      <c r="O98" s="144">
        <f t="shared" ca="1" si="13"/>
        <v>62.96264420435817</v>
      </c>
      <c r="P98" s="144">
        <f t="shared" ca="1" si="13"/>
        <v>1</v>
      </c>
      <c r="Q98" s="144">
        <f t="shared" ca="1" si="13"/>
        <v>0.91558322651529023</v>
      </c>
    </row>
    <row r="99" spans="1:17" x14ac:dyDescent="0.25">
      <c r="A99" s="145">
        <v>42671</v>
      </c>
      <c r="B99" s="144">
        <v>1.0922000000000001</v>
      </c>
      <c r="C99" s="144">
        <v>68.767799999999994</v>
      </c>
      <c r="D99" s="144">
        <v>9.0444999999999993</v>
      </c>
      <c r="E99" s="144">
        <v>115.1</v>
      </c>
      <c r="F99" s="144">
        <v>0.89905000000000002</v>
      </c>
      <c r="G99" s="144">
        <v>1.0854999999999999</v>
      </c>
      <c r="I99" s="144">
        <v>1</v>
      </c>
      <c r="J99" s="145">
        <f t="shared" si="10"/>
        <v>42671</v>
      </c>
      <c r="K99" s="144">
        <f t="shared" ca="1" si="13"/>
        <v>0.9938655923823474</v>
      </c>
      <c r="L99" s="144">
        <f t="shared" ca="1" si="13"/>
        <v>0.82315509979857171</v>
      </c>
      <c r="M99" s="144">
        <f t="shared" ca="1" si="13"/>
        <v>105.38362937190989</v>
      </c>
      <c r="N99" s="144">
        <f t="shared" ca="1" si="13"/>
        <v>8.2809924922175409</v>
      </c>
      <c r="O99" s="144">
        <f t="shared" ca="1" si="13"/>
        <v>62.96264420435817</v>
      </c>
      <c r="P99" s="144">
        <f t="shared" ca="1" si="13"/>
        <v>1</v>
      </c>
      <c r="Q99" s="144">
        <f t="shared" ca="1" si="13"/>
        <v>0.91558322651529023</v>
      </c>
    </row>
    <row r="100" spans="1:17" x14ac:dyDescent="0.25">
      <c r="A100" s="145">
        <v>42670</v>
      </c>
      <c r="B100" s="144">
        <v>1.0927</v>
      </c>
      <c r="C100" s="144">
        <v>68.606399999999994</v>
      </c>
      <c r="D100" s="144">
        <v>8.9857999999999993</v>
      </c>
      <c r="E100" s="144">
        <v>114.39</v>
      </c>
      <c r="F100" s="144">
        <v>0.89158000000000004</v>
      </c>
      <c r="G100" s="144">
        <v>1.0838000000000001</v>
      </c>
      <c r="I100" s="144">
        <v>1</v>
      </c>
      <c r="J100" s="145">
        <f t="shared" si="10"/>
        <v>42670</v>
      </c>
      <c r="K100" s="144">
        <f t="shared" ca="1" si="13"/>
        <v>0.9918550379793174</v>
      </c>
      <c r="L100" s="144">
        <f t="shared" ca="1" si="13"/>
        <v>0.81594216161801048</v>
      </c>
      <c r="M100" s="144">
        <f t="shared" ca="1" si="13"/>
        <v>104.68564107257252</v>
      </c>
      <c r="N100" s="144">
        <f t="shared" ca="1" si="13"/>
        <v>8.2234831152191816</v>
      </c>
      <c r="O100" s="144">
        <f t="shared" ca="1" si="13"/>
        <v>62.786126109636676</v>
      </c>
      <c r="P100" s="144">
        <f t="shared" ca="1" si="13"/>
        <v>1</v>
      </c>
      <c r="Q100" s="144">
        <f t="shared" ca="1" si="13"/>
        <v>0.9151642719868216</v>
      </c>
    </row>
    <row r="101" spans="1:17" x14ac:dyDescent="0.25">
      <c r="A101" s="145">
        <v>42669</v>
      </c>
      <c r="B101" s="144">
        <v>1.0925</v>
      </c>
      <c r="C101" s="144">
        <v>68.099999999999994</v>
      </c>
      <c r="D101" s="144">
        <v>9.0425000000000004</v>
      </c>
      <c r="E101" s="144">
        <v>113.97</v>
      </c>
      <c r="F101" s="144">
        <v>0.89464999999999995</v>
      </c>
      <c r="G101" s="144">
        <v>1.0838000000000001</v>
      </c>
      <c r="I101" s="144">
        <v>1</v>
      </c>
      <c r="J101" s="145">
        <f t="shared" si="10"/>
        <v>42669</v>
      </c>
      <c r="K101" s="144">
        <f t="shared" ca="1" si="13"/>
        <v>0.9920366132723113</v>
      </c>
      <c r="L101" s="144">
        <f t="shared" ca="1" si="13"/>
        <v>0.81890160183066352</v>
      </c>
      <c r="M101" s="144">
        <f t="shared" ca="1" si="13"/>
        <v>104.32036613272311</v>
      </c>
      <c r="N101" s="144">
        <f t="shared" ca="1" si="13"/>
        <v>8.2768878718535479</v>
      </c>
      <c r="O101" s="144">
        <f t="shared" ca="1" si="13"/>
        <v>62.334096109839813</v>
      </c>
      <c r="P101" s="144">
        <f t="shared" ca="1" si="13"/>
        <v>1</v>
      </c>
      <c r="Q101" s="144">
        <f t="shared" ca="1" si="13"/>
        <v>0.91533180778032031</v>
      </c>
    </row>
    <row r="102" spans="1:17" x14ac:dyDescent="0.25">
      <c r="A102" s="145">
        <v>42668</v>
      </c>
      <c r="B102" s="144">
        <v>1.0871999999999999</v>
      </c>
      <c r="C102" s="144">
        <v>67.496300000000005</v>
      </c>
      <c r="D102" s="144">
        <v>8.9868000000000006</v>
      </c>
      <c r="E102" s="144">
        <v>113.65</v>
      </c>
      <c r="F102" s="144">
        <v>0.88997999999999999</v>
      </c>
      <c r="G102" s="144">
        <v>1.0848</v>
      </c>
      <c r="I102" s="144">
        <v>1</v>
      </c>
      <c r="J102" s="145">
        <f t="shared" si="10"/>
        <v>42668</v>
      </c>
      <c r="K102" s="144">
        <f t="shared" ca="1" si="13"/>
        <v>0.99779249448123619</v>
      </c>
      <c r="L102" s="144">
        <f t="shared" ca="1" si="13"/>
        <v>0.81859823399558507</v>
      </c>
      <c r="M102" s="144">
        <f t="shared" ca="1" si="13"/>
        <v>104.53458425312731</v>
      </c>
      <c r="N102" s="144">
        <f t="shared" ca="1" si="13"/>
        <v>8.2660044150110377</v>
      </c>
      <c r="O102" s="144">
        <f t="shared" ca="1" si="13"/>
        <v>62.082689477557032</v>
      </c>
      <c r="P102" s="144">
        <f t="shared" ca="1" si="13"/>
        <v>1</v>
      </c>
      <c r="Q102" s="144">
        <f t="shared" ca="1" si="13"/>
        <v>0.91979396615158204</v>
      </c>
    </row>
    <row r="103" spans="1:17" x14ac:dyDescent="0.25">
      <c r="A103" s="145">
        <v>42667</v>
      </c>
      <c r="B103" s="144">
        <v>1.0891</v>
      </c>
      <c r="C103" s="144">
        <v>67.796999999999997</v>
      </c>
      <c r="D103" s="144">
        <v>8.9855</v>
      </c>
      <c r="E103" s="144">
        <v>113.29</v>
      </c>
      <c r="F103" s="144">
        <v>0.89015</v>
      </c>
      <c r="G103" s="144">
        <v>1.0821000000000001</v>
      </c>
      <c r="I103" s="144">
        <v>1</v>
      </c>
      <c r="J103" s="145">
        <f t="shared" si="10"/>
        <v>42667</v>
      </c>
      <c r="K103" s="144">
        <f t="shared" ca="1" si="13"/>
        <v>0.99357267468552024</v>
      </c>
      <c r="L103" s="144">
        <f t="shared" ca="1" si="13"/>
        <v>0.81732623266917637</v>
      </c>
      <c r="M103" s="144">
        <f t="shared" ca="1" si="13"/>
        <v>104.02166926820311</v>
      </c>
      <c r="N103" s="144">
        <f t="shared" ca="1" si="13"/>
        <v>8.2503902304655217</v>
      </c>
      <c r="O103" s="144">
        <f t="shared" ca="1" si="13"/>
        <v>62.250482049398585</v>
      </c>
      <c r="P103" s="144">
        <f t="shared" ca="1" si="13"/>
        <v>1</v>
      </c>
      <c r="Q103" s="144">
        <f t="shared" ca="1" si="13"/>
        <v>0.91818933063997799</v>
      </c>
    </row>
    <row r="104" spans="1:17" x14ac:dyDescent="0.25">
      <c r="A104" s="145">
        <v>42666</v>
      </c>
      <c r="B104" s="144">
        <v>1.0886</v>
      </c>
      <c r="C104" s="144">
        <v>67.916499999999999</v>
      </c>
      <c r="D104" s="144">
        <v>8.9537999999999993</v>
      </c>
      <c r="E104" s="144">
        <v>112.96</v>
      </c>
      <c r="F104" s="144">
        <v>0.89319999999999999</v>
      </c>
      <c r="G104" s="144">
        <v>1.0825</v>
      </c>
      <c r="I104" s="144">
        <v>1</v>
      </c>
      <c r="J104" s="145">
        <f t="shared" si="10"/>
        <v>42666</v>
      </c>
      <c r="K104" s="144">
        <f t="shared" ca="1" si="13"/>
        <v>0.99439647253352936</v>
      </c>
      <c r="L104" s="144">
        <f t="shared" ca="1" si="13"/>
        <v>0.82050339886092227</v>
      </c>
      <c r="M104" s="144">
        <f t="shared" ca="1" si="13"/>
        <v>103.76630534631636</v>
      </c>
      <c r="N104" s="144">
        <f t="shared" ca="1" si="13"/>
        <v>8.225059709718904</v>
      </c>
      <c r="O104" s="144">
        <f t="shared" ca="1" si="13"/>
        <v>62.388848061730663</v>
      </c>
      <c r="P104" s="144">
        <f t="shared" ca="1" si="13"/>
        <v>1</v>
      </c>
      <c r="Q104" s="144">
        <f t="shared" ca="1" si="13"/>
        <v>0.91861106007716331</v>
      </c>
    </row>
    <row r="105" spans="1:17" x14ac:dyDescent="0.25">
      <c r="A105" s="145">
        <v>42665</v>
      </c>
      <c r="B105" s="144">
        <v>1.0886</v>
      </c>
      <c r="C105" s="144">
        <v>67.916499999999999</v>
      </c>
      <c r="D105" s="144">
        <v>8.9537999999999993</v>
      </c>
      <c r="E105" s="144">
        <v>112.96</v>
      </c>
      <c r="F105" s="144">
        <v>0.89319999999999999</v>
      </c>
      <c r="G105" s="144">
        <v>1.0825</v>
      </c>
      <c r="I105" s="144">
        <v>1</v>
      </c>
      <c r="J105" s="145">
        <f t="shared" si="10"/>
        <v>42665</v>
      </c>
      <c r="K105" s="144">
        <f t="shared" ref="K105:Q114" ca="1" si="14">OFFSET($A105,0,K$3)/OFFSET($A105,0,$P$3)</f>
        <v>0.99439647253352936</v>
      </c>
      <c r="L105" s="144">
        <f t="shared" ca="1" si="14"/>
        <v>0.82050339886092227</v>
      </c>
      <c r="M105" s="144">
        <f t="shared" ca="1" si="14"/>
        <v>103.76630534631636</v>
      </c>
      <c r="N105" s="144">
        <f t="shared" ca="1" si="14"/>
        <v>8.225059709718904</v>
      </c>
      <c r="O105" s="144">
        <f t="shared" ca="1" si="14"/>
        <v>62.388848061730663</v>
      </c>
      <c r="P105" s="144">
        <f t="shared" ca="1" si="14"/>
        <v>1</v>
      </c>
      <c r="Q105" s="144">
        <f t="shared" ca="1" si="14"/>
        <v>0.91861106007716331</v>
      </c>
    </row>
    <row r="106" spans="1:17" x14ac:dyDescent="0.25">
      <c r="A106" s="145">
        <v>42664</v>
      </c>
      <c r="B106" s="144">
        <v>1.0886</v>
      </c>
      <c r="C106" s="144">
        <v>67.916499999999999</v>
      </c>
      <c r="D106" s="144">
        <v>8.9537999999999993</v>
      </c>
      <c r="E106" s="144">
        <v>112.96</v>
      </c>
      <c r="F106" s="144">
        <v>0.89319999999999999</v>
      </c>
      <c r="G106" s="144">
        <v>1.0825</v>
      </c>
      <c r="I106" s="144">
        <v>1</v>
      </c>
      <c r="J106" s="145">
        <f t="shared" si="10"/>
        <v>42664</v>
      </c>
      <c r="K106" s="144">
        <f t="shared" ca="1" si="14"/>
        <v>0.99439647253352936</v>
      </c>
      <c r="L106" s="144">
        <f t="shared" ca="1" si="14"/>
        <v>0.82050339886092227</v>
      </c>
      <c r="M106" s="144">
        <f t="shared" ca="1" si="14"/>
        <v>103.76630534631636</v>
      </c>
      <c r="N106" s="144">
        <f t="shared" ca="1" si="14"/>
        <v>8.225059709718904</v>
      </c>
      <c r="O106" s="144">
        <f t="shared" ca="1" si="14"/>
        <v>62.388848061730663</v>
      </c>
      <c r="P106" s="144">
        <f t="shared" ca="1" si="14"/>
        <v>1</v>
      </c>
      <c r="Q106" s="144">
        <f t="shared" ca="1" si="14"/>
        <v>0.91861106007716331</v>
      </c>
    </row>
    <row r="107" spans="1:17" x14ac:dyDescent="0.25">
      <c r="A107" s="145">
        <v>42663</v>
      </c>
      <c r="B107" s="144">
        <v>1.0980000000000001</v>
      </c>
      <c r="C107" s="144">
        <v>68.540700000000001</v>
      </c>
      <c r="D107" s="144">
        <v>8.9625000000000004</v>
      </c>
      <c r="E107" s="144">
        <v>113.76</v>
      </c>
      <c r="F107" s="144">
        <v>0.89568000000000003</v>
      </c>
      <c r="G107" s="144">
        <v>1.0851999999999999</v>
      </c>
      <c r="I107" s="144">
        <v>1</v>
      </c>
      <c r="J107" s="145">
        <f t="shared" si="10"/>
        <v>42663</v>
      </c>
      <c r="K107" s="144">
        <f t="shared" ca="1" si="14"/>
        <v>0.98834244080145706</v>
      </c>
      <c r="L107" s="144">
        <f t="shared" ca="1" si="14"/>
        <v>0.81573770491803277</v>
      </c>
      <c r="M107" s="144">
        <f t="shared" ca="1" si="14"/>
        <v>103.60655737704917</v>
      </c>
      <c r="N107" s="144">
        <f t="shared" ca="1" si="14"/>
        <v>8.1625683060109289</v>
      </c>
      <c r="O107" s="144">
        <f t="shared" ca="1" si="14"/>
        <v>62.423224043715841</v>
      </c>
      <c r="P107" s="144">
        <f t="shared" ca="1" si="14"/>
        <v>1</v>
      </c>
      <c r="Q107" s="144">
        <f t="shared" ca="1" si="14"/>
        <v>0.91074681238615662</v>
      </c>
    </row>
    <row r="108" spans="1:17" x14ac:dyDescent="0.25">
      <c r="A108" s="145">
        <v>42662</v>
      </c>
      <c r="B108" s="144">
        <v>1.0979000000000001</v>
      </c>
      <c r="C108" s="144">
        <v>68.622299999999996</v>
      </c>
      <c r="D108" s="144">
        <v>8.9585000000000008</v>
      </c>
      <c r="E108" s="144">
        <v>113.49</v>
      </c>
      <c r="F108" s="144">
        <v>0.89337999999999995</v>
      </c>
      <c r="G108" s="144">
        <v>1.0853999999999999</v>
      </c>
      <c r="I108" s="144">
        <v>1</v>
      </c>
      <c r="J108" s="145">
        <f t="shared" si="10"/>
        <v>42662</v>
      </c>
      <c r="K108" s="144">
        <f t="shared" ca="1" si="14"/>
        <v>0.98861462792604049</v>
      </c>
      <c r="L108" s="144">
        <f t="shared" ca="1" si="14"/>
        <v>0.81371709627470612</v>
      </c>
      <c r="M108" s="144">
        <f t="shared" ca="1" si="14"/>
        <v>103.37007013389196</v>
      </c>
      <c r="N108" s="144">
        <f t="shared" ca="1" si="14"/>
        <v>8.159668457965207</v>
      </c>
      <c r="O108" s="144">
        <f t="shared" ca="1" si="14"/>
        <v>62.503233445668997</v>
      </c>
      <c r="P108" s="144">
        <f t="shared" ca="1" si="14"/>
        <v>1</v>
      </c>
      <c r="Q108" s="144">
        <f t="shared" ca="1" si="14"/>
        <v>0.91082976591675002</v>
      </c>
    </row>
    <row r="109" spans="1:17" x14ac:dyDescent="0.25">
      <c r="A109" s="145">
        <v>42661</v>
      </c>
      <c r="B109" s="144">
        <v>1.0992999999999999</v>
      </c>
      <c r="C109" s="144">
        <v>69.148799999999994</v>
      </c>
      <c r="D109" s="144">
        <v>8.9565000000000001</v>
      </c>
      <c r="E109" s="144">
        <v>114.37</v>
      </c>
      <c r="F109" s="144">
        <v>0.89564999999999995</v>
      </c>
      <c r="G109" s="144">
        <v>1.0886</v>
      </c>
      <c r="I109" s="144">
        <v>1</v>
      </c>
      <c r="J109" s="145">
        <f t="shared" si="10"/>
        <v>42661</v>
      </c>
      <c r="K109" s="144">
        <f t="shared" ca="1" si="14"/>
        <v>0.99026653324843084</v>
      </c>
      <c r="L109" s="144">
        <f t="shared" ca="1" si="14"/>
        <v>0.81474574729373239</v>
      </c>
      <c r="M109" s="144">
        <f t="shared" ca="1" si="14"/>
        <v>104.03893386700629</v>
      </c>
      <c r="N109" s="144">
        <f t="shared" ca="1" si="14"/>
        <v>8.1474574729373241</v>
      </c>
      <c r="O109" s="144">
        <f t="shared" ca="1" si="14"/>
        <v>62.902574365505316</v>
      </c>
      <c r="P109" s="144">
        <f t="shared" ca="1" si="14"/>
        <v>1</v>
      </c>
      <c r="Q109" s="144">
        <f t="shared" ca="1" si="14"/>
        <v>0.90966978986627856</v>
      </c>
    </row>
    <row r="110" spans="1:17" x14ac:dyDescent="0.25">
      <c r="A110" s="145">
        <v>42660</v>
      </c>
      <c r="B110" s="144">
        <v>1.0993999999999999</v>
      </c>
      <c r="C110" s="144">
        <v>69.070899999999995</v>
      </c>
      <c r="D110" s="144">
        <v>9.0314999999999994</v>
      </c>
      <c r="E110" s="144">
        <v>114.46</v>
      </c>
      <c r="F110" s="144">
        <v>0.90485000000000004</v>
      </c>
      <c r="G110" s="144">
        <v>1.0871999999999999</v>
      </c>
      <c r="I110" s="144">
        <v>1</v>
      </c>
      <c r="J110" s="145">
        <f t="shared" si="10"/>
        <v>42660</v>
      </c>
      <c r="K110" s="144">
        <f t="shared" ca="1" si="14"/>
        <v>0.98890303802073865</v>
      </c>
      <c r="L110" s="144">
        <f t="shared" ca="1" si="14"/>
        <v>0.8230398399126797</v>
      </c>
      <c r="M110" s="144">
        <f t="shared" ca="1" si="14"/>
        <v>104.11133345461161</v>
      </c>
      <c r="N110" s="144">
        <f t="shared" ca="1" si="14"/>
        <v>8.2149354193196285</v>
      </c>
      <c r="O110" s="144">
        <f t="shared" ca="1" si="14"/>
        <v>62.825995997816989</v>
      </c>
      <c r="P110" s="144">
        <f t="shared" ca="1" si="14"/>
        <v>1</v>
      </c>
      <c r="Q110" s="144">
        <f t="shared" ca="1" si="14"/>
        <v>0.90958704748044394</v>
      </c>
    </row>
    <row r="111" spans="1:17" x14ac:dyDescent="0.25">
      <c r="A111" s="145">
        <v>42659</v>
      </c>
      <c r="B111" s="144">
        <v>1.1002000000000001</v>
      </c>
      <c r="C111" s="144">
        <v>69.280699999999996</v>
      </c>
      <c r="D111" s="144">
        <v>9.0248000000000008</v>
      </c>
      <c r="E111" s="144">
        <v>114.76</v>
      </c>
      <c r="F111" s="144">
        <v>0.89910000000000001</v>
      </c>
      <c r="G111" s="144">
        <v>1.0889</v>
      </c>
      <c r="I111" s="144">
        <v>1</v>
      </c>
      <c r="J111" s="145">
        <f t="shared" si="10"/>
        <v>42659</v>
      </c>
      <c r="K111" s="144">
        <f t="shared" ca="1" si="14"/>
        <v>0.98972914015633517</v>
      </c>
      <c r="L111" s="144">
        <f t="shared" ca="1" si="14"/>
        <v>0.81721505180876197</v>
      </c>
      <c r="M111" s="144">
        <f t="shared" ca="1" si="14"/>
        <v>104.30830758043992</v>
      </c>
      <c r="N111" s="144">
        <f t="shared" ca="1" si="14"/>
        <v>8.2028722050536267</v>
      </c>
      <c r="O111" s="144">
        <f t="shared" ca="1" si="14"/>
        <v>62.97100527176876</v>
      </c>
      <c r="P111" s="144">
        <f t="shared" ca="1" si="14"/>
        <v>1</v>
      </c>
      <c r="Q111" s="144">
        <f t="shared" ca="1" si="14"/>
        <v>0.90892564988183966</v>
      </c>
    </row>
    <row r="112" spans="1:17" x14ac:dyDescent="0.25">
      <c r="A112" s="145">
        <v>42658</v>
      </c>
      <c r="B112" s="144">
        <v>1.1002000000000001</v>
      </c>
      <c r="C112" s="144">
        <v>69.280699999999996</v>
      </c>
      <c r="D112" s="144">
        <v>9.0248000000000008</v>
      </c>
      <c r="E112" s="144">
        <v>114.76</v>
      </c>
      <c r="F112" s="144">
        <v>0.89910000000000001</v>
      </c>
      <c r="G112" s="144">
        <v>1.0889</v>
      </c>
      <c r="I112" s="144">
        <v>1</v>
      </c>
      <c r="J112" s="145">
        <f t="shared" si="10"/>
        <v>42658</v>
      </c>
      <c r="K112" s="144">
        <f t="shared" ca="1" si="14"/>
        <v>0.98972914015633517</v>
      </c>
      <c r="L112" s="144">
        <f t="shared" ca="1" si="14"/>
        <v>0.81721505180876197</v>
      </c>
      <c r="M112" s="144">
        <f t="shared" ca="1" si="14"/>
        <v>104.30830758043992</v>
      </c>
      <c r="N112" s="144">
        <f t="shared" ca="1" si="14"/>
        <v>8.2028722050536267</v>
      </c>
      <c r="O112" s="144">
        <f t="shared" ca="1" si="14"/>
        <v>62.97100527176876</v>
      </c>
      <c r="P112" s="144">
        <f t="shared" ca="1" si="14"/>
        <v>1</v>
      </c>
      <c r="Q112" s="144">
        <f t="shared" ca="1" si="14"/>
        <v>0.90892564988183966</v>
      </c>
    </row>
    <row r="113" spans="1:17" x14ac:dyDescent="0.25">
      <c r="A113" s="145">
        <v>42657</v>
      </c>
      <c r="B113" s="144">
        <v>1.1002000000000001</v>
      </c>
      <c r="C113" s="144">
        <v>69.280699999999996</v>
      </c>
      <c r="D113" s="144">
        <v>9.0248000000000008</v>
      </c>
      <c r="E113" s="144">
        <v>114.76</v>
      </c>
      <c r="F113" s="144">
        <v>0.89910000000000001</v>
      </c>
      <c r="G113" s="144">
        <v>1.0889</v>
      </c>
      <c r="I113" s="144">
        <v>1</v>
      </c>
      <c r="J113" s="145">
        <f t="shared" si="10"/>
        <v>42657</v>
      </c>
      <c r="K113" s="144">
        <f t="shared" ca="1" si="14"/>
        <v>0.98972914015633517</v>
      </c>
      <c r="L113" s="144">
        <f t="shared" ca="1" si="14"/>
        <v>0.81721505180876197</v>
      </c>
      <c r="M113" s="144">
        <f t="shared" ca="1" si="14"/>
        <v>104.30830758043992</v>
      </c>
      <c r="N113" s="144">
        <f t="shared" ca="1" si="14"/>
        <v>8.2028722050536267</v>
      </c>
      <c r="O113" s="144">
        <f t="shared" ca="1" si="14"/>
        <v>62.97100527176876</v>
      </c>
      <c r="P113" s="144">
        <f t="shared" ca="1" si="14"/>
        <v>1</v>
      </c>
      <c r="Q113" s="144">
        <f t="shared" ca="1" si="14"/>
        <v>0.90892564988183966</v>
      </c>
    </row>
    <row r="114" spans="1:17" x14ac:dyDescent="0.25">
      <c r="A114" s="145">
        <v>42656</v>
      </c>
      <c r="B114" s="144">
        <v>1.1037999999999999</v>
      </c>
      <c r="C114" s="144">
        <v>69.805999999999997</v>
      </c>
      <c r="D114" s="144">
        <v>9.0768000000000004</v>
      </c>
      <c r="E114" s="144">
        <v>114.49</v>
      </c>
      <c r="F114" s="144">
        <v>0.90429999999999999</v>
      </c>
      <c r="G114" s="144">
        <v>1.0904</v>
      </c>
      <c r="I114" s="144">
        <v>1</v>
      </c>
      <c r="J114" s="145">
        <f t="shared" si="10"/>
        <v>42656</v>
      </c>
      <c r="K114" s="144">
        <f t="shared" ca="1" si="14"/>
        <v>0.9878601195868818</v>
      </c>
      <c r="L114" s="144">
        <f t="shared" ca="1" si="14"/>
        <v>0.81926073564051471</v>
      </c>
      <c r="M114" s="144">
        <f t="shared" ca="1" si="14"/>
        <v>103.72350063417286</v>
      </c>
      <c r="N114" s="144">
        <f t="shared" ca="1" si="14"/>
        <v>8.2232288458054015</v>
      </c>
      <c r="O114" s="144">
        <f t="shared" ca="1" si="14"/>
        <v>63.241529262547566</v>
      </c>
      <c r="P114" s="144">
        <f t="shared" ca="1" si="14"/>
        <v>1</v>
      </c>
      <c r="Q114" s="144">
        <f t="shared" ca="1" si="14"/>
        <v>0.90596122485957609</v>
      </c>
    </row>
    <row r="115" spans="1:17" x14ac:dyDescent="0.25">
      <c r="A115" s="145">
        <v>42655</v>
      </c>
      <c r="B115" s="144">
        <v>1.1020000000000001</v>
      </c>
      <c r="C115" s="144">
        <v>68.957599999999999</v>
      </c>
      <c r="D115" s="144">
        <v>9.0289999999999999</v>
      </c>
      <c r="E115" s="144">
        <v>114.5</v>
      </c>
      <c r="F115" s="144">
        <v>0.89990000000000003</v>
      </c>
      <c r="G115" s="144">
        <v>1.0906</v>
      </c>
      <c r="I115" s="144">
        <v>1</v>
      </c>
      <c r="J115" s="145">
        <f t="shared" si="10"/>
        <v>42655</v>
      </c>
      <c r="K115" s="144">
        <f t="shared" ref="K115:Q124" ca="1" si="15">OFFSET($A115,0,K$3)/OFFSET($A115,0,$P$3)</f>
        <v>0.98965517241379308</v>
      </c>
      <c r="L115" s="144">
        <f t="shared" ca="1" si="15"/>
        <v>0.81660617059891105</v>
      </c>
      <c r="M115" s="144">
        <f t="shared" ca="1" si="15"/>
        <v>103.90199637023592</v>
      </c>
      <c r="N115" s="144">
        <f t="shared" ca="1" si="15"/>
        <v>8.1932849364791274</v>
      </c>
      <c r="O115" s="144">
        <f t="shared" ca="1" si="15"/>
        <v>62.574954627949175</v>
      </c>
      <c r="P115" s="144">
        <f t="shared" ca="1" si="15"/>
        <v>1</v>
      </c>
      <c r="Q115" s="144">
        <f t="shared" ca="1" si="15"/>
        <v>0.90744101633393826</v>
      </c>
    </row>
    <row r="116" spans="1:17" x14ac:dyDescent="0.25">
      <c r="A116" s="145">
        <v>42654</v>
      </c>
      <c r="B116" s="144">
        <v>1.1079000000000001</v>
      </c>
      <c r="C116" s="144">
        <v>69.159700000000001</v>
      </c>
      <c r="D116" s="144">
        <v>9.0395000000000003</v>
      </c>
      <c r="E116" s="144">
        <v>114.9</v>
      </c>
      <c r="F116" s="144">
        <v>0.90232999999999997</v>
      </c>
      <c r="G116" s="144">
        <v>1.0938000000000001</v>
      </c>
      <c r="I116" s="144">
        <v>1</v>
      </c>
      <c r="J116" s="145">
        <f t="shared" si="10"/>
        <v>42654</v>
      </c>
      <c r="K116" s="144">
        <f t="shared" ca="1" si="15"/>
        <v>0.98727321960465741</v>
      </c>
      <c r="L116" s="144">
        <f t="shared" ca="1" si="15"/>
        <v>0.81445076270421513</v>
      </c>
      <c r="M116" s="144">
        <f t="shared" ca="1" si="15"/>
        <v>103.70972109396155</v>
      </c>
      <c r="N116" s="144">
        <f t="shared" ca="1" si="15"/>
        <v>8.1591298853687153</v>
      </c>
      <c r="O116" s="144">
        <f t="shared" ca="1" si="15"/>
        <v>62.424135752324212</v>
      </c>
      <c r="P116" s="144">
        <f t="shared" ca="1" si="15"/>
        <v>1</v>
      </c>
      <c r="Q116" s="144">
        <f t="shared" ca="1" si="15"/>
        <v>0.90260853867677582</v>
      </c>
    </row>
    <row r="117" spans="1:17" x14ac:dyDescent="0.25">
      <c r="A117" s="145">
        <v>42653</v>
      </c>
      <c r="B117" s="144">
        <v>1.1160000000000001</v>
      </c>
      <c r="C117" s="144">
        <v>69.677899999999994</v>
      </c>
      <c r="D117" s="144">
        <v>9.0448000000000004</v>
      </c>
      <c r="E117" s="144">
        <v>115.39</v>
      </c>
      <c r="F117" s="144">
        <v>0.90069999999999995</v>
      </c>
      <c r="G117" s="144">
        <v>1.0960000000000001</v>
      </c>
      <c r="I117" s="144">
        <v>1</v>
      </c>
      <c r="J117" s="145">
        <f t="shared" si="10"/>
        <v>42653</v>
      </c>
      <c r="K117" s="144">
        <f t="shared" ca="1" si="15"/>
        <v>0.98207885304659492</v>
      </c>
      <c r="L117" s="144">
        <f t="shared" ca="1" si="15"/>
        <v>0.80707885304659488</v>
      </c>
      <c r="M117" s="144">
        <f t="shared" ca="1" si="15"/>
        <v>103.39605734767024</v>
      </c>
      <c r="N117" s="144">
        <f t="shared" ca="1" si="15"/>
        <v>8.1046594982078854</v>
      </c>
      <c r="O117" s="144">
        <f t="shared" ca="1" si="15"/>
        <v>62.435394265232965</v>
      </c>
      <c r="P117" s="144">
        <f t="shared" ca="1" si="15"/>
        <v>1</v>
      </c>
      <c r="Q117" s="144">
        <f t="shared" ca="1" si="15"/>
        <v>0.8960573476702508</v>
      </c>
    </row>
    <row r="118" spans="1:17" x14ac:dyDescent="0.25">
      <c r="A118" s="145">
        <v>42652</v>
      </c>
      <c r="B118" s="144">
        <v>1.1140000000000001</v>
      </c>
      <c r="C118" s="144">
        <v>69.569199999999995</v>
      </c>
      <c r="D118" s="144">
        <v>9.0009999999999994</v>
      </c>
      <c r="E118" s="144">
        <v>115.44</v>
      </c>
      <c r="F118" s="144">
        <v>0.90353000000000006</v>
      </c>
      <c r="G118" s="144">
        <v>1.0946</v>
      </c>
      <c r="I118" s="144">
        <v>1</v>
      </c>
      <c r="J118" s="145">
        <f t="shared" si="10"/>
        <v>42652</v>
      </c>
      <c r="K118" s="144">
        <f t="shared" ca="1" si="15"/>
        <v>0.98258527827648112</v>
      </c>
      <c r="L118" s="144">
        <f t="shared" ca="1" si="15"/>
        <v>0.81106822262118494</v>
      </c>
      <c r="M118" s="144">
        <f t="shared" ca="1" si="15"/>
        <v>103.62657091561938</v>
      </c>
      <c r="N118" s="144">
        <f t="shared" ca="1" si="15"/>
        <v>8.079892280071812</v>
      </c>
      <c r="O118" s="144">
        <f t="shared" ca="1" si="15"/>
        <v>62.449910233393169</v>
      </c>
      <c r="P118" s="144">
        <f t="shared" ca="1" si="15"/>
        <v>1</v>
      </c>
      <c r="Q118" s="144">
        <f t="shared" ca="1" si="15"/>
        <v>0.89766606822262107</v>
      </c>
    </row>
    <row r="119" spans="1:17" x14ac:dyDescent="0.25">
      <c r="A119" s="145">
        <v>42651</v>
      </c>
      <c r="B119" s="144">
        <v>1.1140000000000001</v>
      </c>
      <c r="C119" s="144">
        <v>69.569199999999995</v>
      </c>
      <c r="D119" s="144">
        <v>9.0009999999999994</v>
      </c>
      <c r="E119" s="144">
        <v>115.44</v>
      </c>
      <c r="F119" s="144">
        <v>0.90353000000000006</v>
      </c>
      <c r="G119" s="144">
        <v>1.0946</v>
      </c>
      <c r="I119" s="144">
        <v>1</v>
      </c>
      <c r="J119" s="145">
        <f t="shared" si="10"/>
        <v>42651</v>
      </c>
      <c r="K119" s="144">
        <f t="shared" ca="1" si="15"/>
        <v>0.98258527827648112</v>
      </c>
      <c r="L119" s="144">
        <f t="shared" ca="1" si="15"/>
        <v>0.81106822262118494</v>
      </c>
      <c r="M119" s="144">
        <f t="shared" ca="1" si="15"/>
        <v>103.62657091561938</v>
      </c>
      <c r="N119" s="144">
        <f t="shared" ca="1" si="15"/>
        <v>8.079892280071812</v>
      </c>
      <c r="O119" s="144">
        <f t="shared" ca="1" si="15"/>
        <v>62.449910233393169</v>
      </c>
      <c r="P119" s="144">
        <f t="shared" ca="1" si="15"/>
        <v>1</v>
      </c>
      <c r="Q119" s="144">
        <f t="shared" ca="1" si="15"/>
        <v>0.89766606822262107</v>
      </c>
    </row>
    <row r="120" spans="1:17" x14ac:dyDescent="0.25">
      <c r="A120" s="145">
        <v>42650</v>
      </c>
      <c r="B120" s="144">
        <v>1.1140000000000001</v>
      </c>
      <c r="C120" s="144">
        <v>69.569199999999995</v>
      </c>
      <c r="D120" s="144">
        <v>9.0009999999999994</v>
      </c>
      <c r="E120" s="144">
        <v>115.44</v>
      </c>
      <c r="F120" s="144">
        <v>0.90353000000000006</v>
      </c>
      <c r="G120" s="144">
        <v>1.0946</v>
      </c>
      <c r="I120" s="144">
        <v>1</v>
      </c>
      <c r="J120" s="145">
        <f t="shared" si="10"/>
        <v>42650</v>
      </c>
      <c r="K120" s="144">
        <f t="shared" ca="1" si="15"/>
        <v>0.98258527827648112</v>
      </c>
      <c r="L120" s="144">
        <f t="shared" ca="1" si="15"/>
        <v>0.81106822262118494</v>
      </c>
      <c r="M120" s="144">
        <f t="shared" ca="1" si="15"/>
        <v>103.62657091561938</v>
      </c>
      <c r="N120" s="144">
        <f t="shared" ca="1" si="15"/>
        <v>8.079892280071812</v>
      </c>
      <c r="O120" s="144">
        <f t="shared" ca="1" si="15"/>
        <v>62.449910233393169</v>
      </c>
      <c r="P120" s="144">
        <f t="shared" ca="1" si="15"/>
        <v>1</v>
      </c>
      <c r="Q120" s="144">
        <f t="shared" ca="1" si="15"/>
        <v>0.89766606822262107</v>
      </c>
    </row>
    <row r="121" spans="1:17" x14ac:dyDescent="0.25">
      <c r="A121" s="145">
        <v>42649</v>
      </c>
      <c r="B121" s="144">
        <v>1.1185</v>
      </c>
      <c r="C121" s="144">
        <v>69.726900000000001</v>
      </c>
      <c r="D121" s="144">
        <v>8.9938000000000002</v>
      </c>
      <c r="E121" s="144">
        <v>116</v>
      </c>
      <c r="F121" s="144">
        <v>0.88322999999999996</v>
      </c>
      <c r="G121" s="144">
        <v>1.0942000000000001</v>
      </c>
      <c r="I121" s="144">
        <v>1</v>
      </c>
      <c r="J121" s="145">
        <f t="shared" si="10"/>
        <v>42649</v>
      </c>
      <c r="K121" s="144">
        <f t="shared" ca="1" si="15"/>
        <v>0.97827447474295937</v>
      </c>
      <c r="L121" s="144">
        <f t="shared" ca="1" si="15"/>
        <v>0.78965578900312916</v>
      </c>
      <c r="M121" s="144">
        <f t="shared" ca="1" si="15"/>
        <v>103.71032632990612</v>
      </c>
      <c r="N121" s="144">
        <f t="shared" ca="1" si="15"/>
        <v>8.0409476978095658</v>
      </c>
      <c r="O121" s="144">
        <f t="shared" ca="1" si="15"/>
        <v>62.339651318730439</v>
      </c>
      <c r="P121" s="144">
        <f t="shared" ca="1" si="15"/>
        <v>1</v>
      </c>
      <c r="Q121" s="144">
        <f t="shared" ca="1" si="15"/>
        <v>0.89405453732677687</v>
      </c>
    </row>
    <row r="122" spans="1:17" x14ac:dyDescent="0.25">
      <c r="A122" s="145">
        <v>42648</v>
      </c>
      <c r="B122" s="144">
        <v>1.1211</v>
      </c>
      <c r="C122" s="144">
        <v>69.983599999999996</v>
      </c>
      <c r="D122" s="144">
        <v>8.9871999999999996</v>
      </c>
      <c r="E122" s="144">
        <v>115.65</v>
      </c>
      <c r="F122" s="144">
        <v>0.88154999999999994</v>
      </c>
      <c r="G122" s="144">
        <v>1.0959000000000001</v>
      </c>
      <c r="I122" s="144">
        <v>1</v>
      </c>
      <c r="J122" s="145">
        <f t="shared" si="10"/>
        <v>42648</v>
      </c>
      <c r="K122" s="144">
        <f t="shared" ca="1" si="15"/>
        <v>0.97752207653197765</v>
      </c>
      <c r="L122" s="144">
        <f t="shared" ca="1" si="15"/>
        <v>0.78632592989028627</v>
      </c>
      <c r="M122" s="144">
        <f t="shared" ca="1" si="15"/>
        <v>103.15761305860316</v>
      </c>
      <c r="N122" s="144">
        <f t="shared" ca="1" si="15"/>
        <v>8.0164124520560165</v>
      </c>
      <c r="O122" s="144">
        <f t="shared" ca="1" si="15"/>
        <v>62.424047810186423</v>
      </c>
      <c r="P122" s="144">
        <f t="shared" ca="1" si="15"/>
        <v>1</v>
      </c>
      <c r="Q122" s="144">
        <f t="shared" ca="1" si="15"/>
        <v>0.89198109000089199</v>
      </c>
    </row>
    <row r="123" spans="1:17" x14ac:dyDescent="0.25">
      <c r="A123" s="145">
        <v>42647</v>
      </c>
      <c r="B123" s="144">
        <v>1.1161000000000001</v>
      </c>
      <c r="C123" s="144">
        <v>69.712500000000006</v>
      </c>
      <c r="D123" s="144">
        <v>8.9175000000000004</v>
      </c>
      <c r="E123" s="144">
        <v>114.5</v>
      </c>
      <c r="F123" s="144">
        <v>0.87539999999999996</v>
      </c>
      <c r="G123" s="144">
        <v>1.0949</v>
      </c>
      <c r="I123" s="144">
        <v>1</v>
      </c>
      <c r="J123" s="145">
        <f t="shared" si="10"/>
        <v>42647</v>
      </c>
      <c r="K123" s="144">
        <f t="shared" ca="1" si="15"/>
        <v>0.98100528626467154</v>
      </c>
      <c r="L123" s="144">
        <f t="shared" ca="1" si="15"/>
        <v>0.78433832093898381</v>
      </c>
      <c r="M123" s="144">
        <f t="shared" ca="1" si="15"/>
        <v>102.58937371203297</v>
      </c>
      <c r="N123" s="144">
        <f t="shared" ca="1" si="15"/>
        <v>7.9898754591882444</v>
      </c>
      <c r="O123" s="144">
        <f t="shared" ca="1" si="15"/>
        <v>62.460801003494311</v>
      </c>
      <c r="P123" s="144">
        <f t="shared" ca="1" si="15"/>
        <v>1</v>
      </c>
      <c r="Q123" s="144">
        <f t="shared" ca="1" si="15"/>
        <v>0.89597706298718749</v>
      </c>
    </row>
    <row r="124" spans="1:17" x14ac:dyDescent="0.25">
      <c r="A124" s="145">
        <v>42646</v>
      </c>
      <c r="B124" s="144">
        <v>1.1235999999999999</v>
      </c>
      <c r="C124" s="144">
        <v>70.001000000000005</v>
      </c>
      <c r="D124" s="144">
        <v>8.9625000000000004</v>
      </c>
      <c r="E124" s="144">
        <v>113.9</v>
      </c>
      <c r="F124" s="144">
        <v>0.87317999999999996</v>
      </c>
      <c r="G124" s="144">
        <v>1.0918000000000001</v>
      </c>
      <c r="I124" s="144">
        <v>1</v>
      </c>
      <c r="J124" s="145">
        <f t="shared" si="10"/>
        <v>42646</v>
      </c>
      <c r="K124" s="144">
        <f t="shared" ca="1" si="15"/>
        <v>0.97169811320754729</v>
      </c>
      <c r="L124" s="144">
        <f t="shared" ca="1" si="15"/>
        <v>0.77712709149163406</v>
      </c>
      <c r="M124" s="144">
        <f t="shared" ca="1" si="15"/>
        <v>101.37059451762194</v>
      </c>
      <c r="N124" s="144">
        <f t="shared" ca="1" si="15"/>
        <v>7.9765930936276259</v>
      </c>
      <c r="O124" s="144">
        <f t="shared" ca="1" si="15"/>
        <v>62.30064079743682</v>
      </c>
      <c r="P124" s="144">
        <f t="shared" ca="1" si="15"/>
        <v>1</v>
      </c>
      <c r="Q124" s="144">
        <f t="shared" ca="1" si="15"/>
        <v>0.88999644001423994</v>
      </c>
    </row>
    <row r="125" spans="1:17" x14ac:dyDescent="0.25">
      <c r="A125" s="145">
        <v>42645</v>
      </c>
      <c r="B125" s="144">
        <v>1.1161000000000001</v>
      </c>
      <c r="C125" s="144">
        <v>70.513999999999996</v>
      </c>
      <c r="D125" s="144">
        <v>8.9864999999999995</v>
      </c>
      <c r="E125" s="144">
        <v>113.09</v>
      </c>
      <c r="F125" s="144">
        <v>0.86102999999999996</v>
      </c>
      <c r="G125" s="144">
        <v>1.0875999999999999</v>
      </c>
      <c r="I125" s="144">
        <v>1</v>
      </c>
      <c r="J125" s="145">
        <f t="shared" si="10"/>
        <v>42645</v>
      </c>
      <c r="K125" s="144">
        <f t="shared" ref="K125:Q134" ca="1" si="16">OFFSET($A125,0,K$3)/OFFSET($A125,0,$P$3)</f>
        <v>0.97446465370486501</v>
      </c>
      <c r="L125" s="144">
        <f t="shared" ca="1" si="16"/>
        <v>0.77146313054385796</v>
      </c>
      <c r="M125" s="144">
        <f t="shared" ca="1" si="16"/>
        <v>101.32604605322103</v>
      </c>
      <c r="N125" s="144">
        <f t="shared" ca="1" si="16"/>
        <v>8.0516978765343588</v>
      </c>
      <c r="O125" s="144">
        <f t="shared" ca="1" si="16"/>
        <v>63.178926619478531</v>
      </c>
      <c r="P125" s="144">
        <f t="shared" ca="1" si="16"/>
        <v>1</v>
      </c>
      <c r="Q125" s="144">
        <f t="shared" ca="1" si="16"/>
        <v>0.89597706298718749</v>
      </c>
    </row>
    <row r="126" spans="1:17" x14ac:dyDescent="0.25">
      <c r="A126" s="145">
        <v>42644</v>
      </c>
      <c r="B126" s="144">
        <v>1.1161000000000001</v>
      </c>
      <c r="C126" s="144">
        <v>70.513999999999996</v>
      </c>
      <c r="D126" s="144">
        <v>8.9864999999999995</v>
      </c>
      <c r="E126" s="144">
        <v>113.09</v>
      </c>
      <c r="F126" s="144">
        <v>0.86102999999999996</v>
      </c>
      <c r="G126" s="144">
        <v>1.0875999999999999</v>
      </c>
      <c r="I126" s="144">
        <v>1</v>
      </c>
      <c r="J126" s="145">
        <f t="shared" si="10"/>
        <v>42644</v>
      </c>
      <c r="K126" s="144">
        <f t="shared" ca="1" si="16"/>
        <v>0.97446465370486501</v>
      </c>
      <c r="L126" s="144">
        <f t="shared" ca="1" si="16"/>
        <v>0.77146313054385796</v>
      </c>
      <c r="M126" s="144">
        <f t="shared" ca="1" si="16"/>
        <v>101.32604605322103</v>
      </c>
      <c r="N126" s="144">
        <f t="shared" ca="1" si="16"/>
        <v>8.0516978765343588</v>
      </c>
      <c r="O126" s="144">
        <f t="shared" ca="1" si="16"/>
        <v>63.178926619478531</v>
      </c>
      <c r="P126" s="144">
        <f t="shared" ca="1" si="16"/>
        <v>1</v>
      </c>
      <c r="Q126" s="144">
        <f t="shared" ca="1" si="16"/>
        <v>0.89597706298718749</v>
      </c>
    </row>
    <row r="127" spans="1:17" x14ac:dyDescent="0.25">
      <c r="A127" s="145">
        <v>42643</v>
      </c>
      <c r="B127" s="144">
        <v>1.1161000000000001</v>
      </c>
      <c r="C127" s="144">
        <v>70.513999999999996</v>
      </c>
      <c r="D127" s="144">
        <v>8.9864999999999995</v>
      </c>
      <c r="E127" s="144">
        <v>113.09</v>
      </c>
      <c r="F127" s="144">
        <v>0.86102999999999996</v>
      </c>
      <c r="G127" s="144">
        <v>1.0875999999999999</v>
      </c>
      <c r="I127" s="144">
        <v>1</v>
      </c>
      <c r="J127" s="145">
        <f t="shared" si="10"/>
        <v>42643</v>
      </c>
      <c r="K127" s="144">
        <f t="shared" ca="1" si="16"/>
        <v>0.97446465370486501</v>
      </c>
      <c r="L127" s="144">
        <f t="shared" ca="1" si="16"/>
        <v>0.77146313054385796</v>
      </c>
      <c r="M127" s="144">
        <f t="shared" ca="1" si="16"/>
        <v>101.32604605322103</v>
      </c>
      <c r="N127" s="144">
        <f t="shared" ca="1" si="16"/>
        <v>8.0516978765343588</v>
      </c>
      <c r="O127" s="144">
        <f t="shared" ca="1" si="16"/>
        <v>63.178926619478531</v>
      </c>
      <c r="P127" s="144">
        <f t="shared" ca="1" si="16"/>
        <v>1</v>
      </c>
      <c r="Q127" s="144">
        <f t="shared" ca="1" si="16"/>
        <v>0.89597706298718749</v>
      </c>
    </row>
    <row r="128" spans="1:17" x14ac:dyDescent="0.25">
      <c r="A128" s="145">
        <v>42642</v>
      </c>
      <c r="B128" s="144">
        <v>1.1221000000000001</v>
      </c>
      <c r="C128" s="144">
        <v>70.884799999999998</v>
      </c>
      <c r="D128" s="144">
        <v>9.0403000000000002</v>
      </c>
      <c r="E128" s="144">
        <v>113.88</v>
      </c>
      <c r="F128" s="144">
        <v>0.86138000000000003</v>
      </c>
      <c r="G128" s="144">
        <v>1.0875999999999999</v>
      </c>
      <c r="I128" s="144">
        <v>1</v>
      </c>
      <c r="J128" s="145">
        <f t="shared" si="10"/>
        <v>42642</v>
      </c>
      <c r="K128" s="144">
        <f t="shared" ca="1" si="16"/>
        <v>0.96925407717672207</v>
      </c>
      <c r="L128" s="144">
        <f t="shared" ca="1" si="16"/>
        <v>0.76764994207289894</v>
      </c>
      <c r="M128" s="144">
        <f t="shared" ca="1" si="16"/>
        <v>101.48828090188039</v>
      </c>
      <c r="N128" s="144">
        <f t="shared" ca="1" si="16"/>
        <v>8.0565903217182058</v>
      </c>
      <c r="O128" s="144">
        <f t="shared" ca="1" si="16"/>
        <v>63.171553337492192</v>
      </c>
      <c r="P128" s="144">
        <f t="shared" ca="1" si="16"/>
        <v>1</v>
      </c>
      <c r="Q128" s="144">
        <f t="shared" ca="1" si="16"/>
        <v>0.89118616879066026</v>
      </c>
    </row>
    <row r="129" spans="1:17" x14ac:dyDescent="0.25">
      <c r="A129" s="145">
        <v>42641</v>
      </c>
      <c r="B129" s="144">
        <v>1.1225000000000001</v>
      </c>
      <c r="C129" s="144">
        <v>71.703900000000004</v>
      </c>
      <c r="D129" s="144">
        <v>9.0888000000000009</v>
      </c>
      <c r="E129" s="144">
        <v>112.93</v>
      </c>
      <c r="F129" s="144">
        <v>0.86207999999999996</v>
      </c>
      <c r="G129" s="144">
        <v>1.0891</v>
      </c>
      <c r="I129" s="144">
        <v>1</v>
      </c>
      <c r="J129" s="145">
        <f t="shared" si="10"/>
        <v>42641</v>
      </c>
      <c r="K129" s="144">
        <f t="shared" ca="1" si="16"/>
        <v>0.97024498886414245</v>
      </c>
      <c r="L129" s="144">
        <f t="shared" ca="1" si="16"/>
        <v>0.7679999999999999</v>
      </c>
      <c r="M129" s="144">
        <f t="shared" ca="1" si="16"/>
        <v>100.60579064587974</v>
      </c>
      <c r="N129" s="144">
        <f t="shared" ca="1" si="16"/>
        <v>8.0969265033407574</v>
      </c>
      <c r="O129" s="144">
        <f t="shared" ca="1" si="16"/>
        <v>63.878752783964366</v>
      </c>
      <c r="P129" s="144">
        <f t="shared" ca="1" si="16"/>
        <v>1</v>
      </c>
      <c r="Q129" s="144">
        <f t="shared" ca="1" si="16"/>
        <v>0.89086859688195985</v>
      </c>
    </row>
    <row r="130" spans="1:17" x14ac:dyDescent="0.25">
      <c r="A130" s="145">
        <v>42640</v>
      </c>
      <c r="B130" s="144">
        <v>1.1220000000000001</v>
      </c>
      <c r="C130" s="144">
        <v>71.726299999999995</v>
      </c>
      <c r="D130" s="144">
        <v>9.1107999999999993</v>
      </c>
      <c r="E130" s="144">
        <v>112.52</v>
      </c>
      <c r="F130" s="144">
        <v>0.86412999999999995</v>
      </c>
      <c r="G130" s="144">
        <v>1.0880000000000001</v>
      </c>
      <c r="I130" s="144">
        <v>1</v>
      </c>
      <c r="J130" s="145">
        <f t="shared" si="10"/>
        <v>42640</v>
      </c>
      <c r="K130" s="144">
        <f t="shared" ca="1" si="16"/>
        <v>0.96969696969696972</v>
      </c>
      <c r="L130" s="144">
        <f t="shared" ca="1" si="16"/>
        <v>0.77016934046345797</v>
      </c>
      <c r="M130" s="144">
        <f t="shared" ca="1" si="16"/>
        <v>100.28520499108733</v>
      </c>
      <c r="N130" s="144">
        <f t="shared" ca="1" si="16"/>
        <v>8.1201426024955428</v>
      </c>
      <c r="O130" s="144">
        <f t="shared" ca="1" si="16"/>
        <v>63.927183600713001</v>
      </c>
      <c r="P130" s="144">
        <f t="shared" ca="1" si="16"/>
        <v>1</v>
      </c>
      <c r="Q130" s="144">
        <f t="shared" ca="1" si="16"/>
        <v>0.89126559714794995</v>
      </c>
    </row>
    <row r="131" spans="1:17" x14ac:dyDescent="0.25">
      <c r="A131" s="145">
        <v>42639</v>
      </c>
      <c r="B131" s="144">
        <v>1.1262000000000001</v>
      </c>
      <c r="C131" s="144">
        <v>71.927199999999999</v>
      </c>
      <c r="D131" s="144">
        <v>9.1318000000000001</v>
      </c>
      <c r="E131" s="144">
        <v>113.11</v>
      </c>
      <c r="F131" s="144">
        <v>0.87090000000000001</v>
      </c>
      <c r="G131" s="144">
        <v>1.0905</v>
      </c>
      <c r="I131" s="144">
        <v>1</v>
      </c>
      <c r="J131" s="145">
        <f t="shared" si="10"/>
        <v>42639</v>
      </c>
      <c r="K131" s="144">
        <f t="shared" ca="1" si="16"/>
        <v>0.96830047948854547</v>
      </c>
      <c r="L131" s="144">
        <f t="shared" ca="1" si="16"/>
        <v>0.77330847096430466</v>
      </c>
      <c r="M131" s="144">
        <f t="shared" ca="1" si="16"/>
        <v>100.43509145800034</v>
      </c>
      <c r="N131" s="144">
        <f t="shared" ca="1" si="16"/>
        <v>8.1085064819747821</v>
      </c>
      <c r="O131" s="144">
        <f t="shared" ca="1" si="16"/>
        <v>63.867163914047232</v>
      </c>
      <c r="P131" s="144">
        <f t="shared" ca="1" si="16"/>
        <v>1</v>
      </c>
      <c r="Q131" s="144">
        <f t="shared" ca="1" si="16"/>
        <v>0.88794175102113293</v>
      </c>
    </row>
    <row r="132" spans="1:17" x14ac:dyDescent="0.25">
      <c r="A132" s="145">
        <v>42638</v>
      </c>
      <c r="B132" s="144">
        <v>1.1214</v>
      </c>
      <c r="C132" s="144">
        <v>71.220100000000002</v>
      </c>
      <c r="D132" s="144">
        <v>9.1028000000000002</v>
      </c>
      <c r="E132" s="144">
        <v>113.02</v>
      </c>
      <c r="F132" s="144">
        <v>0.86434999999999995</v>
      </c>
      <c r="G132" s="144">
        <v>1.0887</v>
      </c>
      <c r="I132" s="144">
        <v>1</v>
      </c>
      <c r="J132" s="145">
        <f t="shared" si="10"/>
        <v>42638</v>
      </c>
      <c r="K132" s="144">
        <f t="shared" ca="1" si="16"/>
        <v>0.97084002140181924</v>
      </c>
      <c r="L132" s="144">
        <f t="shared" ca="1" si="16"/>
        <v>0.77077759942928481</v>
      </c>
      <c r="M132" s="144">
        <f t="shared" ca="1" si="16"/>
        <v>100.78473336900304</v>
      </c>
      <c r="N132" s="144">
        <f t="shared" ca="1" si="16"/>
        <v>8.1173533083645442</v>
      </c>
      <c r="O132" s="144">
        <f t="shared" ca="1" si="16"/>
        <v>63.509987515605495</v>
      </c>
      <c r="P132" s="144">
        <f t="shared" ca="1" si="16"/>
        <v>1</v>
      </c>
      <c r="Q132" s="144">
        <f t="shared" ca="1" si="16"/>
        <v>0.89174246477617269</v>
      </c>
    </row>
    <row r="133" spans="1:17" x14ac:dyDescent="0.25">
      <c r="A133" s="145">
        <v>42637</v>
      </c>
      <c r="B133" s="144">
        <v>1.1214</v>
      </c>
      <c r="C133" s="144">
        <v>71.220100000000002</v>
      </c>
      <c r="D133" s="144">
        <v>9.1028000000000002</v>
      </c>
      <c r="E133" s="144">
        <v>113.02</v>
      </c>
      <c r="F133" s="144">
        <v>0.86434999999999995</v>
      </c>
      <c r="G133" s="144">
        <v>1.0887</v>
      </c>
      <c r="I133" s="144">
        <v>1</v>
      </c>
      <c r="J133" s="145">
        <f t="shared" ref="J133:J196" si="17">A133</f>
        <v>42637</v>
      </c>
      <c r="K133" s="144">
        <f t="shared" ca="1" si="16"/>
        <v>0.97084002140181924</v>
      </c>
      <c r="L133" s="144">
        <f t="shared" ca="1" si="16"/>
        <v>0.77077759942928481</v>
      </c>
      <c r="M133" s="144">
        <f t="shared" ca="1" si="16"/>
        <v>100.78473336900304</v>
      </c>
      <c r="N133" s="144">
        <f t="shared" ca="1" si="16"/>
        <v>8.1173533083645442</v>
      </c>
      <c r="O133" s="144">
        <f t="shared" ca="1" si="16"/>
        <v>63.509987515605495</v>
      </c>
      <c r="P133" s="144">
        <f t="shared" ca="1" si="16"/>
        <v>1</v>
      </c>
      <c r="Q133" s="144">
        <f t="shared" ca="1" si="16"/>
        <v>0.89174246477617269</v>
      </c>
    </row>
    <row r="134" spans="1:17" x14ac:dyDescent="0.25">
      <c r="A134" s="145">
        <v>42636</v>
      </c>
      <c r="B134" s="144">
        <v>1.1214</v>
      </c>
      <c r="C134" s="144">
        <v>71.220100000000002</v>
      </c>
      <c r="D134" s="144">
        <v>9.1028000000000002</v>
      </c>
      <c r="E134" s="144">
        <v>113.02</v>
      </c>
      <c r="F134" s="144">
        <v>0.86434999999999995</v>
      </c>
      <c r="G134" s="144">
        <v>1.0887</v>
      </c>
      <c r="I134" s="144">
        <v>1</v>
      </c>
      <c r="J134" s="145">
        <f t="shared" si="17"/>
        <v>42636</v>
      </c>
      <c r="K134" s="144">
        <f t="shared" ca="1" si="16"/>
        <v>0.97084002140181924</v>
      </c>
      <c r="L134" s="144">
        <f t="shared" ca="1" si="16"/>
        <v>0.77077759942928481</v>
      </c>
      <c r="M134" s="144">
        <f t="shared" ca="1" si="16"/>
        <v>100.78473336900304</v>
      </c>
      <c r="N134" s="144">
        <f t="shared" ca="1" si="16"/>
        <v>8.1173533083645442</v>
      </c>
      <c r="O134" s="144">
        <f t="shared" ca="1" si="16"/>
        <v>63.509987515605495</v>
      </c>
      <c r="P134" s="144">
        <f t="shared" ca="1" si="16"/>
        <v>1</v>
      </c>
      <c r="Q134" s="144">
        <f t="shared" ca="1" si="16"/>
        <v>0.89174246477617269</v>
      </c>
    </row>
    <row r="135" spans="1:17" x14ac:dyDescent="0.25">
      <c r="A135" s="145">
        <v>42635</v>
      </c>
      <c r="B135" s="144">
        <v>1.1237999999999999</v>
      </c>
      <c r="C135" s="144">
        <v>71.598699999999994</v>
      </c>
      <c r="D135" s="144">
        <v>9.1073000000000004</v>
      </c>
      <c r="E135" s="144">
        <v>113.19</v>
      </c>
      <c r="F135" s="144">
        <v>0.85924999999999996</v>
      </c>
      <c r="G135" s="144">
        <v>1.0867</v>
      </c>
      <c r="I135" s="144">
        <v>1</v>
      </c>
      <c r="J135" s="145">
        <f t="shared" si="17"/>
        <v>42635</v>
      </c>
      <c r="K135" s="144">
        <f t="shared" ref="K135:Q144" ca="1" si="18">OFFSET($A135,0,K$3)/OFFSET($A135,0,$P$3)</f>
        <v>0.96698700836447771</v>
      </c>
      <c r="L135" s="144">
        <f t="shared" ca="1" si="18"/>
        <v>0.7645933440113899</v>
      </c>
      <c r="M135" s="144">
        <f t="shared" ca="1" si="18"/>
        <v>100.72076882007475</v>
      </c>
      <c r="N135" s="144">
        <f t="shared" ca="1" si="18"/>
        <v>8.1040220679836281</v>
      </c>
      <c r="O135" s="144">
        <f t="shared" ca="1" si="18"/>
        <v>63.711247552945366</v>
      </c>
      <c r="P135" s="144">
        <f t="shared" ca="1" si="18"/>
        <v>1</v>
      </c>
      <c r="Q135" s="144">
        <f t="shared" ca="1" si="18"/>
        <v>0.88983804947499567</v>
      </c>
    </row>
    <row r="136" spans="1:17" x14ac:dyDescent="0.25">
      <c r="A136" s="145">
        <v>42634</v>
      </c>
      <c r="B136" s="144">
        <v>1.115</v>
      </c>
      <c r="C136" s="144">
        <v>71.713800000000006</v>
      </c>
      <c r="D136" s="144">
        <v>9.2317999999999998</v>
      </c>
      <c r="E136" s="144">
        <v>112.49</v>
      </c>
      <c r="F136" s="144">
        <v>0.85692999999999997</v>
      </c>
      <c r="G136" s="144">
        <v>1.0883</v>
      </c>
      <c r="I136" s="144">
        <v>1</v>
      </c>
      <c r="J136" s="145">
        <f t="shared" si="17"/>
        <v>42634</v>
      </c>
      <c r="K136" s="144">
        <f t="shared" ca="1" si="18"/>
        <v>0.97605381165919292</v>
      </c>
      <c r="L136" s="144">
        <f t="shared" ca="1" si="18"/>
        <v>0.76854708520179371</v>
      </c>
      <c r="M136" s="144">
        <f t="shared" ca="1" si="18"/>
        <v>100.88789237668161</v>
      </c>
      <c r="N136" s="144">
        <f t="shared" ca="1" si="18"/>
        <v>8.2796412556053802</v>
      </c>
      <c r="O136" s="144">
        <f t="shared" ca="1" si="18"/>
        <v>64.317309417040363</v>
      </c>
      <c r="P136" s="144">
        <f t="shared" ca="1" si="18"/>
        <v>1</v>
      </c>
      <c r="Q136" s="144">
        <f t="shared" ca="1" si="18"/>
        <v>0.89686098654708524</v>
      </c>
    </row>
    <row r="137" spans="1:17" x14ac:dyDescent="0.25">
      <c r="A137" s="145">
        <v>42633</v>
      </c>
      <c r="B137" s="144">
        <v>1.1184000000000001</v>
      </c>
      <c r="C137" s="144">
        <v>72.514099999999999</v>
      </c>
      <c r="D137" s="144">
        <v>9.2647999999999993</v>
      </c>
      <c r="E137" s="144">
        <v>113.93</v>
      </c>
      <c r="F137" s="144">
        <v>0.86212999999999995</v>
      </c>
      <c r="G137" s="144">
        <v>1.0943000000000001</v>
      </c>
      <c r="I137" s="144">
        <v>1</v>
      </c>
      <c r="J137" s="145">
        <f t="shared" si="17"/>
        <v>42633</v>
      </c>
      <c r="K137" s="144">
        <f t="shared" ca="1" si="18"/>
        <v>0.97845135908440628</v>
      </c>
      <c r="L137" s="144">
        <f t="shared" ca="1" si="18"/>
        <v>0.770860157367668</v>
      </c>
      <c r="M137" s="144">
        <f t="shared" ca="1" si="18"/>
        <v>101.86874105865522</v>
      </c>
      <c r="N137" s="144">
        <f t="shared" ca="1" si="18"/>
        <v>8.283977110157366</v>
      </c>
      <c r="O137" s="144">
        <f t="shared" ca="1" si="18"/>
        <v>64.837356938483538</v>
      </c>
      <c r="P137" s="144">
        <f t="shared" ca="1" si="18"/>
        <v>1</v>
      </c>
      <c r="Q137" s="144">
        <f t="shared" ca="1" si="18"/>
        <v>0.89413447782546485</v>
      </c>
    </row>
    <row r="138" spans="1:17" x14ac:dyDescent="0.25">
      <c r="A138" s="145">
        <v>42632</v>
      </c>
      <c r="B138" s="144">
        <v>1.1165</v>
      </c>
      <c r="C138" s="144">
        <v>72.021100000000004</v>
      </c>
      <c r="D138" s="144">
        <v>9.2505000000000006</v>
      </c>
      <c r="E138" s="144">
        <v>113.65</v>
      </c>
      <c r="F138" s="144">
        <v>0.85499999999999998</v>
      </c>
      <c r="G138" s="144">
        <v>1.0954999999999999</v>
      </c>
      <c r="I138" s="144">
        <v>1</v>
      </c>
      <c r="J138" s="145">
        <f t="shared" si="17"/>
        <v>42632</v>
      </c>
      <c r="K138" s="144">
        <f t="shared" ca="1" si="18"/>
        <v>0.98119122257053282</v>
      </c>
      <c r="L138" s="144">
        <f t="shared" ca="1" si="18"/>
        <v>0.76578593819973129</v>
      </c>
      <c r="M138" s="144">
        <f t="shared" ca="1" si="18"/>
        <v>101.79131213613972</v>
      </c>
      <c r="N138" s="144">
        <f t="shared" ca="1" si="18"/>
        <v>8.2852664576802511</v>
      </c>
      <c r="O138" s="144">
        <f t="shared" ca="1" si="18"/>
        <v>64.506135244066286</v>
      </c>
      <c r="P138" s="144">
        <f t="shared" ca="1" si="18"/>
        <v>1</v>
      </c>
      <c r="Q138" s="144">
        <f t="shared" ca="1" si="18"/>
        <v>0.89565606806986109</v>
      </c>
    </row>
    <row r="139" spans="1:17" x14ac:dyDescent="0.25">
      <c r="A139" s="145">
        <v>42631</v>
      </c>
      <c r="B139" s="144">
        <v>1.1226</v>
      </c>
      <c r="C139" s="144">
        <v>72.896600000000007</v>
      </c>
      <c r="D139" s="144">
        <v>9.2624999999999993</v>
      </c>
      <c r="E139" s="144">
        <v>114.35</v>
      </c>
      <c r="F139" s="144">
        <v>0.85202999999999995</v>
      </c>
      <c r="G139" s="144">
        <v>1.0941000000000001</v>
      </c>
      <c r="I139" s="144">
        <v>1</v>
      </c>
      <c r="J139" s="145">
        <f t="shared" si="17"/>
        <v>42631</v>
      </c>
      <c r="K139" s="144">
        <f t="shared" ca="1" si="18"/>
        <v>0.97461250668091937</v>
      </c>
      <c r="L139" s="144">
        <f t="shared" ca="1" si="18"/>
        <v>0.75897915553180106</v>
      </c>
      <c r="M139" s="144">
        <f t="shared" ca="1" si="18"/>
        <v>101.86174951006591</v>
      </c>
      <c r="N139" s="144">
        <f t="shared" ca="1" si="18"/>
        <v>8.2509353287012281</v>
      </c>
      <c r="O139" s="144">
        <f t="shared" ca="1" si="18"/>
        <v>64.935506859077151</v>
      </c>
      <c r="P139" s="144">
        <f t="shared" ca="1" si="18"/>
        <v>1</v>
      </c>
      <c r="Q139" s="144">
        <f t="shared" ca="1" si="18"/>
        <v>0.89078923926598963</v>
      </c>
    </row>
    <row r="140" spans="1:17" x14ac:dyDescent="0.25">
      <c r="A140" s="145">
        <v>42630</v>
      </c>
      <c r="B140" s="144">
        <v>1.1226</v>
      </c>
      <c r="C140" s="144">
        <v>72.896600000000007</v>
      </c>
      <c r="D140" s="144">
        <v>9.2624999999999993</v>
      </c>
      <c r="E140" s="144">
        <v>114.35</v>
      </c>
      <c r="F140" s="144">
        <v>0.85202999999999995</v>
      </c>
      <c r="G140" s="144">
        <v>1.0941000000000001</v>
      </c>
      <c r="I140" s="144">
        <v>1</v>
      </c>
      <c r="J140" s="145">
        <f t="shared" si="17"/>
        <v>42630</v>
      </c>
      <c r="K140" s="144">
        <f t="shared" ca="1" si="18"/>
        <v>0.97461250668091937</v>
      </c>
      <c r="L140" s="144">
        <f t="shared" ca="1" si="18"/>
        <v>0.75897915553180106</v>
      </c>
      <c r="M140" s="144">
        <f t="shared" ca="1" si="18"/>
        <v>101.86174951006591</v>
      </c>
      <c r="N140" s="144">
        <f t="shared" ca="1" si="18"/>
        <v>8.2509353287012281</v>
      </c>
      <c r="O140" s="144">
        <f t="shared" ca="1" si="18"/>
        <v>64.935506859077151</v>
      </c>
      <c r="P140" s="144">
        <f t="shared" ca="1" si="18"/>
        <v>1</v>
      </c>
      <c r="Q140" s="144">
        <f t="shared" ca="1" si="18"/>
        <v>0.89078923926598963</v>
      </c>
    </row>
    <row r="141" spans="1:17" x14ac:dyDescent="0.25">
      <c r="A141" s="145">
        <v>42629</v>
      </c>
      <c r="B141" s="144">
        <v>1.1226</v>
      </c>
      <c r="C141" s="144">
        <v>72.896600000000007</v>
      </c>
      <c r="D141" s="144">
        <v>9.2624999999999993</v>
      </c>
      <c r="E141" s="144">
        <v>114.35</v>
      </c>
      <c r="F141" s="144">
        <v>0.85202999999999995</v>
      </c>
      <c r="G141" s="144">
        <v>1.0941000000000001</v>
      </c>
      <c r="I141" s="144">
        <v>1</v>
      </c>
      <c r="J141" s="145">
        <f t="shared" si="17"/>
        <v>42629</v>
      </c>
      <c r="K141" s="144">
        <f t="shared" ca="1" si="18"/>
        <v>0.97461250668091937</v>
      </c>
      <c r="L141" s="144">
        <f t="shared" ca="1" si="18"/>
        <v>0.75897915553180106</v>
      </c>
      <c r="M141" s="144">
        <f t="shared" ca="1" si="18"/>
        <v>101.86174951006591</v>
      </c>
      <c r="N141" s="144">
        <f t="shared" ca="1" si="18"/>
        <v>8.2509353287012281</v>
      </c>
      <c r="O141" s="144">
        <f t="shared" ca="1" si="18"/>
        <v>64.935506859077151</v>
      </c>
      <c r="P141" s="144">
        <f t="shared" ca="1" si="18"/>
        <v>1</v>
      </c>
      <c r="Q141" s="144">
        <f t="shared" ca="1" si="18"/>
        <v>0.89078923926598963</v>
      </c>
    </row>
    <row r="142" spans="1:17" x14ac:dyDescent="0.25">
      <c r="A142" s="145">
        <v>42628</v>
      </c>
      <c r="B142" s="144">
        <v>1.1254</v>
      </c>
      <c r="C142" s="144">
        <v>73.196100000000001</v>
      </c>
      <c r="D142" s="144">
        <v>9.2647999999999993</v>
      </c>
      <c r="E142" s="144">
        <v>114.98</v>
      </c>
      <c r="F142" s="144">
        <v>0.85197999999999996</v>
      </c>
      <c r="G142" s="144">
        <v>1.0941000000000001</v>
      </c>
      <c r="I142" s="144">
        <v>1</v>
      </c>
      <c r="J142" s="145">
        <f t="shared" si="17"/>
        <v>42628</v>
      </c>
      <c r="K142" s="144">
        <f t="shared" ca="1" si="18"/>
        <v>0.97218766660742861</v>
      </c>
      <c r="L142" s="144">
        <f t="shared" ca="1" si="18"/>
        <v>0.75704638350808606</v>
      </c>
      <c r="M142" s="144">
        <f t="shared" ca="1" si="18"/>
        <v>102.16811800248801</v>
      </c>
      <c r="N142" s="144">
        <f t="shared" ca="1" si="18"/>
        <v>8.2324506842011722</v>
      </c>
      <c r="O142" s="144">
        <f t="shared" ca="1" si="18"/>
        <v>65.040074640127955</v>
      </c>
      <c r="P142" s="144">
        <f t="shared" ca="1" si="18"/>
        <v>1</v>
      </c>
      <c r="Q142" s="144">
        <f t="shared" ca="1" si="18"/>
        <v>0.88857295183934604</v>
      </c>
    </row>
    <row r="143" spans="1:17" x14ac:dyDescent="0.25">
      <c r="A143" s="145">
        <v>42627</v>
      </c>
      <c r="B143" s="144">
        <v>1.1217999999999999</v>
      </c>
      <c r="C143" s="144">
        <v>73.129199999999997</v>
      </c>
      <c r="D143" s="144">
        <v>9.2748000000000008</v>
      </c>
      <c r="E143" s="144">
        <v>115.37</v>
      </c>
      <c r="F143" s="144">
        <v>0.85077999999999998</v>
      </c>
      <c r="G143" s="144">
        <v>1.0945</v>
      </c>
      <c r="I143" s="144">
        <v>1</v>
      </c>
      <c r="J143" s="145">
        <f t="shared" si="17"/>
        <v>42627</v>
      </c>
      <c r="K143" s="144">
        <f t="shared" ca="1" si="18"/>
        <v>0.97566411124977725</v>
      </c>
      <c r="L143" s="144">
        <f t="shared" ca="1" si="18"/>
        <v>0.75840613300053494</v>
      </c>
      <c r="M143" s="144">
        <f t="shared" ca="1" si="18"/>
        <v>102.84364414334107</v>
      </c>
      <c r="N143" s="144">
        <f t="shared" ca="1" si="18"/>
        <v>8.2677839187020865</v>
      </c>
      <c r="O143" s="144">
        <f t="shared" ca="1" si="18"/>
        <v>65.189160278124447</v>
      </c>
      <c r="P143" s="144">
        <f t="shared" ca="1" si="18"/>
        <v>1</v>
      </c>
      <c r="Q143" s="144">
        <f t="shared" ca="1" si="18"/>
        <v>0.89142449634515963</v>
      </c>
    </row>
    <row r="144" spans="1:17" x14ac:dyDescent="0.25">
      <c r="A144" s="145">
        <v>42626</v>
      </c>
      <c r="B144" s="144">
        <v>1.1247</v>
      </c>
      <c r="C144" s="144">
        <v>72.819999999999993</v>
      </c>
      <c r="D144" s="144">
        <v>9.2315000000000005</v>
      </c>
      <c r="E144" s="144">
        <v>114.98</v>
      </c>
      <c r="F144" s="144">
        <v>0.84762999999999999</v>
      </c>
      <c r="G144" s="144">
        <v>1.0925</v>
      </c>
      <c r="I144" s="144">
        <v>1</v>
      </c>
      <c r="J144" s="145">
        <f t="shared" si="17"/>
        <v>42626</v>
      </c>
      <c r="K144" s="144">
        <f t="shared" ca="1" si="18"/>
        <v>0.97137014314928427</v>
      </c>
      <c r="L144" s="144">
        <f t="shared" ca="1" si="18"/>
        <v>0.7536498621854717</v>
      </c>
      <c r="M144" s="144">
        <f t="shared" ca="1" si="18"/>
        <v>102.23170623277318</v>
      </c>
      <c r="N144" s="144">
        <f t="shared" ca="1" si="18"/>
        <v>8.2079665688628083</v>
      </c>
      <c r="O144" s="144">
        <f t="shared" ca="1" si="18"/>
        <v>64.746154530096902</v>
      </c>
      <c r="P144" s="144">
        <f t="shared" ca="1" si="18"/>
        <v>1</v>
      </c>
      <c r="Q144" s="144">
        <f t="shared" ca="1" si="18"/>
        <v>0.88912598915266294</v>
      </c>
    </row>
    <row r="145" spans="1:17" x14ac:dyDescent="0.25">
      <c r="A145" s="145">
        <v>42625</v>
      </c>
      <c r="B145" s="144">
        <v>1.1226</v>
      </c>
      <c r="C145" s="144">
        <v>73.037300000000002</v>
      </c>
      <c r="D145" s="144">
        <v>9.2713000000000001</v>
      </c>
      <c r="E145" s="144">
        <v>114.38</v>
      </c>
      <c r="F145" s="144">
        <v>0.84475</v>
      </c>
      <c r="G145" s="144">
        <v>1.0934999999999999</v>
      </c>
      <c r="I145" s="144">
        <v>1</v>
      </c>
      <c r="J145" s="145">
        <f t="shared" si="17"/>
        <v>42625</v>
      </c>
      <c r="K145" s="144">
        <f t="shared" ref="K145:Q154" ca="1" si="19">OFFSET($A145,0,K$3)/OFFSET($A145,0,$P$3)</f>
        <v>0.97407803313735963</v>
      </c>
      <c r="L145" s="144">
        <f t="shared" ca="1" si="19"/>
        <v>0.75249420986994475</v>
      </c>
      <c r="M145" s="144">
        <f t="shared" ca="1" si="19"/>
        <v>101.88847318724389</v>
      </c>
      <c r="N145" s="144">
        <f t="shared" ca="1" si="19"/>
        <v>8.25877427400677</v>
      </c>
      <c r="O145" s="144">
        <f t="shared" ca="1" si="19"/>
        <v>65.060840905041871</v>
      </c>
      <c r="P145" s="144">
        <f t="shared" ca="1" si="19"/>
        <v>1</v>
      </c>
      <c r="Q145" s="144">
        <f t="shared" ca="1" si="19"/>
        <v>0.89078923926598963</v>
      </c>
    </row>
    <row r="146" spans="1:17" x14ac:dyDescent="0.25">
      <c r="A146" s="145">
        <v>42624</v>
      </c>
      <c r="B146" s="144">
        <v>1.1268</v>
      </c>
      <c r="C146" s="144">
        <v>72.547499999999999</v>
      </c>
      <c r="D146" s="144">
        <v>9.2469999999999999</v>
      </c>
      <c r="E146" s="144">
        <v>115.85</v>
      </c>
      <c r="F146" s="144">
        <v>0.84558</v>
      </c>
      <c r="G146" s="144">
        <v>1.0969</v>
      </c>
      <c r="I146" s="144">
        <v>1</v>
      </c>
      <c r="J146" s="145">
        <f t="shared" si="17"/>
        <v>42624</v>
      </c>
      <c r="K146" s="144">
        <f t="shared" ca="1" si="19"/>
        <v>0.9734646787362442</v>
      </c>
      <c r="L146" s="144">
        <f t="shared" ca="1" si="19"/>
        <v>0.75042598509052183</v>
      </c>
      <c r="M146" s="144">
        <f t="shared" ca="1" si="19"/>
        <v>102.81327653532125</v>
      </c>
      <c r="N146" s="144">
        <f t="shared" ca="1" si="19"/>
        <v>8.2064252751153699</v>
      </c>
      <c r="O146" s="144">
        <f t="shared" ca="1" si="19"/>
        <v>64.38365282215122</v>
      </c>
      <c r="P146" s="144">
        <f t="shared" ca="1" si="19"/>
        <v>1</v>
      </c>
      <c r="Q146" s="144">
        <f t="shared" ca="1" si="19"/>
        <v>0.88746893858714948</v>
      </c>
    </row>
    <row r="147" spans="1:17" x14ac:dyDescent="0.25">
      <c r="A147" s="145">
        <v>42623</v>
      </c>
      <c r="B147" s="144">
        <v>1.1268</v>
      </c>
      <c r="C147" s="144">
        <v>72.547499999999999</v>
      </c>
      <c r="D147" s="144">
        <v>9.2469999999999999</v>
      </c>
      <c r="E147" s="144">
        <v>115.85</v>
      </c>
      <c r="F147" s="144">
        <v>0.84558</v>
      </c>
      <c r="G147" s="144">
        <v>1.0969</v>
      </c>
      <c r="I147" s="144">
        <v>1</v>
      </c>
      <c r="J147" s="145">
        <f t="shared" si="17"/>
        <v>42623</v>
      </c>
      <c r="K147" s="144">
        <f t="shared" ca="1" si="19"/>
        <v>0.9734646787362442</v>
      </c>
      <c r="L147" s="144">
        <f t="shared" ca="1" si="19"/>
        <v>0.75042598509052183</v>
      </c>
      <c r="M147" s="144">
        <f t="shared" ca="1" si="19"/>
        <v>102.81327653532125</v>
      </c>
      <c r="N147" s="144">
        <f t="shared" ca="1" si="19"/>
        <v>8.2064252751153699</v>
      </c>
      <c r="O147" s="144">
        <f t="shared" ca="1" si="19"/>
        <v>64.38365282215122</v>
      </c>
      <c r="P147" s="144">
        <f t="shared" ca="1" si="19"/>
        <v>1</v>
      </c>
      <c r="Q147" s="144">
        <f t="shared" ca="1" si="19"/>
        <v>0.88746893858714948</v>
      </c>
    </row>
    <row r="148" spans="1:17" x14ac:dyDescent="0.25">
      <c r="A148" s="145">
        <v>42622</v>
      </c>
      <c r="B148" s="144">
        <v>1.1268</v>
      </c>
      <c r="C148" s="144">
        <v>72.547499999999999</v>
      </c>
      <c r="D148" s="144">
        <v>9.2469999999999999</v>
      </c>
      <c r="E148" s="144">
        <v>115.85</v>
      </c>
      <c r="F148" s="144">
        <v>0.84558</v>
      </c>
      <c r="G148" s="144">
        <v>1.0969</v>
      </c>
      <c r="I148" s="144">
        <v>1</v>
      </c>
      <c r="J148" s="145">
        <f t="shared" si="17"/>
        <v>42622</v>
      </c>
      <c r="K148" s="144">
        <f t="shared" ca="1" si="19"/>
        <v>0.9734646787362442</v>
      </c>
      <c r="L148" s="144">
        <f t="shared" ca="1" si="19"/>
        <v>0.75042598509052183</v>
      </c>
      <c r="M148" s="144">
        <f t="shared" ca="1" si="19"/>
        <v>102.81327653532125</v>
      </c>
      <c r="N148" s="144">
        <f t="shared" ca="1" si="19"/>
        <v>8.2064252751153699</v>
      </c>
      <c r="O148" s="144">
        <f t="shared" ca="1" si="19"/>
        <v>64.38365282215122</v>
      </c>
      <c r="P148" s="144">
        <f t="shared" ca="1" si="19"/>
        <v>1</v>
      </c>
      <c r="Q148" s="144">
        <f t="shared" ca="1" si="19"/>
        <v>0.88746893858714948</v>
      </c>
    </row>
    <row r="149" spans="1:17" x14ac:dyDescent="0.25">
      <c r="A149" s="145">
        <v>42621</v>
      </c>
      <c r="B149" s="144">
        <v>1.1295999999999999</v>
      </c>
      <c r="C149" s="144">
        <v>72.148799999999994</v>
      </c>
      <c r="D149" s="144">
        <v>9.1950000000000003</v>
      </c>
      <c r="E149" s="144">
        <v>114.8</v>
      </c>
      <c r="F149" s="144">
        <v>0.84560000000000002</v>
      </c>
      <c r="G149" s="144">
        <v>1.0916999999999999</v>
      </c>
      <c r="I149" s="144">
        <v>1</v>
      </c>
      <c r="J149" s="145">
        <f t="shared" si="17"/>
        <v>42621</v>
      </c>
      <c r="K149" s="144">
        <f t="shared" ca="1" si="19"/>
        <v>0.9664483002832861</v>
      </c>
      <c r="L149" s="144">
        <f t="shared" ca="1" si="19"/>
        <v>0.74858356940509918</v>
      </c>
      <c r="M149" s="144">
        <f t="shared" ca="1" si="19"/>
        <v>101.62889518413598</v>
      </c>
      <c r="N149" s="144">
        <f t="shared" ca="1" si="19"/>
        <v>8.1400495750708224</v>
      </c>
      <c r="O149" s="144">
        <f t="shared" ca="1" si="19"/>
        <v>63.871104815864022</v>
      </c>
      <c r="P149" s="144">
        <f t="shared" ca="1" si="19"/>
        <v>1</v>
      </c>
      <c r="Q149" s="144">
        <f t="shared" ca="1" si="19"/>
        <v>0.88526912181303119</v>
      </c>
    </row>
    <row r="150" spans="1:17" x14ac:dyDescent="0.25">
      <c r="A150" s="145">
        <v>42620</v>
      </c>
      <c r="B150" s="144">
        <v>1.1236999999999999</v>
      </c>
      <c r="C150" s="144">
        <v>72.481300000000005</v>
      </c>
      <c r="D150" s="144">
        <v>9.1943000000000001</v>
      </c>
      <c r="E150" s="144">
        <v>114.23</v>
      </c>
      <c r="F150" s="144">
        <v>0.83967999999999998</v>
      </c>
      <c r="G150" s="144">
        <v>1.0891</v>
      </c>
      <c r="I150" s="144">
        <v>1</v>
      </c>
      <c r="J150" s="145">
        <f t="shared" si="17"/>
        <v>42620</v>
      </c>
      <c r="K150" s="144">
        <f t="shared" ca="1" si="19"/>
        <v>0.96920886357568747</v>
      </c>
      <c r="L150" s="144">
        <f t="shared" ca="1" si="19"/>
        <v>0.74724570614932817</v>
      </c>
      <c r="M150" s="144">
        <f t="shared" ca="1" si="19"/>
        <v>101.65524606211623</v>
      </c>
      <c r="N150" s="144">
        <f t="shared" ca="1" si="19"/>
        <v>8.1821660585565557</v>
      </c>
      <c r="O150" s="144">
        <f t="shared" ca="1" si="19"/>
        <v>64.5023582806799</v>
      </c>
      <c r="P150" s="144">
        <f t="shared" ca="1" si="19"/>
        <v>1</v>
      </c>
      <c r="Q150" s="144">
        <f t="shared" ca="1" si="19"/>
        <v>0.88991723769689424</v>
      </c>
    </row>
    <row r="151" spans="1:17" x14ac:dyDescent="0.25">
      <c r="A151" s="145">
        <v>42619</v>
      </c>
      <c r="B151" s="144">
        <v>1.1158999999999999</v>
      </c>
      <c r="C151" s="144">
        <v>72.34</v>
      </c>
      <c r="D151" s="144">
        <v>9.2112999999999996</v>
      </c>
      <c r="E151" s="144">
        <v>115.39</v>
      </c>
      <c r="F151" s="144">
        <v>0.83535000000000004</v>
      </c>
      <c r="G151" s="144">
        <v>1.0923</v>
      </c>
      <c r="I151" s="144">
        <v>1</v>
      </c>
      <c r="J151" s="145">
        <f t="shared" si="17"/>
        <v>42619</v>
      </c>
      <c r="K151" s="144">
        <f t="shared" ca="1" si="19"/>
        <v>0.97885115153687619</v>
      </c>
      <c r="L151" s="144">
        <f t="shared" ca="1" si="19"/>
        <v>0.74858858320638055</v>
      </c>
      <c r="M151" s="144">
        <f t="shared" ca="1" si="19"/>
        <v>103.40532305762166</v>
      </c>
      <c r="N151" s="144">
        <f t="shared" ca="1" si="19"/>
        <v>8.2545927054395563</v>
      </c>
      <c r="O151" s="144">
        <f t="shared" ca="1" si="19"/>
        <v>64.826597365355326</v>
      </c>
      <c r="P151" s="144">
        <f t="shared" ca="1" si="19"/>
        <v>1</v>
      </c>
      <c r="Q151" s="144">
        <f t="shared" ca="1" si="19"/>
        <v>0.89613764674253971</v>
      </c>
    </row>
    <row r="152" spans="1:17" x14ac:dyDescent="0.25">
      <c r="A152" s="145">
        <v>42618</v>
      </c>
      <c r="B152" s="144">
        <v>1.1155999999999999</v>
      </c>
      <c r="C152" s="144">
        <v>72.4024</v>
      </c>
      <c r="D152" s="144">
        <v>9.2457999999999991</v>
      </c>
      <c r="E152" s="144">
        <v>115.24</v>
      </c>
      <c r="F152" s="144">
        <v>0.83643000000000001</v>
      </c>
      <c r="G152" s="144">
        <v>1.0925</v>
      </c>
      <c r="I152" s="144">
        <v>1</v>
      </c>
      <c r="J152" s="145">
        <f t="shared" si="17"/>
        <v>42618</v>
      </c>
      <c r="K152" s="144">
        <f t="shared" ca="1" si="19"/>
        <v>0.97929365363929732</v>
      </c>
      <c r="L152" s="144">
        <f t="shared" ca="1" si="19"/>
        <v>0.74975797776981001</v>
      </c>
      <c r="M152" s="144">
        <f t="shared" ca="1" si="19"/>
        <v>103.2986733596271</v>
      </c>
      <c r="N152" s="144">
        <f t="shared" ca="1" si="19"/>
        <v>8.287737540337039</v>
      </c>
      <c r="O152" s="144">
        <f t="shared" ca="1" si="19"/>
        <v>64.899964144854792</v>
      </c>
      <c r="P152" s="144">
        <f t="shared" ca="1" si="19"/>
        <v>1</v>
      </c>
      <c r="Q152" s="144">
        <f t="shared" ca="1" si="19"/>
        <v>0.89637863033345289</v>
      </c>
    </row>
    <row r="153" spans="1:17" x14ac:dyDescent="0.25">
      <c r="A153" s="145">
        <v>42617</v>
      </c>
      <c r="B153" s="144">
        <v>1.1193</v>
      </c>
      <c r="C153" s="144">
        <v>73.596299999999999</v>
      </c>
      <c r="D153" s="144">
        <v>9.3170000000000002</v>
      </c>
      <c r="E153" s="144">
        <v>115.83</v>
      </c>
      <c r="F153" s="144">
        <v>0.84260000000000002</v>
      </c>
      <c r="G153" s="144">
        <v>1.0959000000000001</v>
      </c>
      <c r="I153" s="144">
        <v>1</v>
      </c>
      <c r="J153" s="145">
        <f t="shared" si="17"/>
        <v>42617</v>
      </c>
      <c r="K153" s="144">
        <f t="shared" ca="1" si="19"/>
        <v>0.97909407665505244</v>
      </c>
      <c r="L153" s="144">
        <f t="shared" ca="1" si="19"/>
        <v>0.75279192352363089</v>
      </c>
      <c r="M153" s="144">
        <f t="shared" ca="1" si="19"/>
        <v>103.48432055749129</v>
      </c>
      <c r="N153" s="144">
        <f t="shared" ca="1" si="19"/>
        <v>8.3239524702939338</v>
      </c>
      <c r="O153" s="144">
        <f t="shared" ca="1" si="19"/>
        <v>65.752077191101577</v>
      </c>
      <c r="P153" s="144">
        <f t="shared" ca="1" si="19"/>
        <v>1</v>
      </c>
      <c r="Q153" s="144">
        <f t="shared" ca="1" si="19"/>
        <v>0.89341552756186904</v>
      </c>
    </row>
    <row r="154" spans="1:17" x14ac:dyDescent="0.25">
      <c r="A154" s="145">
        <v>42616</v>
      </c>
      <c r="B154" s="144">
        <v>1.1193</v>
      </c>
      <c r="C154" s="144">
        <v>73.596299999999999</v>
      </c>
      <c r="D154" s="144">
        <v>9.3170000000000002</v>
      </c>
      <c r="E154" s="144">
        <v>115.83</v>
      </c>
      <c r="F154" s="144">
        <v>0.84260000000000002</v>
      </c>
      <c r="G154" s="144">
        <v>1.0959000000000001</v>
      </c>
      <c r="I154" s="144">
        <v>1</v>
      </c>
      <c r="J154" s="145">
        <f t="shared" si="17"/>
        <v>42616</v>
      </c>
      <c r="K154" s="144">
        <f t="shared" ca="1" si="19"/>
        <v>0.97909407665505244</v>
      </c>
      <c r="L154" s="144">
        <f t="shared" ca="1" si="19"/>
        <v>0.75279192352363089</v>
      </c>
      <c r="M154" s="144">
        <f t="shared" ca="1" si="19"/>
        <v>103.48432055749129</v>
      </c>
      <c r="N154" s="144">
        <f t="shared" ca="1" si="19"/>
        <v>8.3239524702939338</v>
      </c>
      <c r="O154" s="144">
        <f t="shared" ca="1" si="19"/>
        <v>65.752077191101577</v>
      </c>
      <c r="P154" s="144">
        <f t="shared" ca="1" si="19"/>
        <v>1</v>
      </c>
      <c r="Q154" s="144">
        <f t="shared" ca="1" si="19"/>
        <v>0.89341552756186904</v>
      </c>
    </row>
    <row r="155" spans="1:17" x14ac:dyDescent="0.25">
      <c r="A155" s="145">
        <v>42615</v>
      </c>
      <c r="B155" s="144">
        <v>1.1193</v>
      </c>
      <c r="C155" s="144">
        <v>73.596299999999999</v>
      </c>
      <c r="D155" s="144">
        <v>9.3170000000000002</v>
      </c>
      <c r="E155" s="144">
        <v>115.83</v>
      </c>
      <c r="F155" s="144">
        <v>0.84260000000000002</v>
      </c>
      <c r="G155" s="144">
        <v>1.0959000000000001</v>
      </c>
      <c r="I155" s="144">
        <v>1</v>
      </c>
      <c r="J155" s="145">
        <f t="shared" si="17"/>
        <v>42615</v>
      </c>
      <c r="K155" s="144">
        <f t="shared" ref="K155:Q164" ca="1" si="20">OFFSET($A155,0,K$3)/OFFSET($A155,0,$P$3)</f>
        <v>0.97909407665505244</v>
      </c>
      <c r="L155" s="144">
        <f t="shared" ca="1" si="20"/>
        <v>0.75279192352363089</v>
      </c>
      <c r="M155" s="144">
        <f t="shared" ca="1" si="20"/>
        <v>103.48432055749129</v>
      </c>
      <c r="N155" s="144">
        <f t="shared" ca="1" si="20"/>
        <v>8.3239524702939338</v>
      </c>
      <c r="O155" s="144">
        <f t="shared" ca="1" si="20"/>
        <v>65.752077191101577</v>
      </c>
      <c r="P155" s="144">
        <f t="shared" ca="1" si="20"/>
        <v>1</v>
      </c>
      <c r="Q155" s="144">
        <f t="shared" ca="1" si="20"/>
        <v>0.89341552756186904</v>
      </c>
    </row>
    <row r="156" spans="1:17" x14ac:dyDescent="0.25">
      <c r="A156" s="145">
        <v>42614</v>
      </c>
      <c r="B156" s="144">
        <v>1.1146</v>
      </c>
      <c r="C156" s="144">
        <v>72.8322</v>
      </c>
      <c r="D156" s="144">
        <v>9.3049999999999997</v>
      </c>
      <c r="E156" s="144">
        <v>115.59</v>
      </c>
      <c r="F156" s="144">
        <v>0.84050000000000002</v>
      </c>
      <c r="G156" s="144">
        <v>1.0978000000000001</v>
      </c>
      <c r="I156" s="144">
        <v>1</v>
      </c>
      <c r="J156" s="145">
        <f t="shared" si="17"/>
        <v>42614</v>
      </c>
      <c r="K156" s="144">
        <f t="shared" ca="1" si="20"/>
        <v>0.98492732818948503</v>
      </c>
      <c r="L156" s="144">
        <f t="shared" ca="1" si="20"/>
        <v>0.75408218194868115</v>
      </c>
      <c r="M156" s="144">
        <f t="shared" ca="1" si="20"/>
        <v>103.70536515341827</v>
      </c>
      <c r="N156" s="144">
        <f t="shared" ca="1" si="20"/>
        <v>8.3482863807643994</v>
      </c>
      <c r="O156" s="144">
        <f t="shared" ca="1" si="20"/>
        <v>65.343800466535072</v>
      </c>
      <c r="P156" s="144">
        <f t="shared" ca="1" si="20"/>
        <v>1</v>
      </c>
      <c r="Q156" s="144">
        <f t="shared" ca="1" si="20"/>
        <v>0.897182845863987</v>
      </c>
    </row>
    <row r="157" spans="1:17" x14ac:dyDescent="0.25">
      <c r="A157" s="145">
        <v>42613</v>
      </c>
      <c r="B157" s="144">
        <v>1.1132</v>
      </c>
      <c r="C157" s="144">
        <v>72.662400000000005</v>
      </c>
      <c r="D157" s="144">
        <v>9.2765000000000004</v>
      </c>
      <c r="E157" s="144">
        <v>115.01</v>
      </c>
      <c r="F157" s="144">
        <v>0.84806000000000004</v>
      </c>
      <c r="G157" s="144">
        <v>1.0956999999999999</v>
      </c>
      <c r="I157" s="144">
        <v>1</v>
      </c>
      <c r="J157" s="145">
        <f t="shared" si="17"/>
        <v>42613</v>
      </c>
      <c r="K157" s="144">
        <f t="shared" ca="1" si="20"/>
        <v>0.98427955443765713</v>
      </c>
      <c r="L157" s="144">
        <f t="shared" ca="1" si="20"/>
        <v>0.76182177506288185</v>
      </c>
      <c r="M157" s="144">
        <f t="shared" ca="1" si="20"/>
        <v>103.31476823571685</v>
      </c>
      <c r="N157" s="144">
        <f t="shared" ca="1" si="20"/>
        <v>8.3331836148041685</v>
      </c>
      <c r="O157" s="144">
        <f t="shared" ca="1" si="20"/>
        <v>65.273445921667275</v>
      </c>
      <c r="P157" s="144">
        <f t="shared" ca="1" si="20"/>
        <v>1</v>
      </c>
      <c r="Q157" s="144">
        <f t="shared" ca="1" si="20"/>
        <v>0.89831117499101687</v>
      </c>
    </row>
    <row r="158" spans="1:17" x14ac:dyDescent="0.25">
      <c r="A158" s="145">
        <v>42612</v>
      </c>
      <c r="B158" s="144">
        <v>1.1168</v>
      </c>
      <c r="C158" s="144">
        <v>72.456400000000002</v>
      </c>
      <c r="D158" s="144">
        <v>9.2873000000000001</v>
      </c>
      <c r="E158" s="144">
        <v>114.27</v>
      </c>
      <c r="F158" s="144">
        <v>0.85170000000000001</v>
      </c>
      <c r="G158" s="144">
        <v>1.0951</v>
      </c>
      <c r="I158" s="144">
        <v>1</v>
      </c>
      <c r="J158" s="145">
        <f t="shared" si="17"/>
        <v>42612</v>
      </c>
      <c r="K158" s="144">
        <f t="shared" ca="1" si="20"/>
        <v>0.98056948424068768</v>
      </c>
      <c r="L158" s="144">
        <f t="shared" ca="1" si="20"/>
        <v>0.76262535816618915</v>
      </c>
      <c r="M158" s="144">
        <f t="shared" ca="1" si="20"/>
        <v>102.31912607449856</v>
      </c>
      <c r="N158" s="144">
        <f t="shared" ca="1" si="20"/>
        <v>8.3159921203438394</v>
      </c>
      <c r="O158" s="144">
        <f t="shared" ca="1" si="20"/>
        <v>64.878581661891118</v>
      </c>
      <c r="P158" s="144">
        <f t="shared" ca="1" si="20"/>
        <v>1</v>
      </c>
      <c r="Q158" s="144">
        <f t="shared" ca="1" si="20"/>
        <v>0.89541547277936961</v>
      </c>
    </row>
    <row r="159" spans="1:17" x14ac:dyDescent="0.25">
      <c r="A159" s="145">
        <v>42611</v>
      </c>
      <c r="B159" s="144">
        <v>1.117</v>
      </c>
      <c r="C159" s="144">
        <v>72.669499999999999</v>
      </c>
      <c r="D159" s="144">
        <v>9.2730999999999995</v>
      </c>
      <c r="E159" s="144">
        <v>114.24</v>
      </c>
      <c r="F159" s="144">
        <v>0.85475999999999996</v>
      </c>
      <c r="G159" s="144">
        <v>1.0936999999999999</v>
      </c>
      <c r="I159" s="144">
        <v>1</v>
      </c>
      <c r="J159" s="145">
        <f t="shared" si="17"/>
        <v>42611</v>
      </c>
      <c r="K159" s="144">
        <f t="shared" ca="1" si="20"/>
        <v>0.97914055505819153</v>
      </c>
      <c r="L159" s="144">
        <f t="shared" ca="1" si="20"/>
        <v>0.76522829006266779</v>
      </c>
      <c r="M159" s="144">
        <f t="shared" ca="1" si="20"/>
        <v>102.27394807520143</v>
      </c>
      <c r="N159" s="144">
        <f t="shared" ca="1" si="20"/>
        <v>8.301790510295433</v>
      </c>
      <c r="O159" s="144">
        <f t="shared" ca="1" si="20"/>
        <v>65.057743957027753</v>
      </c>
      <c r="P159" s="144">
        <f t="shared" ca="1" si="20"/>
        <v>1</v>
      </c>
      <c r="Q159" s="144">
        <f t="shared" ca="1" si="20"/>
        <v>0.89525514771709935</v>
      </c>
    </row>
    <row r="160" spans="1:17" x14ac:dyDescent="0.25">
      <c r="A160" s="145">
        <v>42610</v>
      </c>
      <c r="B160" s="144">
        <v>1.129</v>
      </c>
      <c r="C160" s="144">
        <v>73.139200000000002</v>
      </c>
      <c r="D160" s="144">
        <v>9.2500999999999998</v>
      </c>
      <c r="E160" s="144">
        <v>113.33</v>
      </c>
      <c r="F160" s="144">
        <v>0.85450000000000004</v>
      </c>
      <c r="G160" s="144">
        <v>1.0932999999999999</v>
      </c>
      <c r="I160" s="144">
        <v>1</v>
      </c>
      <c r="J160" s="145">
        <f t="shared" si="17"/>
        <v>42610</v>
      </c>
      <c r="K160" s="144">
        <f t="shared" ca="1" si="20"/>
        <v>0.96837909654561549</v>
      </c>
      <c r="L160" s="144">
        <f t="shared" ca="1" si="20"/>
        <v>0.75686448184233834</v>
      </c>
      <c r="M160" s="144">
        <f t="shared" ca="1" si="20"/>
        <v>100.38086802480071</v>
      </c>
      <c r="N160" s="144">
        <f t="shared" ca="1" si="20"/>
        <v>8.1931798051372891</v>
      </c>
      <c r="O160" s="144">
        <f t="shared" ca="1" si="20"/>
        <v>64.782285208148807</v>
      </c>
      <c r="P160" s="144">
        <f t="shared" ca="1" si="20"/>
        <v>1</v>
      </c>
      <c r="Q160" s="144">
        <f t="shared" ca="1" si="20"/>
        <v>0.8857395925597874</v>
      </c>
    </row>
    <row r="161" spans="1:17" x14ac:dyDescent="0.25">
      <c r="A161" s="145">
        <v>42609</v>
      </c>
      <c r="B161" s="144">
        <v>1.129</v>
      </c>
      <c r="C161" s="144">
        <v>73.139200000000002</v>
      </c>
      <c r="D161" s="144">
        <v>9.2500999999999998</v>
      </c>
      <c r="E161" s="144">
        <v>113.33</v>
      </c>
      <c r="F161" s="144">
        <v>0.85450000000000004</v>
      </c>
      <c r="G161" s="144">
        <v>1.0932999999999999</v>
      </c>
      <c r="I161" s="144">
        <v>1</v>
      </c>
      <c r="J161" s="145">
        <f t="shared" si="17"/>
        <v>42609</v>
      </c>
      <c r="K161" s="144">
        <f t="shared" ca="1" si="20"/>
        <v>0.96837909654561549</v>
      </c>
      <c r="L161" s="144">
        <f t="shared" ca="1" si="20"/>
        <v>0.75686448184233834</v>
      </c>
      <c r="M161" s="144">
        <f t="shared" ca="1" si="20"/>
        <v>100.38086802480071</v>
      </c>
      <c r="N161" s="144">
        <f t="shared" ca="1" si="20"/>
        <v>8.1931798051372891</v>
      </c>
      <c r="O161" s="144">
        <f t="shared" ca="1" si="20"/>
        <v>64.782285208148807</v>
      </c>
      <c r="P161" s="144">
        <f t="shared" ca="1" si="20"/>
        <v>1</v>
      </c>
      <c r="Q161" s="144">
        <f t="shared" ca="1" si="20"/>
        <v>0.8857395925597874</v>
      </c>
    </row>
    <row r="162" spans="1:17" x14ac:dyDescent="0.25">
      <c r="A162" s="145">
        <v>42608</v>
      </c>
      <c r="B162" s="144">
        <v>1.129</v>
      </c>
      <c r="C162" s="144">
        <v>73.139200000000002</v>
      </c>
      <c r="D162" s="144">
        <v>9.2500999999999998</v>
      </c>
      <c r="E162" s="144">
        <v>113.33</v>
      </c>
      <c r="F162" s="144">
        <v>0.85450000000000004</v>
      </c>
      <c r="G162" s="144">
        <v>1.0932999999999999</v>
      </c>
      <c r="I162" s="144">
        <v>1</v>
      </c>
      <c r="J162" s="145">
        <f t="shared" si="17"/>
        <v>42608</v>
      </c>
      <c r="K162" s="144">
        <f t="shared" ca="1" si="20"/>
        <v>0.96837909654561549</v>
      </c>
      <c r="L162" s="144">
        <f t="shared" ca="1" si="20"/>
        <v>0.75686448184233834</v>
      </c>
      <c r="M162" s="144">
        <f t="shared" ca="1" si="20"/>
        <v>100.38086802480071</v>
      </c>
      <c r="N162" s="144">
        <f t="shared" ca="1" si="20"/>
        <v>8.1931798051372891</v>
      </c>
      <c r="O162" s="144">
        <f t="shared" ca="1" si="20"/>
        <v>64.782285208148807</v>
      </c>
      <c r="P162" s="144">
        <f t="shared" ca="1" si="20"/>
        <v>1</v>
      </c>
      <c r="Q162" s="144">
        <f t="shared" ca="1" si="20"/>
        <v>0.8857395925597874</v>
      </c>
    </row>
    <row r="163" spans="1:17" x14ac:dyDescent="0.25">
      <c r="A163" s="145">
        <v>42607</v>
      </c>
      <c r="B163" s="144">
        <v>1.129</v>
      </c>
      <c r="C163" s="144">
        <v>73.22</v>
      </c>
      <c r="D163" s="144">
        <v>9.2771000000000008</v>
      </c>
      <c r="E163" s="144">
        <v>113.45</v>
      </c>
      <c r="F163" s="144">
        <v>0.85570000000000002</v>
      </c>
      <c r="G163" s="144">
        <v>1.0905</v>
      </c>
      <c r="I163" s="144">
        <v>1</v>
      </c>
      <c r="J163" s="145">
        <f t="shared" si="17"/>
        <v>42607</v>
      </c>
      <c r="K163" s="144">
        <f t="shared" ca="1" si="20"/>
        <v>0.96589902568644825</v>
      </c>
      <c r="L163" s="144">
        <f t="shared" ca="1" si="20"/>
        <v>0.7579273693534101</v>
      </c>
      <c r="M163" s="144">
        <f t="shared" ca="1" si="20"/>
        <v>100.48715677590789</v>
      </c>
      <c r="N163" s="144">
        <f t="shared" ca="1" si="20"/>
        <v>8.2170947741364042</v>
      </c>
      <c r="O163" s="144">
        <f t="shared" ca="1" si="20"/>
        <v>64.853852967227638</v>
      </c>
      <c r="P163" s="144">
        <f t="shared" ca="1" si="20"/>
        <v>1</v>
      </c>
      <c r="Q163" s="144">
        <f t="shared" ca="1" si="20"/>
        <v>0.8857395925597874</v>
      </c>
    </row>
    <row r="164" spans="1:17" x14ac:dyDescent="0.25">
      <c r="A164" s="145">
        <v>42606</v>
      </c>
      <c r="B164" s="144">
        <v>1.1268</v>
      </c>
      <c r="C164" s="144">
        <v>73.056100000000001</v>
      </c>
      <c r="D164" s="144">
        <v>9.2460000000000004</v>
      </c>
      <c r="E164" s="144">
        <v>112.95</v>
      </c>
      <c r="F164" s="144">
        <v>0.85129999999999995</v>
      </c>
      <c r="G164" s="144">
        <v>1.0891</v>
      </c>
      <c r="I164" s="144">
        <v>1</v>
      </c>
      <c r="J164" s="145">
        <f t="shared" si="17"/>
        <v>42606</v>
      </c>
      <c r="K164" s="144">
        <f t="shared" ca="1" si="20"/>
        <v>0.96654242101526444</v>
      </c>
      <c r="L164" s="144">
        <f t="shared" ca="1" si="20"/>
        <v>0.75550230741924029</v>
      </c>
      <c r="M164" s="144">
        <f t="shared" ca="1" si="20"/>
        <v>100.23961661341853</v>
      </c>
      <c r="N164" s="144">
        <f t="shared" ca="1" si="20"/>
        <v>8.2055378061767836</v>
      </c>
      <c r="O164" s="144">
        <f t="shared" ca="1" si="20"/>
        <v>64.83501952431665</v>
      </c>
      <c r="P164" s="144">
        <f t="shared" ca="1" si="20"/>
        <v>1</v>
      </c>
      <c r="Q164" s="144">
        <f t="shared" ca="1" si="20"/>
        <v>0.88746893858714948</v>
      </c>
    </row>
    <row r="165" spans="1:17" x14ac:dyDescent="0.25">
      <c r="A165" s="145">
        <v>42605</v>
      </c>
      <c r="B165" s="144">
        <v>1.1338999999999999</v>
      </c>
      <c r="C165" s="144">
        <v>73.1995</v>
      </c>
      <c r="D165" s="144">
        <v>9.2874999999999996</v>
      </c>
      <c r="E165" s="144">
        <v>113.48</v>
      </c>
      <c r="F165" s="144">
        <v>0.85994999999999999</v>
      </c>
      <c r="G165" s="144">
        <v>1.0895999999999999</v>
      </c>
      <c r="I165" s="144">
        <v>1</v>
      </c>
      <c r="J165" s="145">
        <f t="shared" si="17"/>
        <v>42605</v>
      </c>
      <c r="K165" s="144">
        <f t="shared" ref="K165:Q174" ca="1" si="21">OFFSET($A165,0,K$3)/OFFSET($A165,0,$P$3)</f>
        <v>0.96093129905635422</v>
      </c>
      <c r="L165" s="144">
        <f t="shared" ca="1" si="21"/>
        <v>0.7584002116588765</v>
      </c>
      <c r="M165" s="144">
        <f t="shared" ca="1" si="21"/>
        <v>100.07937207866657</v>
      </c>
      <c r="N165" s="144">
        <f t="shared" ca="1" si="21"/>
        <v>8.1907575623952731</v>
      </c>
      <c r="O165" s="144">
        <f t="shared" ca="1" si="21"/>
        <v>64.555516359467333</v>
      </c>
      <c r="P165" s="144">
        <f t="shared" ca="1" si="21"/>
        <v>1</v>
      </c>
      <c r="Q165" s="144">
        <f t="shared" ca="1" si="21"/>
        <v>0.8819119851838787</v>
      </c>
    </row>
    <row r="166" spans="1:17" x14ac:dyDescent="0.25">
      <c r="A166" s="145">
        <v>42604</v>
      </c>
      <c r="B166" s="144">
        <v>1.1306</v>
      </c>
      <c r="C166" s="144">
        <v>72.885499999999993</v>
      </c>
      <c r="D166" s="144">
        <v>9.3280999999999992</v>
      </c>
      <c r="E166" s="144">
        <v>113.73</v>
      </c>
      <c r="F166" s="144">
        <v>0.86240000000000006</v>
      </c>
      <c r="G166" s="144">
        <v>1.0886</v>
      </c>
      <c r="I166" s="144">
        <v>1</v>
      </c>
      <c r="J166" s="145">
        <f t="shared" si="17"/>
        <v>42604</v>
      </c>
      <c r="K166" s="144">
        <f t="shared" ca="1" si="21"/>
        <v>0.9628515832301433</v>
      </c>
      <c r="L166" s="144">
        <f t="shared" ca="1" si="21"/>
        <v>0.76278082434105787</v>
      </c>
      <c r="M166" s="144">
        <f t="shared" ca="1" si="21"/>
        <v>100.59260569609057</v>
      </c>
      <c r="N166" s="144">
        <f t="shared" ca="1" si="21"/>
        <v>8.250574915973818</v>
      </c>
      <c r="O166" s="144">
        <f t="shared" ca="1" si="21"/>
        <v>64.466212630461698</v>
      </c>
      <c r="P166" s="144">
        <f t="shared" ca="1" si="21"/>
        <v>1</v>
      </c>
      <c r="Q166" s="144">
        <f t="shared" ca="1" si="21"/>
        <v>0.88448611356801699</v>
      </c>
    </row>
    <row r="167" spans="1:17" x14ac:dyDescent="0.25">
      <c r="A167" s="145">
        <v>42603</v>
      </c>
      <c r="B167" s="144">
        <v>1.1326000000000001</v>
      </c>
      <c r="C167" s="144">
        <v>72.589699999999993</v>
      </c>
      <c r="D167" s="144">
        <v>9.3048000000000002</v>
      </c>
      <c r="E167" s="144">
        <v>113.53</v>
      </c>
      <c r="F167" s="144">
        <v>0.86536999999999997</v>
      </c>
      <c r="G167" s="144">
        <v>1.0851999999999999</v>
      </c>
      <c r="I167" s="144">
        <v>1</v>
      </c>
      <c r="J167" s="145">
        <f t="shared" si="17"/>
        <v>42603</v>
      </c>
      <c r="K167" s="144">
        <f t="shared" ca="1" si="21"/>
        <v>0.95814939078227079</v>
      </c>
      <c r="L167" s="144">
        <f t="shared" ca="1" si="21"/>
        <v>0.76405615398198834</v>
      </c>
      <c r="M167" s="144">
        <f t="shared" ca="1" si="21"/>
        <v>100.23838954617693</v>
      </c>
      <c r="N167" s="144">
        <f t="shared" ca="1" si="21"/>
        <v>8.2154335158043441</v>
      </c>
      <c r="O167" s="144">
        <f t="shared" ca="1" si="21"/>
        <v>64.091206074518794</v>
      </c>
      <c r="P167" s="144">
        <f t="shared" ca="1" si="21"/>
        <v>1</v>
      </c>
      <c r="Q167" s="144">
        <f t="shared" ca="1" si="21"/>
        <v>0.88292424509977041</v>
      </c>
    </row>
    <row r="168" spans="1:17" x14ac:dyDescent="0.25">
      <c r="A168" s="145">
        <v>42602</v>
      </c>
      <c r="B168" s="144">
        <v>1.1326000000000001</v>
      </c>
      <c r="C168" s="144">
        <v>72.589699999999993</v>
      </c>
      <c r="D168" s="144">
        <v>9.3048000000000002</v>
      </c>
      <c r="E168" s="144">
        <v>113.53</v>
      </c>
      <c r="F168" s="144">
        <v>0.86536999999999997</v>
      </c>
      <c r="G168" s="144">
        <v>1.0851999999999999</v>
      </c>
      <c r="I168" s="144">
        <v>1</v>
      </c>
      <c r="J168" s="145">
        <f t="shared" si="17"/>
        <v>42602</v>
      </c>
      <c r="K168" s="144">
        <f t="shared" ca="1" si="21"/>
        <v>0.95814939078227079</v>
      </c>
      <c r="L168" s="144">
        <f t="shared" ca="1" si="21"/>
        <v>0.76405615398198834</v>
      </c>
      <c r="M168" s="144">
        <f t="shared" ca="1" si="21"/>
        <v>100.23838954617693</v>
      </c>
      <c r="N168" s="144">
        <f t="shared" ca="1" si="21"/>
        <v>8.2154335158043441</v>
      </c>
      <c r="O168" s="144">
        <f t="shared" ca="1" si="21"/>
        <v>64.091206074518794</v>
      </c>
      <c r="P168" s="144">
        <f t="shared" ca="1" si="21"/>
        <v>1</v>
      </c>
      <c r="Q168" s="144">
        <f t="shared" ca="1" si="21"/>
        <v>0.88292424509977041</v>
      </c>
    </row>
    <row r="169" spans="1:17" x14ac:dyDescent="0.25">
      <c r="A169" s="145">
        <v>42601</v>
      </c>
      <c r="B169" s="144">
        <v>1.1326000000000001</v>
      </c>
      <c r="C169" s="144">
        <v>72.589699999999993</v>
      </c>
      <c r="D169" s="144">
        <v>9.3048000000000002</v>
      </c>
      <c r="E169" s="144">
        <v>113.53</v>
      </c>
      <c r="F169" s="144">
        <v>0.86536999999999997</v>
      </c>
      <c r="G169" s="144">
        <v>1.0851999999999999</v>
      </c>
      <c r="I169" s="144">
        <v>1</v>
      </c>
      <c r="J169" s="145">
        <f t="shared" si="17"/>
        <v>42601</v>
      </c>
      <c r="K169" s="144">
        <f t="shared" ca="1" si="21"/>
        <v>0.95814939078227079</v>
      </c>
      <c r="L169" s="144">
        <f t="shared" ca="1" si="21"/>
        <v>0.76405615398198834</v>
      </c>
      <c r="M169" s="144">
        <f t="shared" ca="1" si="21"/>
        <v>100.23838954617693</v>
      </c>
      <c r="N169" s="144">
        <f t="shared" ca="1" si="21"/>
        <v>8.2154335158043441</v>
      </c>
      <c r="O169" s="144">
        <f t="shared" ca="1" si="21"/>
        <v>64.091206074518794</v>
      </c>
      <c r="P169" s="144">
        <f t="shared" ca="1" si="21"/>
        <v>1</v>
      </c>
      <c r="Q169" s="144">
        <f t="shared" ca="1" si="21"/>
        <v>0.88292424509977041</v>
      </c>
    </row>
    <row r="170" spans="1:17" x14ac:dyDescent="0.25">
      <c r="A170" s="145">
        <v>42600</v>
      </c>
      <c r="B170" s="144">
        <v>1.1321000000000001</v>
      </c>
      <c r="C170" s="144">
        <v>72.561199999999999</v>
      </c>
      <c r="D170" s="144">
        <v>9.2388999999999992</v>
      </c>
      <c r="E170" s="144">
        <v>113.6</v>
      </c>
      <c r="F170" s="144">
        <v>0.86073</v>
      </c>
      <c r="G170" s="144">
        <v>1.0852999999999999</v>
      </c>
      <c r="I170" s="144">
        <v>1</v>
      </c>
      <c r="J170" s="145">
        <f t="shared" si="17"/>
        <v>42600</v>
      </c>
      <c r="K170" s="144">
        <f t="shared" ca="1" si="21"/>
        <v>0.95866089568059343</v>
      </c>
      <c r="L170" s="144">
        <f t="shared" ca="1" si="21"/>
        <v>0.76029502694108286</v>
      </c>
      <c r="M170" s="144">
        <f t="shared" ca="1" si="21"/>
        <v>100.34449253599504</v>
      </c>
      <c r="N170" s="144">
        <f t="shared" ca="1" si="21"/>
        <v>8.1608515148838432</v>
      </c>
      <c r="O170" s="144">
        <f t="shared" ca="1" si="21"/>
        <v>64.094337956010946</v>
      </c>
      <c r="P170" s="144">
        <f t="shared" ca="1" si="21"/>
        <v>1</v>
      </c>
      <c r="Q170" s="144">
        <f t="shared" ca="1" si="21"/>
        <v>0.88331419485911133</v>
      </c>
    </row>
    <row r="171" spans="1:17" x14ac:dyDescent="0.25">
      <c r="A171" s="145">
        <v>42599</v>
      </c>
      <c r="B171" s="144">
        <v>1.1275999999999999</v>
      </c>
      <c r="C171" s="144">
        <v>72.201899999999995</v>
      </c>
      <c r="D171" s="144">
        <v>9.2812000000000001</v>
      </c>
      <c r="E171" s="144">
        <v>113.53</v>
      </c>
      <c r="F171" s="144">
        <v>0.86639999999999995</v>
      </c>
      <c r="G171" s="144">
        <v>1.0863</v>
      </c>
      <c r="I171" s="144">
        <v>1</v>
      </c>
      <c r="J171" s="145">
        <f t="shared" si="17"/>
        <v>42599</v>
      </c>
      <c r="K171" s="144">
        <f t="shared" ca="1" si="21"/>
        <v>0.96337353671514736</v>
      </c>
      <c r="L171" s="144">
        <f t="shared" ca="1" si="21"/>
        <v>0.76835757360766233</v>
      </c>
      <c r="M171" s="144">
        <f t="shared" ca="1" si="21"/>
        <v>100.68286626463285</v>
      </c>
      <c r="N171" s="144">
        <f t="shared" ca="1" si="21"/>
        <v>8.2309329549485639</v>
      </c>
      <c r="O171" s="144">
        <f t="shared" ca="1" si="21"/>
        <v>64.031482795317487</v>
      </c>
      <c r="P171" s="144">
        <f t="shared" ca="1" si="21"/>
        <v>1</v>
      </c>
      <c r="Q171" s="144">
        <f t="shared" ca="1" si="21"/>
        <v>0.88683930471798511</v>
      </c>
    </row>
    <row r="172" spans="1:17" x14ac:dyDescent="0.25">
      <c r="A172" s="145">
        <v>42598</v>
      </c>
      <c r="B172" s="144">
        <v>1.1294999999999999</v>
      </c>
      <c r="C172" s="144">
        <v>72.005300000000005</v>
      </c>
      <c r="D172" s="144">
        <v>9.2101000000000006</v>
      </c>
      <c r="E172" s="144">
        <v>112.74</v>
      </c>
      <c r="F172" s="144">
        <v>0.87060000000000004</v>
      </c>
      <c r="G172" s="144">
        <v>1.0849</v>
      </c>
      <c r="I172" s="144">
        <v>1</v>
      </c>
      <c r="J172" s="145">
        <f t="shared" si="17"/>
        <v>42598</v>
      </c>
      <c r="K172" s="144">
        <f t="shared" ca="1" si="21"/>
        <v>0.96051350154935811</v>
      </c>
      <c r="L172" s="144">
        <f t="shared" ca="1" si="21"/>
        <v>0.77078353253652065</v>
      </c>
      <c r="M172" s="144">
        <f t="shared" ca="1" si="21"/>
        <v>99.814077025232407</v>
      </c>
      <c r="N172" s="144">
        <f t="shared" ca="1" si="21"/>
        <v>8.1541389995573272</v>
      </c>
      <c r="O172" s="144">
        <f t="shared" ca="1" si="21"/>
        <v>63.749712262062864</v>
      </c>
      <c r="P172" s="144">
        <f t="shared" ca="1" si="21"/>
        <v>1</v>
      </c>
      <c r="Q172" s="144">
        <f t="shared" ca="1" si="21"/>
        <v>0.88534749889331565</v>
      </c>
    </row>
    <row r="173" spans="1:17" x14ac:dyDescent="0.25">
      <c r="A173" s="145">
        <v>42597</v>
      </c>
      <c r="B173" s="144">
        <v>1.1180000000000001</v>
      </c>
      <c r="C173" s="144">
        <v>71.886899999999997</v>
      </c>
      <c r="D173" s="144">
        <v>9.1752000000000002</v>
      </c>
      <c r="E173" s="144">
        <v>112.97</v>
      </c>
      <c r="F173" s="144">
        <v>0.86677000000000004</v>
      </c>
      <c r="G173" s="144">
        <v>1.0892999999999999</v>
      </c>
      <c r="I173" s="144">
        <v>1</v>
      </c>
      <c r="J173" s="145">
        <f t="shared" si="17"/>
        <v>42597</v>
      </c>
      <c r="K173" s="144">
        <f t="shared" ca="1" si="21"/>
        <v>0.97432915921287999</v>
      </c>
      <c r="L173" s="144">
        <f t="shared" ca="1" si="21"/>
        <v>0.77528622540250447</v>
      </c>
      <c r="M173" s="144">
        <f t="shared" ca="1" si="21"/>
        <v>101.04651162790697</v>
      </c>
      <c r="N173" s="144">
        <f t="shared" ca="1" si="21"/>
        <v>8.2067978533094799</v>
      </c>
      <c r="O173" s="144">
        <f t="shared" ca="1" si="21"/>
        <v>64.299552772808582</v>
      </c>
      <c r="P173" s="144">
        <f t="shared" ca="1" si="21"/>
        <v>1</v>
      </c>
      <c r="Q173" s="144">
        <f t="shared" ca="1" si="21"/>
        <v>0.89445438282647571</v>
      </c>
    </row>
    <row r="174" spans="1:17" x14ac:dyDescent="0.25">
      <c r="A174" s="145">
        <v>42596</v>
      </c>
      <c r="B174" s="144">
        <v>1.1157999999999999</v>
      </c>
      <c r="C174" s="144">
        <v>72.219399999999993</v>
      </c>
      <c r="D174" s="144">
        <v>9.1635000000000009</v>
      </c>
      <c r="E174" s="144">
        <v>113.77</v>
      </c>
      <c r="F174" s="144">
        <v>0.86050000000000004</v>
      </c>
      <c r="G174" s="144">
        <v>1.0888</v>
      </c>
      <c r="I174" s="144">
        <v>1</v>
      </c>
      <c r="J174" s="145">
        <f t="shared" si="17"/>
        <v>42596</v>
      </c>
      <c r="K174" s="144">
        <f t="shared" ca="1" si="21"/>
        <v>0.97580211507438619</v>
      </c>
      <c r="L174" s="144">
        <f t="shared" ca="1" si="21"/>
        <v>0.77119555475891743</v>
      </c>
      <c r="M174" s="144">
        <f t="shared" ca="1" si="21"/>
        <v>101.96271733285536</v>
      </c>
      <c r="N174" s="144">
        <f t="shared" ca="1" si="21"/>
        <v>8.2124932783652991</v>
      </c>
      <c r="O174" s="144">
        <f t="shared" ca="1" si="21"/>
        <v>64.724323355440049</v>
      </c>
      <c r="P174" s="144">
        <f t="shared" ca="1" si="21"/>
        <v>1</v>
      </c>
      <c r="Q174" s="144">
        <f t="shared" ca="1" si="21"/>
        <v>0.89621796020792266</v>
      </c>
    </row>
    <row r="175" spans="1:17" x14ac:dyDescent="0.25">
      <c r="A175" s="145">
        <v>42595</v>
      </c>
      <c r="B175" s="144">
        <v>1.1157999999999999</v>
      </c>
      <c r="C175" s="144">
        <v>72.219399999999993</v>
      </c>
      <c r="D175" s="144">
        <v>9.1635000000000009</v>
      </c>
      <c r="E175" s="144">
        <v>113.77</v>
      </c>
      <c r="F175" s="144">
        <v>0.86050000000000004</v>
      </c>
      <c r="G175" s="144">
        <v>1.0888</v>
      </c>
      <c r="I175" s="144">
        <v>1</v>
      </c>
      <c r="J175" s="145">
        <f t="shared" si="17"/>
        <v>42595</v>
      </c>
      <c r="K175" s="144">
        <f t="shared" ref="K175:Q184" ca="1" si="22">OFFSET($A175,0,K$3)/OFFSET($A175,0,$P$3)</f>
        <v>0.97580211507438619</v>
      </c>
      <c r="L175" s="144">
        <f t="shared" ca="1" si="22"/>
        <v>0.77119555475891743</v>
      </c>
      <c r="M175" s="144">
        <f t="shared" ca="1" si="22"/>
        <v>101.96271733285536</v>
      </c>
      <c r="N175" s="144">
        <f t="shared" ca="1" si="22"/>
        <v>8.2124932783652991</v>
      </c>
      <c r="O175" s="144">
        <f t="shared" ca="1" si="22"/>
        <v>64.724323355440049</v>
      </c>
      <c r="P175" s="144">
        <f t="shared" ca="1" si="22"/>
        <v>1</v>
      </c>
      <c r="Q175" s="144">
        <f t="shared" ca="1" si="22"/>
        <v>0.89621796020792266</v>
      </c>
    </row>
    <row r="176" spans="1:17" x14ac:dyDescent="0.25">
      <c r="A176" s="145">
        <v>42594</v>
      </c>
      <c r="B176" s="144">
        <v>1.1157999999999999</v>
      </c>
      <c r="C176" s="144">
        <v>72.219399999999993</v>
      </c>
      <c r="D176" s="144">
        <v>9.1635000000000009</v>
      </c>
      <c r="E176" s="144">
        <v>113.77</v>
      </c>
      <c r="F176" s="144">
        <v>0.86050000000000004</v>
      </c>
      <c r="G176" s="144">
        <v>1.0888</v>
      </c>
      <c r="I176" s="144">
        <v>1</v>
      </c>
      <c r="J176" s="145">
        <f t="shared" si="17"/>
        <v>42594</v>
      </c>
      <c r="K176" s="144">
        <f t="shared" ca="1" si="22"/>
        <v>0.97580211507438619</v>
      </c>
      <c r="L176" s="144">
        <f t="shared" ca="1" si="22"/>
        <v>0.77119555475891743</v>
      </c>
      <c r="M176" s="144">
        <f t="shared" ca="1" si="22"/>
        <v>101.96271733285536</v>
      </c>
      <c r="N176" s="149">
        <f t="shared" ca="1" si="22"/>
        <v>8.2124932783652991</v>
      </c>
      <c r="O176" s="144">
        <f t="shared" ca="1" si="22"/>
        <v>64.724323355440049</v>
      </c>
      <c r="P176" s="144">
        <f t="shared" ca="1" si="22"/>
        <v>1</v>
      </c>
      <c r="Q176" s="144">
        <f t="shared" ca="1" si="22"/>
        <v>0.89621796020792266</v>
      </c>
    </row>
    <row r="177" spans="1:22" x14ac:dyDescent="0.25">
      <c r="A177" s="145">
        <v>42593</v>
      </c>
      <c r="B177" s="144">
        <v>1.1153</v>
      </c>
      <c r="C177" s="144">
        <v>72.367500000000007</v>
      </c>
      <c r="D177" s="144">
        <v>9.2293000000000003</v>
      </c>
      <c r="E177" s="144">
        <v>113.05</v>
      </c>
      <c r="F177" s="144">
        <v>0.86038000000000003</v>
      </c>
      <c r="G177" s="144">
        <v>1.0859000000000001</v>
      </c>
      <c r="I177" s="144">
        <v>1</v>
      </c>
      <c r="J177" s="145">
        <f t="shared" si="17"/>
        <v>42593</v>
      </c>
      <c r="K177" s="144">
        <f t="shared" ca="1" si="22"/>
        <v>0.97363937953913759</v>
      </c>
      <c r="L177" s="144">
        <f t="shared" ca="1" si="22"/>
        <v>0.77143369496996328</v>
      </c>
      <c r="M177" s="144">
        <f t="shared" ca="1" si="22"/>
        <v>101.36286201022146</v>
      </c>
      <c r="N177" s="144">
        <f t="shared" ca="1" si="22"/>
        <v>8.2751725993006371</v>
      </c>
      <c r="O177" s="144">
        <f t="shared" ca="1" si="22"/>
        <v>64.886129292567034</v>
      </c>
      <c r="P177" s="144">
        <f t="shared" ca="1" si="22"/>
        <v>1</v>
      </c>
      <c r="Q177" s="144">
        <f t="shared" ca="1" si="22"/>
        <v>0.89661974356675334</v>
      </c>
    </row>
    <row r="178" spans="1:22" x14ac:dyDescent="0.25">
      <c r="A178" s="145">
        <v>42592</v>
      </c>
      <c r="B178" s="144">
        <v>1.1184000000000001</v>
      </c>
      <c r="C178" s="144">
        <v>72.082599999999999</v>
      </c>
      <c r="D178" s="144">
        <v>9.2570999999999994</v>
      </c>
      <c r="E178" s="144">
        <v>113.09</v>
      </c>
      <c r="F178" s="144">
        <v>0.85541</v>
      </c>
      <c r="G178" s="144">
        <v>1.0923</v>
      </c>
      <c r="I178" s="144">
        <v>1</v>
      </c>
      <c r="J178" s="145">
        <f t="shared" si="17"/>
        <v>42592</v>
      </c>
      <c r="K178" s="144">
        <f t="shared" ca="1" si="22"/>
        <v>0.97666309012875541</v>
      </c>
      <c r="L178" s="144">
        <f t="shared" ca="1" si="22"/>
        <v>0.76485157367668088</v>
      </c>
      <c r="M178" s="144">
        <f t="shared" ca="1" si="22"/>
        <v>101.11766809728182</v>
      </c>
      <c r="N178" s="144">
        <f t="shared" ca="1" si="22"/>
        <v>8.277092274678111</v>
      </c>
      <c r="O178" s="144">
        <f t="shared" ca="1" si="22"/>
        <v>64.451537911301855</v>
      </c>
      <c r="P178" s="144">
        <f t="shared" ca="1" si="22"/>
        <v>1</v>
      </c>
      <c r="Q178" s="144">
        <f t="shared" ca="1" si="22"/>
        <v>0.89413447782546485</v>
      </c>
      <c r="U178" s="148"/>
      <c r="V178" s="146"/>
    </row>
    <row r="179" spans="1:22" x14ac:dyDescent="0.25">
      <c r="A179" s="145">
        <v>42591</v>
      </c>
      <c r="B179" s="144">
        <v>1.1077999999999999</v>
      </c>
      <c r="C179" s="144">
        <v>71.7804</v>
      </c>
      <c r="D179" s="144">
        <v>9.3569999999999993</v>
      </c>
      <c r="E179" s="144">
        <v>113.27</v>
      </c>
      <c r="F179" s="144">
        <v>0.85399000000000003</v>
      </c>
      <c r="G179" s="144">
        <v>1.0899000000000001</v>
      </c>
      <c r="I179" s="144">
        <v>1</v>
      </c>
      <c r="J179" s="145">
        <f t="shared" si="17"/>
        <v>42591</v>
      </c>
      <c r="K179" s="144">
        <f t="shared" ca="1" si="22"/>
        <v>0.98384184870915348</v>
      </c>
      <c r="L179" s="144">
        <f t="shared" ca="1" si="22"/>
        <v>0.77088824697598857</v>
      </c>
      <c r="M179" s="144">
        <f t="shared" ca="1" si="22"/>
        <v>102.24769814045857</v>
      </c>
      <c r="N179" s="144">
        <f t="shared" ca="1" si="22"/>
        <v>8.4464704820364691</v>
      </c>
      <c r="O179" s="144">
        <f t="shared" ca="1" si="22"/>
        <v>64.795450442318113</v>
      </c>
      <c r="P179" s="144">
        <f t="shared" ca="1" si="22"/>
        <v>1</v>
      </c>
      <c r="Q179" s="144">
        <f t="shared" ca="1" si="22"/>
        <v>0.90269001624842038</v>
      </c>
    </row>
    <row r="180" spans="1:22" x14ac:dyDescent="0.25">
      <c r="A180" s="145">
        <v>42590</v>
      </c>
      <c r="B180" s="144">
        <v>1.1087</v>
      </c>
      <c r="C180" s="144">
        <v>71.808999999999997</v>
      </c>
      <c r="D180" s="144">
        <v>9.4064999999999994</v>
      </c>
      <c r="E180" s="144">
        <v>113.59</v>
      </c>
      <c r="F180" s="144">
        <v>0.84955000000000003</v>
      </c>
      <c r="G180" s="144">
        <v>1.0883</v>
      </c>
      <c r="I180" s="144">
        <v>1</v>
      </c>
      <c r="J180" s="145">
        <f t="shared" si="17"/>
        <v>42590</v>
      </c>
      <c r="K180" s="144">
        <f t="shared" ca="1" si="22"/>
        <v>0.98160007215657985</v>
      </c>
      <c r="L180" s="144">
        <f t="shared" ca="1" si="22"/>
        <v>0.76625777938125739</v>
      </c>
      <c r="M180" s="144">
        <f t="shared" ca="1" si="22"/>
        <v>102.45332371245603</v>
      </c>
      <c r="N180" s="144">
        <f t="shared" ca="1" si="22"/>
        <v>8.4842608460358964</v>
      </c>
      <c r="O180" s="144">
        <f t="shared" ca="1" si="22"/>
        <v>64.768647966086405</v>
      </c>
      <c r="P180" s="144">
        <f t="shared" ca="1" si="22"/>
        <v>1</v>
      </c>
      <c r="Q180" s="144">
        <f t="shared" ca="1" si="22"/>
        <v>0.90195724722648141</v>
      </c>
    </row>
    <row r="181" spans="1:22" x14ac:dyDescent="0.25">
      <c r="A181" s="145">
        <v>42589</v>
      </c>
      <c r="B181" s="144">
        <v>1.1155999999999999</v>
      </c>
      <c r="C181" s="144">
        <v>72.796700000000001</v>
      </c>
      <c r="D181" s="144">
        <v>9.4022000000000006</v>
      </c>
      <c r="E181" s="144">
        <v>112.73</v>
      </c>
      <c r="F181" s="144">
        <v>0.84809999999999997</v>
      </c>
      <c r="G181" s="144">
        <v>1.0851999999999999</v>
      </c>
      <c r="I181" s="144">
        <v>1</v>
      </c>
      <c r="J181" s="145">
        <f t="shared" si="17"/>
        <v>42589</v>
      </c>
      <c r="K181" s="144">
        <f t="shared" ca="1" si="22"/>
        <v>0.97275008963786302</v>
      </c>
      <c r="L181" s="144">
        <f t="shared" ca="1" si="22"/>
        <v>0.76021871638580141</v>
      </c>
      <c r="M181" s="144">
        <f t="shared" ca="1" si="22"/>
        <v>101.04876299749014</v>
      </c>
      <c r="N181" s="144">
        <f t="shared" ca="1" si="22"/>
        <v>8.4279311581211918</v>
      </c>
      <c r="O181" s="144">
        <f t="shared" ca="1" si="22"/>
        <v>65.253406238795279</v>
      </c>
      <c r="P181" s="144">
        <f t="shared" ca="1" si="22"/>
        <v>1</v>
      </c>
      <c r="Q181" s="144">
        <f t="shared" ca="1" si="22"/>
        <v>0.89637863033345289</v>
      </c>
    </row>
    <row r="182" spans="1:22" x14ac:dyDescent="0.25">
      <c r="A182" s="145">
        <v>42588</v>
      </c>
      <c r="B182" s="144">
        <v>1.1155999999999999</v>
      </c>
      <c r="C182" s="144">
        <v>72.796700000000001</v>
      </c>
      <c r="D182" s="144">
        <v>9.4022000000000006</v>
      </c>
      <c r="E182" s="144">
        <v>112.73</v>
      </c>
      <c r="F182" s="144">
        <v>0.84809999999999997</v>
      </c>
      <c r="G182" s="144">
        <v>1.0851999999999999</v>
      </c>
      <c r="I182" s="144">
        <v>1</v>
      </c>
      <c r="J182" s="145">
        <f t="shared" si="17"/>
        <v>42588</v>
      </c>
      <c r="K182" s="144">
        <f t="shared" ca="1" si="22"/>
        <v>0.97275008963786302</v>
      </c>
      <c r="L182" s="144">
        <f t="shared" ca="1" si="22"/>
        <v>0.76021871638580141</v>
      </c>
      <c r="M182" s="144">
        <f t="shared" ca="1" si="22"/>
        <v>101.04876299749014</v>
      </c>
      <c r="N182" s="144">
        <f t="shared" ca="1" si="22"/>
        <v>8.4279311581211918</v>
      </c>
      <c r="O182" s="144">
        <f t="shared" ca="1" si="22"/>
        <v>65.253406238795279</v>
      </c>
      <c r="P182" s="144">
        <f t="shared" ca="1" si="22"/>
        <v>1</v>
      </c>
      <c r="Q182" s="144">
        <f t="shared" ca="1" si="22"/>
        <v>0.89637863033345289</v>
      </c>
    </row>
    <row r="183" spans="1:22" x14ac:dyDescent="0.25">
      <c r="A183" s="145">
        <v>42587</v>
      </c>
      <c r="B183" s="144">
        <v>1.1155999999999999</v>
      </c>
      <c r="C183" s="144">
        <v>72.796700000000001</v>
      </c>
      <c r="D183" s="144">
        <v>9.4022000000000006</v>
      </c>
      <c r="E183" s="144">
        <v>112.73</v>
      </c>
      <c r="F183" s="144">
        <v>0.84809999999999997</v>
      </c>
      <c r="G183" s="144">
        <v>1.0851999999999999</v>
      </c>
      <c r="I183" s="144">
        <v>1</v>
      </c>
      <c r="J183" s="145">
        <f t="shared" si="17"/>
        <v>42587</v>
      </c>
      <c r="K183" s="144">
        <f t="shared" ca="1" si="22"/>
        <v>0.97275008963786302</v>
      </c>
      <c r="L183" s="144">
        <f t="shared" ca="1" si="22"/>
        <v>0.76021871638580141</v>
      </c>
      <c r="M183" s="144">
        <f t="shared" ca="1" si="22"/>
        <v>101.04876299749014</v>
      </c>
      <c r="N183" s="144">
        <f t="shared" ca="1" si="22"/>
        <v>8.4279311581211918</v>
      </c>
      <c r="O183" s="144">
        <f t="shared" ca="1" si="22"/>
        <v>65.253406238795279</v>
      </c>
      <c r="P183" s="144">
        <f t="shared" ca="1" si="22"/>
        <v>1</v>
      </c>
      <c r="Q183" s="144">
        <f t="shared" ca="1" si="22"/>
        <v>0.89637863033345289</v>
      </c>
    </row>
    <row r="184" spans="1:22" x14ac:dyDescent="0.25">
      <c r="A184" s="145">
        <v>42586</v>
      </c>
      <c r="B184" s="144">
        <v>1.1135999999999999</v>
      </c>
      <c r="C184" s="144">
        <v>73.772199999999998</v>
      </c>
      <c r="D184" s="144">
        <v>9.4117999999999995</v>
      </c>
      <c r="E184" s="144">
        <v>112.66</v>
      </c>
      <c r="F184" s="144">
        <v>0.84602999999999995</v>
      </c>
      <c r="G184" s="144">
        <v>1.0833999999999999</v>
      </c>
      <c r="I184" s="144">
        <v>1</v>
      </c>
      <c r="J184" s="145">
        <f t="shared" si="17"/>
        <v>42586</v>
      </c>
      <c r="K184" s="144">
        <f t="shared" ca="1" si="22"/>
        <v>0.9728807471264368</v>
      </c>
      <c r="L184" s="144">
        <f t="shared" ca="1" si="22"/>
        <v>0.75972521551724137</v>
      </c>
      <c r="M184" s="144">
        <f t="shared" ca="1" si="22"/>
        <v>101.16738505747126</v>
      </c>
      <c r="N184" s="144">
        <f t="shared" ca="1" si="22"/>
        <v>8.4516882183908049</v>
      </c>
      <c r="O184" s="144">
        <f t="shared" ca="1" si="22"/>
        <v>66.246587643678168</v>
      </c>
      <c r="P184" s="144">
        <f t="shared" ca="1" si="22"/>
        <v>1</v>
      </c>
      <c r="Q184" s="144">
        <f t="shared" ca="1" si="22"/>
        <v>0.89798850574712652</v>
      </c>
    </row>
    <row r="185" spans="1:22" x14ac:dyDescent="0.25">
      <c r="A185" s="145">
        <v>42585</v>
      </c>
      <c r="B185" s="144">
        <v>1.1200000000000001</v>
      </c>
      <c r="C185" s="144">
        <v>74.5458</v>
      </c>
      <c r="D185" s="144">
        <v>9.4236000000000004</v>
      </c>
      <c r="E185" s="144">
        <v>113.22</v>
      </c>
      <c r="F185" s="144">
        <v>0.83909999999999996</v>
      </c>
      <c r="G185" s="144">
        <v>1.0845</v>
      </c>
      <c r="I185" s="144">
        <v>1</v>
      </c>
      <c r="J185" s="145">
        <f t="shared" si="17"/>
        <v>42585</v>
      </c>
      <c r="K185" s="144">
        <f t="shared" ref="K185:Q194" ca="1" si="23">OFFSET($A185,0,K$3)/OFFSET($A185,0,$P$3)</f>
        <v>0.96830357142857137</v>
      </c>
      <c r="L185" s="144">
        <f t="shared" ca="1" si="23"/>
        <v>0.74919642857142843</v>
      </c>
      <c r="M185" s="144">
        <f t="shared" ca="1" si="23"/>
        <v>101.08928571428571</v>
      </c>
      <c r="N185" s="144">
        <f t="shared" ca="1" si="23"/>
        <v>8.4139285714285705</v>
      </c>
      <c r="O185" s="144">
        <f t="shared" ca="1" si="23"/>
        <v>66.558749999999989</v>
      </c>
      <c r="P185" s="144">
        <f t="shared" ca="1" si="23"/>
        <v>1</v>
      </c>
      <c r="Q185" s="144">
        <f t="shared" ca="1" si="23"/>
        <v>0.89285714285714279</v>
      </c>
    </row>
    <row r="186" spans="1:22" x14ac:dyDescent="0.25">
      <c r="A186" s="145">
        <v>42584</v>
      </c>
      <c r="B186" s="144">
        <v>1.1193</v>
      </c>
      <c r="C186" s="144">
        <v>74.509799999999998</v>
      </c>
      <c r="D186" s="144">
        <v>9.4362999999999992</v>
      </c>
      <c r="E186" s="144">
        <v>113.72</v>
      </c>
      <c r="F186" s="144">
        <v>0.84309999999999996</v>
      </c>
      <c r="G186" s="144">
        <v>1.081</v>
      </c>
      <c r="I186" s="144">
        <v>1</v>
      </c>
      <c r="J186" s="145">
        <f t="shared" si="17"/>
        <v>42584</v>
      </c>
      <c r="K186" s="144">
        <f t="shared" ca="1" si="23"/>
        <v>0.96578218529438042</v>
      </c>
      <c r="L186" s="144">
        <f t="shared" ca="1" si="23"/>
        <v>0.75323863128741175</v>
      </c>
      <c r="M186" s="144">
        <f t="shared" ca="1" si="23"/>
        <v>101.59921379433575</v>
      </c>
      <c r="N186" s="144">
        <f t="shared" ca="1" si="23"/>
        <v>8.4305369427320649</v>
      </c>
      <c r="O186" s="144">
        <f t="shared" ca="1" si="23"/>
        <v>66.568212275529348</v>
      </c>
      <c r="P186" s="144">
        <f t="shared" ca="1" si="23"/>
        <v>1</v>
      </c>
      <c r="Q186" s="144">
        <f t="shared" ca="1" si="23"/>
        <v>0.89341552756186904</v>
      </c>
    </row>
    <row r="187" spans="1:22" x14ac:dyDescent="0.25">
      <c r="A187" s="145">
        <v>42583</v>
      </c>
      <c r="B187" s="144">
        <v>1.1164000000000001</v>
      </c>
      <c r="C187" s="144">
        <v>73.873599999999996</v>
      </c>
      <c r="D187" s="144">
        <v>9.4454999999999991</v>
      </c>
      <c r="E187" s="144">
        <v>114.28</v>
      </c>
      <c r="F187" s="144">
        <v>0.84540000000000004</v>
      </c>
      <c r="G187" s="144">
        <v>1.0807</v>
      </c>
      <c r="I187" s="144">
        <v>1</v>
      </c>
      <c r="J187" s="145">
        <f t="shared" si="17"/>
        <v>42583</v>
      </c>
      <c r="K187" s="144">
        <f t="shared" ca="1" si="23"/>
        <v>0.9680222142601218</v>
      </c>
      <c r="L187" s="144">
        <f t="shared" ca="1" si="23"/>
        <v>0.75725546399140098</v>
      </c>
      <c r="M187" s="144">
        <f t="shared" ca="1" si="23"/>
        <v>102.36474381941956</v>
      </c>
      <c r="N187" s="144">
        <f t="shared" ca="1" si="23"/>
        <v>8.4606771766391962</v>
      </c>
      <c r="O187" s="144">
        <f t="shared" ca="1" si="23"/>
        <v>66.171264779648865</v>
      </c>
      <c r="P187" s="144">
        <f t="shared" ca="1" si="23"/>
        <v>1</v>
      </c>
      <c r="Q187" s="144">
        <f t="shared" ca="1" si="23"/>
        <v>0.8957362952346829</v>
      </c>
    </row>
    <row r="188" spans="1:22" x14ac:dyDescent="0.25">
      <c r="A188" s="145">
        <v>42582</v>
      </c>
      <c r="B188" s="144">
        <v>1.1113</v>
      </c>
      <c r="C188" s="144">
        <v>74.488299999999995</v>
      </c>
      <c r="D188" s="144">
        <v>9.5091999999999999</v>
      </c>
      <c r="E188" s="144">
        <v>114.83</v>
      </c>
      <c r="F188" s="144">
        <v>0.84399999999999997</v>
      </c>
      <c r="G188" s="144">
        <v>1.0823</v>
      </c>
      <c r="I188" s="144">
        <v>1</v>
      </c>
      <c r="J188" s="145">
        <f t="shared" si="17"/>
        <v>42582</v>
      </c>
      <c r="K188" s="144">
        <f t="shared" ca="1" si="23"/>
        <v>0.97390443624583833</v>
      </c>
      <c r="L188" s="144">
        <f t="shared" ca="1" si="23"/>
        <v>0.75947088994870871</v>
      </c>
      <c r="M188" s="144">
        <f t="shared" ca="1" si="23"/>
        <v>103.32943399622064</v>
      </c>
      <c r="N188" s="144">
        <f t="shared" ca="1" si="23"/>
        <v>8.5568253396922529</v>
      </c>
      <c r="O188" s="144">
        <f t="shared" ca="1" si="23"/>
        <v>67.028075227211374</v>
      </c>
      <c r="P188" s="144">
        <f t="shared" ca="1" si="23"/>
        <v>1</v>
      </c>
      <c r="Q188" s="144">
        <f t="shared" ca="1" si="23"/>
        <v>0.89984702600557909</v>
      </c>
    </row>
    <row r="189" spans="1:22" x14ac:dyDescent="0.25">
      <c r="A189" s="145">
        <v>42581</v>
      </c>
      <c r="B189" s="144">
        <v>1.1113</v>
      </c>
      <c r="C189" s="144">
        <v>74.488299999999995</v>
      </c>
      <c r="D189" s="144">
        <v>9.5091999999999999</v>
      </c>
      <c r="E189" s="144">
        <v>114.83</v>
      </c>
      <c r="F189" s="144">
        <v>0.84399999999999997</v>
      </c>
      <c r="G189" s="144">
        <v>1.0823</v>
      </c>
      <c r="I189" s="144">
        <v>1</v>
      </c>
      <c r="J189" s="145">
        <f t="shared" si="17"/>
        <v>42581</v>
      </c>
      <c r="K189" s="144">
        <f t="shared" ca="1" si="23"/>
        <v>0.97390443624583833</v>
      </c>
      <c r="L189" s="144">
        <f t="shared" ca="1" si="23"/>
        <v>0.75947088994870871</v>
      </c>
      <c r="M189" s="144">
        <f t="shared" ca="1" si="23"/>
        <v>103.32943399622064</v>
      </c>
      <c r="N189" s="144">
        <f t="shared" ca="1" si="23"/>
        <v>8.5568253396922529</v>
      </c>
      <c r="O189" s="144">
        <f t="shared" ca="1" si="23"/>
        <v>67.028075227211374</v>
      </c>
      <c r="P189" s="144">
        <f t="shared" ca="1" si="23"/>
        <v>1</v>
      </c>
      <c r="Q189" s="144">
        <f t="shared" ca="1" si="23"/>
        <v>0.89984702600557909</v>
      </c>
    </row>
    <row r="190" spans="1:22" x14ac:dyDescent="0.25">
      <c r="A190" s="145">
        <v>42580</v>
      </c>
      <c r="B190" s="144">
        <v>1.1113</v>
      </c>
      <c r="C190" s="144">
        <v>74.488299999999995</v>
      </c>
      <c r="D190" s="144">
        <v>9.5091999999999999</v>
      </c>
      <c r="E190" s="144">
        <v>114.83</v>
      </c>
      <c r="F190" s="144">
        <v>0.84399999999999997</v>
      </c>
      <c r="G190" s="144">
        <v>1.0823</v>
      </c>
      <c r="I190" s="144">
        <v>1</v>
      </c>
      <c r="J190" s="145">
        <f t="shared" si="17"/>
        <v>42580</v>
      </c>
      <c r="K190" s="144">
        <f t="shared" ca="1" si="23"/>
        <v>0.97390443624583833</v>
      </c>
      <c r="L190" s="144">
        <f t="shared" ca="1" si="23"/>
        <v>0.75947088994870871</v>
      </c>
      <c r="M190" s="144">
        <f t="shared" ca="1" si="23"/>
        <v>103.32943399622064</v>
      </c>
      <c r="N190" s="144">
        <f t="shared" ca="1" si="23"/>
        <v>8.5568253396922529</v>
      </c>
      <c r="O190" s="144">
        <f t="shared" ca="1" si="23"/>
        <v>67.028075227211374</v>
      </c>
      <c r="P190" s="144">
        <f t="shared" ca="1" si="23"/>
        <v>1</v>
      </c>
      <c r="Q190" s="144">
        <f t="shared" ca="1" si="23"/>
        <v>0.89984702600557909</v>
      </c>
    </row>
    <row r="191" spans="1:22" x14ac:dyDescent="0.25">
      <c r="A191" s="145">
        <v>42579</v>
      </c>
      <c r="B191" s="144">
        <v>1.109</v>
      </c>
      <c r="C191" s="144">
        <v>73.674700000000001</v>
      </c>
      <c r="D191" s="144">
        <v>9.4405000000000001</v>
      </c>
      <c r="E191" s="144">
        <v>116.14</v>
      </c>
      <c r="F191" s="144">
        <v>0.84219999999999995</v>
      </c>
      <c r="G191" s="144">
        <v>1.0891999999999999</v>
      </c>
      <c r="I191" s="144">
        <v>1</v>
      </c>
      <c r="J191" s="145">
        <f t="shared" si="17"/>
        <v>42579</v>
      </c>
      <c r="K191" s="144">
        <f t="shared" ca="1" si="23"/>
        <v>0.98214607754733996</v>
      </c>
      <c r="L191" s="144">
        <f t="shared" ca="1" si="23"/>
        <v>0.75942290351668162</v>
      </c>
      <c r="M191" s="144">
        <f t="shared" ca="1" si="23"/>
        <v>104.72497745716862</v>
      </c>
      <c r="N191" s="144">
        <f t="shared" ca="1" si="23"/>
        <v>8.5126239855725885</v>
      </c>
      <c r="O191" s="144">
        <f t="shared" ca="1" si="23"/>
        <v>66.433453561767365</v>
      </c>
      <c r="P191" s="144">
        <f t="shared" ca="1" si="23"/>
        <v>1</v>
      </c>
      <c r="Q191" s="144">
        <f t="shared" ca="1" si="23"/>
        <v>0.90171325518485124</v>
      </c>
    </row>
    <row r="192" spans="1:22" x14ac:dyDescent="0.25">
      <c r="A192" s="145">
        <v>42578</v>
      </c>
      <c r="B192" s="144">
        <v>1.0991</v>
      </c>
      <c r="C192" s="144">
        <v>72.546300000000002</v>
      </c>
      <c r="D192" s="144">
        <v>9.4387000000000008</v>
      </c>
      <c r="E192" s="144">
        <v>116.23</v>
      </c>
      <c r="F192" s="144">
        <v>0.83875</v>
      </c>
      <c r="G192" s="144">
        <v>1.0928</v>
      </c>
      <c r="I192" s="144">
        <v>1</v>
      </c>
      <c r="J192" s="145">
        <f t="shared" si="17"/>
        <v>42578</v>
      </c>
      <c r="K192" s="144">
        <f t="shared" ca="1" si="23"/>
        <v>0.99426803748521519</v>
      </c>
      <c r="L192" s="144">
        <f t="shared" ca="1" si="23"/>
        <v>0.76312437448821768</v>
      </c>
      <c r="M192" s="144">
        <f t="shared" ca="1" si="23"/>
        <v>105.75015922118098</v>
      </c>
      <c r="N192" s="144">
        <f t="shared" ca="1" si="23"/>
        <v>8.5876626330634167</v>
      </c>
      <c r="O192" s="144">
        <f t="shared" ca="1" si="23"/>
        <v>66.005186061322902</v>
      </c>
      <c r="P192" s="144">
        <f t="shared" ca="1" si="23"/>
        <v>1</v>
      </c>
      <c r="Q192" s="144">
        <f t="shared" ca="1" si="23"/>
        <v>0.90983531980711496</v>
      </c>
    </row>
    <row r="193" spans="1:17" x14ac:dyDescent="0.25">
      <c r="A193" s="145">
        <v>42577</v>
      </c>
      <c r="B193" s="144">
        <v>1.0996999999999999</v>
      </c>
      <c r="C193" s="144">
        <v>72.891999999999996</v>
      </c>
      <c r="D193" s="144">
        <v>9.4369999999999994</v>
      </c>
      <c r="E193" s="144">
        <v>114.67</v>
      </c>
      <c r="F193" s="144">
        <v>0.83709999999999996</v>
      </c>
      <c r="G193" s="144">
        <v>1.087</v>
      </c>
      <c r="I193" s="144">
        <v>1</v>
      </c>
      <c r="J193" s="145">
        <f t="shared" si="17"/>
        <v>42577</v>
      </c>
      <c r="K193" s="144">
        <f t="shared" ca="1" si="23"/>
        <v>0.9884513958352279</v>
      </c>
      <c r="L193" s="144">
        <f t="shared" ca="1" si="23"/>
        <v>0.76120760207329274</v>
      </c>
      <c r="M193" s="144">
        <f t="shared" ca="1" si="23"/>
        <v>104.27389287987634</v>
      </c>
      <c r="N193" s="144">
        <f t="shared" ca="1" si="23"/>
        <v>8.5814312994453044</v>
      </c>
      <c r="O193" s="144">
        <f t="shared" ca="1" si="23"/>
        <v>66.283531872328822</v>
      </c>
      <c r="P193" s="144">
        <f t="shared" ca="1" si="23"/>
        <v>1</v>
      </c>
      <c r="Q193" s="144">
        <f t="shared" ca="1" si="23"/>
        <v>0.90933891061198513</v>
      </c>
    </row>
    <row r="194" spans="1:17" x14ac:dyDescent="0.25">
      <c r="A194" s="145">
        <v>42576</v>
      </c>
      <c r="B194" s="144">
        <v>1.0982000000000001</v>
      </c>
      <c r="C194" s="144">
        <v>71.265100000000004</v>
      </c>
      <c r="D194" s="144">
        <v>9.4101999999999997</v>
      </c>
      <c r="E194" s="144">
        <v>116.64</v>
      </c>
      <c r="F194" s="144">
        <v>0.8367</v>
      </c>
      <c r="G194" s="144">
        <v>1.0839000000000001</v>
      </c>
      <c r="I194" s="144">
        <v>1</v>
      </c>
      <c r="J194" s="145">
        <f t="shared" si="17"/>
        <v>42576</v>
      </c>
      <c r="K194" s="144">
        <f t="shared" ca="1" si="23"/>
        <v>0.98697869240575486</v>
      </c>
      <c r="L194" s="144">
        <f t="shared" ca="1" si="23"/>
        <v>0.76188308140593697</v>
      </c>
      <c r="M194" s="144">
        <f t="shared" ca="1" si="23"/>
        <v>106.21016208340922</v>
      </c>
      <c r="N194" s="144">
        <f t="shared" ca="1" si="23"/>
        <v>8.5687488617738108</v>
      </c>
      <c r="O194" s="144">
        <f t="shared" ca="1" si="23"/>
        <v>64.892642505918772</v>
      </c>
      <c r="P194" s="144">
        <f t="shared" ca="1" si="23"/>
        <v>1</v>
      </c>
      <c r="Q194" s="144">
        <f t="shared" ca="1" si="23"/>
        <v>0.91058095064651245</v>
      </c>
    </row>
    <row r="195" spans="1:17" x14ac:dyDescent="0.25">
      <c r="A195" s="145">
        <v>42575</v>
      </c>
      <c r="B195" s="144">
        <v>1.1013999999999999</v>
      </c>
      <c r="C195" s="144">
        <v>71.080600000000004</v>
      </c>
      <c r="D195" s="144">
        <v>9.3847000000000005</v>
      </c>
      <c r="E195" s="144">
        <v>116.86</v>
      </c>
      <c r="F195" s="144">
        <v>0.84108000000000005</v>
      </c>
      <c r="G195" s="144">
        <v>1.0860000000000001</v>
      </c>
      <c r="I195" s="144">
        <v>1</v>
      </c>
      <c r="J195" s="145">
        <f t="shared" si="17"/>
        <v>42575</v>
      </c>
      <c r="K195" s="144">
        <f t="shared" ref="K195:Q204" ca="1" si="24">OFFSET($A195,0,K$3)/OFFSET($A195,0,$P$3)</f>
        <v>0.98601779553295821</v>
      </c>
      <c r="L195" s="144">
        <f t="shared" ca="1" si="24"/>
        <v>0.76364626838569105</v>
      </c>
      <c r="M195" s="144">
        <f t="shared" ca="1" si="24"/>
        <v>106.10132558561831</v>
      </c>
      <c r="N195" s="144">
        <f t="shared" ca="1" si="24"/>
        <v>8.5207009260940634</v>
      </c>
      <c r="O195" s="144">
        <f t="shared" ca="1" si="24"/>
        <v>64.536589794806616</v>
      </c>
      <c r="P195" s="144">
        <f t="shared" ca="1" si="24"/>
        <v>1</v>
      </c>
      <c r="Q195" s="144">
        <f t="shared" ca="1" si="24"/>
        <v>0.90793535500272382</v>
      </c>
    </row>
    <row r="196" spans="1:17" x14ac:dyDescent="0.25">
      <c r="A196" s="145">
        <v>42574</v>
      </c>
      <c r="B196" s="144">
        <v>1.1013999999999999</v>
      </c>
      <c r="C196" s="144">
        <v>71.080600000000004</v>
      </c>
      <c r="D196" s="144">
        <v>9.3847000000000005</v>
      </c>
      <c r="E196" s="144">
        <v>116.86</v>
      </c>
      <c r="F196" s="144">
        <v>0.84108000000000005</v>
      </c>
      <c r="G196" s="144">
        <v>1.0860000000000001</v>
      </c>
      <c r="I196" s="144">
        <v>1</v>
      </c>
      <c r="J196" s="145">
        <f t="shared" si="17"/>
        <v>42574</v>
      </c>
      <c r="K196" s="144">
        <f t="shared" ca="1" si="24"/>
        <v>0.98601779553295821</v>
      </c>
      <c r="L196" s="144">
        <f t="shared" ca="1" si="24"/>
        <v>0.76364626838569105</v>
      </c>
      <c r="M196" s="144">
        <f t="shared" ca="1" si="24"/>
        <v>106.10132558561831</v>
      </c>
      <c r="N196" s="144">
        <f t="shared" ca="1" si="24"/>
        <v>8.5207009260940634</v>
      </c>
      <c r="O196" s="144">
        <f t="shared" ca="1" si="24"/>
        <v>64.536589794806616</v>
      </c>
      <c r="P196" s="144">
        <f t="shared" ca="1" si="24"/>
        <v>1</v>
      </c>
      <c r="Q196" s="144">
        <f t="shared" ca="1" si="24"/>
        <v>0.90793535500272382</v>
      </c>
    </row>
    <row r="197" spans="1:17" x14ac:dyDescent="0.25">
      <c r="A197" s="145">
        <v>42573</v>
      </c>
      <c r="B197" s="144">
        <v>1.1013999999999999</v>
      </c>
      <c r="C197" s="144">
        <v>71.080600000000004</v>
      </c>
      <c r="D197" s="144">
        <v>9.3847000000000005</v>
      </c>
      <c r="E197" s="144">
        <v>116.86</v>
      </c>
      <c r="F197" s="144">
        <v>0.84108000000000005</v>
      </c>
      <c r="G197" s="144">
        <v>1.0860000000000001</v>
      </c>
      <c r="I197" s="144">
        <v>1</v>
      </c>
      <c r="J197" s="145">
        <f t="shared" ref="J197:J260" si="25">A197</f>
        <v>42573</v>
      </c>
      <c r="K197" s="144">
        <f t="shared" ca="1" si="24"/>
        <v>0.98601779553295821</v>
      </c>
      <c r="L197" s="144">
        <f t="shared" ca="1" si="24"/>
        <v>0.76364626838569105</v>
      </c>
      <c r="M197" s="144">
        <f t="shared" ca="1" si="24"/>
        <v>106.10132558561831</v>
      </c>
      <c r="N197" s="144">
        <f t="shared" ca="1" si="24"/>
        <v>8.5207009260940634</v>
      </c>
      <c r="O197" s="144">
        <f t="shared" ca="1" si="24"/>
        <v>64.536589794806616</v>
      </c>
      <c r="P197" s="144">
        <f t="shared" ca="1" si="24"/>
        <v>1</v>
      </c>
      <c r="Q197" s="144">
        <f t="shared" ca="1" si="24"/>
        <v>0.90793535500272382</v>
      </c>
    </row>
    <row r="198" spans="1:17" x14ac:dyDescent="0.25">
      <c r="A198" s="145">
        <v>42572</v>
      </c>
      <c r="B198" s="144">
        <v>1.1014999999999999</v>
      </c>
      <c r="C198" s="144">
        <v>70.389700000000005</v>
      </c>
      <c r="D198" s="144">
        <v>9.3541000000000007</v>
      </c>
      <c r="E198" s="144">
        <v>117.05</v>
      </c>
      <c r="F198" s="144">
        <v>0.83594999999999997</v>
      </c>
      <c r="G198" s="144">
        <v>1.0871999999999999</v>
      </c>
      <c r="I198" s="144">
        <v>1</v>
      </c>
      <c r="J198" s="145">
        <f t="shared" si="25"/>
        <v>42572</v>
      </c>
      <c r="K198" s="144">
        <f t="shared" ca="1" si="24"/>
        <v>0.98701770313209258</v>
      </c>
      <c r="L198" s="144">
        <f t="shared" ca="1" si="24"/>
        <v>0.75891965501588743</v>
      </c>
      <c r="M198" s="144">
        <f t="shared" ca="1" si="24"/>
        <v>106.26418520199728</v>
      </c>
      <c r="N198" s="144">
        <f t="shared" ca="1" si="24"/>
        <v>8.4921470721743084</v>
      </c>
      <c r="O198" s="144">
        <f t="shared" ca="1" si="24"/>
        <v>63.903495233772141</v>
      </c>
      <c r="P198" s="144">
        <f t="shared" ca="1" si="24"/>
        <v>1</v>
      </c>
      <c r="Q198" s="144">
        <f t="shared" ca="1" si="24"/>
        <v>0.90785292782569227</v>
      </c>
    </row>
    <row r="199" spans="1:17" x14ac:dyDescent="0.25">
      <c r="A199" s="145">
        <v>42571</v>
      </c>
      <c r="B199" s="144">
        <v>1.1012999999999999</v>
      </c>
      <c r="C199" s="144">
        <v>69.787700000000001</v>
      </c>
      <c r="D199" s="144">
        <v>9.3552</v>
      </c>
      <c r="E199" s="144">
        <v>117.33</v>
      </c>
      <c r="F199" s="144">
        <v>0.83604999999999996</v>
      </c>
      <c r="G199" s="144">
        <v>1.0882000000000001</v>
      </c>
      <c r="I199" s="144">
        <v>1</v>
      </c>
      <c r="J199" s="145">
        <f t="shared" si="25"/>
        <v>42571</v>
      </c>
      <c r="K199" s="144">
        <f t="shared" ca="1" si="24"/>
        <v>0.9881049668573505</v>
      </c>
      <c r="L199" s="144">
        <f t="shared" ca="1" si="24"/>
        <v>0.75914827930627438</v>
      </c>
      <c r="M199" s="144">
        <f t="shared" ca="1" si="24"/>
        <v>106.53772813947154</v>
      </c>
      <c r="N199" s="144">
        <f t="shared" ca="1" si="24"/>
        <v>8.4946880958866799</v>
      </c>
      <c r="O199" s="144">
        <f t="shared" ca="1" si="24"/>
        <v>63.368473622082995</v>
      </c>
      <c r="P199" s="144">
        <f t="shared" ca="1" si="24"/>
        <v>1</v>
      </c>
      <c r="Q199" s="144">
        <f t="shared" ca="1" si="24"/>
        <v>0.90801779714882414</v>
      </c>
    </row>
    <row r="200" spans="1:17" x14ac:dyDescent="0.25">
      <c r="A200" s="145">
        <v>42570</v>
      </c>
      <c r="B200" s="144">
        <v>1.1034999999999999</v>
      </c>
      <c r="C200" s="144">
        <v>69.527199999999993</v>
      </c>
      <c r="D200" s="144">
        <v>9.3489000000000004</v>
      </c>
      <c r="E200" s="144">
        <v>117.2</v>
      </c>
      <c r="F200" s="144">
        <v>0.83950000000000002</v>
      </c>
      <c r="G200" s="144">
        <v>1.0876999999999999</v>
      </c>
      <c r="I200" s="144">
        <v>1</v>
      </c>
      <c r="J200" s="145">
        <f t="shared" si="25"/>
        <v>42570</v>
      </c>
      <c r="K200" s="144">
        <f t="shared" ca="1" si="24"/>
        <v>0.98568192115994557</v>
      </c>
      <c r="L200" s="144">
        <f t="shared" ca="1" si="24"/>
        <v>0.76076121431807886</v>
      </c>
      <c r="M200" s="144">
        <f t="shared" ca="1" si="24"/>
        <v>106.20752152242865</v>
      </c>
      <c r="N200" s="144">
        <f t="shared" ca="1" si="24"/>
        <v>8.4720434979610335</v>
      </c>
      <c r="O200" s="144">
        <f t="shared" ca="1" si="24"/>
        <v>63.0060715903942</v>
      </c>
      <c r="P200" s="144">
        <f t="shared" ca="1" si="24"/>
        <v>1</v>
      </c>
      <c r="Q200" s="144">
        <f t="shared" ca="1" si="24"/>
        <v>0.90620752152242867</v>
      </c>
    </row>
    <row r="201" spans="1:17" x14ac:dyDescent="0.25">
      <c r="A201" s="145">
        <v>42569</v>
      </c>
      <c r="B201" s="144">
        <v>1.1052999999999999</v>
      </c>
      <c r="C201" s="144">
        <v>69.714500000000001</v>
      </c>
      <c r="D201" s="144">
        <v>9.3627000000000002</v>
      </c>
      <c r="E201" s="144">
        <v>116.82</v>
      </c>
      <c r="F201" s="144">
        <v>0.83372000000000002</v>
      </c>
      <c r="G201" s="144">
        <v>1.0869</v>
      </c>
      <c r="I201" s="144">
        <v>1</v>
      </c>
      <c r="J201" s="145">
        <f t="shared" si="25"/>
        <v>42569</v>
      </c>
      <c r="K201" s="144">
        <f t="shared" ca="1" si="24"/>
        <v>0.98335293585451911</v>
      </c>
      <c r="L201" s="144">
        <f t="shared" ca="1" si="24"/>
        <v>0.75429295213969061</v>
      </c>
      <c r="M201" s="144">
        <f t="shared" ca="1" si="24"/>
        <v>105.69076268886275</v>
      </c>
      <c r="N201" s="144">
        <f t="shared" ca="1" si="24"/>
        <v>8.4707319279833531</v>
      </c>
      <c r="O201" s="144">
        <f t="shared" ca="1" si="24"/>
        <v>63.072921378811188</v>
      </c>
      <c r="P201" s="144">
        <f t="shared" ca="1" si="24"/>
        <v>1</v>
      </c>
      <c r="Q201" s="144">
        <f t="shared" ca="1" si="24"/>
        <v>0.90473174703700354</v>
      </c>
    </row>
    <row r="202" spans="1:17" x14ac:dyDescent="0.25">
      <c r="A202" s="145">
        <v>42568</v>
      </c>
      <c r="B202" s="144">
        <v>1.1128</v>
      </c>
      <c r="C202" s="144">
        <v>70.371099999999998</v>
      </c>
      <c r="D202" s="144">
        <v>9.3183000000000007</v>
      </c>
      <c r="E202" s="144">
        <v>117.63</v>
      </c>
      <c r="F202" s="144">
        <v>0.83274999999999999</v>
      </c>
      <c r="G202" s="144">
        <v>1.0899000000000001</v>
      </c>
      <c r="I202" s="144">
        <v>1</v>
      </c>
      <c r="J202" s="145">
        <f t="shared" si="25"/>
        <v>42568</v>
      </c>
      <c r="K202" s="144">
        <f t="shared" ca="1" si="24"/>
        <v>0.97942127965492454</v>
      </c>
      <c r="L202" s="144">
        <f t="shared" ca="1" si="24"/>
        <v>0.74833752695902223</v>
      </c>
      <c r="M202" s="144">
        <f t="shared" ca="1" si="24"/>
        <v>105.70632638389647</v>
      </c>
      <c r="N202" s="144">
        <f t="shared" ca="1" si="24"/>
        <v>8.3737419122933154</v>
      </c>
      <c r="O202" s="144">
        <f t="shared" ca="1" si="24"/>
        <v>63.237868439971244</v>
      </c>
      <c r="P202" s="144">
        <f t="shared" ca="1" si="24"/>
        <v>1</v>
      </c>
      <c r="Q202" s="144">
        <f t="shared" ca="1" si="24"/>
        <v>0.89863407620416969</v>
      </c>
    </row>
    <row r="203" spans="1:17" x14ac:dyDescent="0.25">
      <c r="A203" s="145">
        <v>42567</v>
      </c>
      <c r="B203" s="144">
        <v>1.1128</v>
      </c>
      <c r="C203" s="144">
        <v>70.371099999999998</v>
      </c>
      <c r="D203" s="144">
        <v>9.3183000000000007</v>
      </c>
      <c r="E203" s="144">
        <v>117.63</v>
      </c>
      <c r="F203" s="144">
        <v>0.83274999999999999</v>
      </c>
      <c r="G203" s="144">
        <v>1.0899000000000001</v>
      </c>
      <c r="I203" s="144">
        <v>1</v>
      </c>
      <c r="J203" s="145">
        <f t="shared" si="25"/>
        <v>42567</v>
      </c>
      <c r="K203" s="144">
        <f t="shared" ca="1" si="24"/>
        <v>0.97942127965492454</v>
      </c>
      <c r="L203" s="144">
        <f t="shared" ca="1" si="24"/>
        <v>0.74833752695902223</v>
      </c>
      <c r="M203" s="144">
        <f t="shared" ca="1" si="24"/>
        <v>105.70632638389647</v>
      </c>
      <c r="N203" s="144">
        <f t="shared" ca="1" si="24"/>
        <v>8.3737419122933154</v>
      </c>
      <c r="O203" s="144">
        <f t="shared" ca="1" si="24"/>
        <v>63.237868439971244</v>
      </c>
      <c r="P203" s="144">
        <f t="shared" ca="1" si="24"/>
        <v>1</v>
      </c>
      <c r="Q203" s="144">
        <f t="shared" ca="1" si="24"/>
        <v>0.89863407620416969</v>
      </c>
    </row>
    <row r="204" spans="1:17" x14ac:dyDescent="0.25">
      <c r="A204" s="145">
        <v>42566</v>
      </c>
      <c r="B204" s="144">
        <v>1.1128</v>
      </c>
      <c r="C204" s="144">
        <v>70.371099999999998</v>
      </c>
      <c r="D204" s="144">
        <v>9.3183000000000007</v>
      </c>
      <c r="E204" s="144">
        <v>117.63</v>
      </c>
      <c r="F204" s="144">
        <v>0.83274999999999999</v>
      </c>
      <c r="G204" s="144">
        <v>1.0899000000000001</v>
      </c>
      <c r="I204" s="144">
        <v>1</v>
      </c>
      <c r="J204" s="145">
        <f t="shared" si="25"/>
        <v>42566</v>
      </c>
      <c r="K204" s="144">
        <f t="shared" ca="1" si="24"/>
        <v>0.97942127965492454</v>
      </c>
      <c r="L204" s="144">
        <f t="shared" ca="1" si="24"/>
        <v>0.74833752695902223</v>
      </c>
      <c r="M204" s="144">
        <f t="shared" ca="1" si="24"/>
        <v>105.70632638389647</v>
      </c>
      <c r="N204" s="144">
        <f t="shared" ca="1" si="24"/>
        <v>8.3737419122933154</v>
      </c>
      <c r="O204" s="144">
        <f t="shared" ca="1" si="24"/>
        <v>63.237868439971244</v>
      </c>
      <c r="P204" s="144">
        <f t="shared" ca="1" si="24"/>
        <v>1</v>
      </c>
      <c r="Q204" s="144">
        <f t="shared" ca="1" si="24"/>
        <v>0.89863407620416969</v>
      </c>
    </row>
    <row r="205" spans="1:17" x14ac:dyDescent="0.25">
      <c r="A205" s="145">
        <v>42565</v>
      </c>
      <c r="B205" s="144">
        <v>1.1156999999999999</v>
      </c>
      <c r="C205" s="144">
        <v>70.468699999999998</v>
      </c>
      <c r="D205" s="144">
        <v>9.3247</v>
      </c>
      <c r="E205" s="144">
        <v>117.88</v>
      </c>
      <c r="F205" s="144">
        <v>0.83311000000000002</v>
      </c>
      <c r="G205" s="144">
        <v>1.0900000000000001</v>
      </c>
      <c r="I205" s="144">
        <v>1</v>
      </c>
      <c r="J205" s="145">
        <f t="shared" si="25"/>
        <v>42565</v>
      </c>
      <c r="K205" s="144">
        <f t="shared" ref="K205:Q214" ca="1" si="26">OFFSET($A205,0,K$3)/OFFSET($A205,0,$P$3)</f>
        <v>0.97696513399659424</v>
      </c>
      <c r="L205" s="144">
        <f t="shared" ca="1" si="26"/>
        <v>0.7467150667742225</v>
      </c>
      <c r="M205" s="144">
        <f t="shared" ca="1" si="26"/>
        <v>105.65564219772341</v>
      </c>
      <c r="N205" s="144">
        <f t="shared" ca="1" si="26"/>
        <v>8.3577126467688458</v>
      </c>
      <c r="O205" s="144">
        <f t="shared" ca="1" si="26"/>
        <v>63.160975172537427</v>
      </c>
      <c r="P205" s="144">
        <f t="shared" ca="1" si="26"/>
        <v>1</v>
      </c>
      <c r="Q205" s="144">
        <f t="shared" ca="1" si="26"/>
        <v>0.8962982880702699</v>
      </c>
    </row>
    <row r="206" spans="1:17" x14ac:dyDescent="0.25">
      <c r="A206" s="145">
        <v>42564</v>
      </c>
      <c r="B206" s="144">
        <v>1.1072</v>
      </c>
      <c r="C206" s="144">
        <v>70.640600000000006</v>
      </c>
      <c r="D206" s="144">
        <v>9.3145000000000007</v>
      </c>
      <c r="E206" s="144">
        <v>115.82</v>
      </c>
      <c r="F206" s="144">
        <v>0.83398000000000005</v>
      </c>
      <c r="G206" s="144">
        <v>1.0909</v>
      </c>
      <c r="I206" s="144">
        <v>1</v>
      </c>
      <c r="J206" s="145">
        <f t="shared" si="25"/>
        <v>42564</v>
      </c>
      <c r="K206" s="144">
        <f t="shared" ca="1" si="26"/>
        <v>0.98527817919075145</v>
      </c>
      <c r="L206" s="144">
        <f t="shared" ca="1" si="26"/>
        <v>0.75323338150289021</v>
      </c>
      <c r="M206" s="144">
        <f t="shared" ca="1" si="26"/>
        <v>104.60621387283237</v>
      </c>
      <c r="N206" s="144">
        <f t="shared" ca="1" si="26"/>
        <v>8.4126625722543356</v>
      </c>
      <c r="O206" s="144">
        <f t="shared" ca="1" si="26"/>
        <v>63.801119942196543</v>
      </c>
      <c r="P206" s="144">
        <f t="shared" ca="1" si="26"/>
        <v>1</v>
      </c>
      <c r="Q206" s="144">
        <f t="shared" ca="1" si="26"/>
        <v>0.90317919075144515</v>
      </c>
    </row>
    <row r="207" spans="1:17" x14ac:dyDescent="0.25">
      <c r="A207" s="145">
        <v>42563</v>
      </c>
      <c r="B207" s="144">
        <v>1.1092</v>
      </c>
      <c r="C207" s="144">
        <v>70.814400000000006</v>
      </c>
      <c r="D207" s="144">
        <v>9.3498999999999999</v>
      </c>
      <c r="E207" s="144">
        <v>115.29</v>
      </c>
      <c r="F207" s="144">
        <v>0.84275</v>
      </c>
      <c r="G207" s="144">
        <v>1.0904</v>
      </c>
      <c r="I207" s="144">
        <v>1</v>
      </c>
      <c r="J207" s="145">
        <f t="shared" si="25"/>
        <v>42563</v>
      </c>
      <c r="K207" s="144">
        <f t="shared" ca="1" si="26"/>
        <v>0.98305084745762716</v>
      </c>
      <c r="L207" s="144">
        <f t="shared" ca="1" si="26"/>
        <v>0.75978182473855038</v>
      </c>
      <c r="M207" s="144">
        <f t="shared" ca="1" si="26"/>
        <v>103.93977641543455</v>
      </c>
      <c r="N207" s="144">
        <f t="shared" ca="1" si="26"/>
        <v>8.4294085827623508</v>
      </c>
      <c r="O207" s="144">
        <f t="shared" ca="1" si="26"/>
        <v>63.842769563649483</v>
      </c>
      <c r="P207" s="144">
        <f t="shared" ca="1" si="26"/>
        <v>1</v>
      </c>
      <c r="Q207" s="144">
        <f t="shared" ca="1" si="26"/>
        <v>0.90155066714749377</v>
      </c>
    </row>
    <row r="208" spans="1:17" x14ac:dyDescent="0.25">
      <c r="A208" s="145">
        <v>42562</v>
      </c>
      <c r="B208" s="144">
        <v>1.1049</v>
      </c>
      <c r="C208" s="144">
        <v>70.986199999999997</v>
      </c>
      <c r="D208" s="144">
        <v>9.4061000000000003</v>
      </c>
      <c r="E208" s="144">
        <v>113.23</v>
      </c>
      <c r="F208" s="144">
        <v>0.85097</v>
      </c>
      <c r="G208" s="144">
        <v>1.0867</v>
      </c>
      <c r="I208" s="144">
        <v>1</v>
      </c>
      <c r="J208" s="145">
        <f t="shared" si="25"/>
        <v>42562</v>
      </c>
      <c r="K208" s="144">
        <f t="shared" ca="1" si="26"/>
        <v>0.98352792107883069</v>
      </c>
      <c r="L208" s="144">
        <f t="shared" ca="1" si="26"/>
        <v>0.77017829667843241</v>
      </c>
      <c r="M208" s="144">
        <f t="shared" ca="1" si="26"/>
        <v>102.47986243098923</v>
      </c>
      <c r="N208" s="144">
        <f t="shared" ca="1" si="26"/>
        <v>8.5130781066159837</v>
      </c>
      <c r="O208" s="144">
        <f t="shared" ca="1" si="26"/>
        <v>64.246719160104988</v>
      </c>
      <c r="P208" s="144">
        <f t="shared" ca="1" si="26"/>
        <v>1</v>
      </c>
      <c r="Q208" s="144">
        <f t="shared" ca="1" si="26"/>
        <v>0.90505928138293057</v>
      </c>
    </row>
    <row r="209" spans="1:17" x14ac:dyDescent="0.25">
      <c r="A209" s="145">
        <v>42561</v>
      </c>
      <c r="B209" s="144">
        <v>1.107</v>
      </c>
      <c r="C209" s="144">
        <v>70.955799999999996</v>
      </c>
      <c r="D209" s="144">
        <v>9.3930000000000007</v>
      </c>
      <c r="E209" s="144">
        <v>111.17</v>
      </c>
      <c r="F209" s="144">
        <v>0.85243000000000002</v>
      </c>
      <c r="G209" s="144">
        <v>1.0854999999999999</v>
      </c>
      <c r="I209" s="144">
        <v>1</v>
      </c>
      <c r="J209" s="145">
        <f t="shared" si="25"/>
        <v>42561</v>
      </c>
      <c r="K209" s="144">
        <f t="shared" ca="1" si="26"/>
        <v>0.98057813911472447</v>
      </c>
      <c r="L209" s="144">
        <f t="shared" ca="1" si="26"/>
        <v>0.77003613369467028</v>
      </c>
      <c r="M209" s="144">
        <f t="shared" ca="1" si="26"/>
        <v>100.4245709123758</v>
      </c>
      <c r="N209" s="144">
        <f t="shared" ca="1" si="26"/>
        <v>8.48509485094851</v>
      </c>
      <c r="O209" s="144">
        <f t="shared" ca="1" si="26"/>
        <v>64.097380307136405</v>
      </c>
      <c r="P209" s="144">
        <f t="shared" ca="1" si="26"/>
        <v>1</v>
      </c>
      <c r="Q209" s="144">
        <f t="shared" ca="1" si="26"/>
        <v>0.90334236675700097</v>
      </c>
    </row>
    <row r="210" spans="1:17" x14ac:dyDescent="0.25">
      <c r="A210" s="145">
        <v>42560</v>
      </c>
      <c r="B210" s="144">
        <v>1.107</v>
      </c>
      <c r="C210" s="144">
        <v>70.955799999999996</v>
      </c>
      <c r="D210" s="144">
        <v>9.3930000000000007</v>
      </c>
      <c r="E210" s="144">
        <v>111.17</v>
      </c>
      <c r="F210" s="144">
        <v>0.85243000000000002</v>
      </c>
      <c r="G210" s="144">
        <v>1.0854999999999999</v>
      </c>
      <c r="I210" s="144">
        <v>1</v>
      </c>
      <c r="J210" s="145">
        <f t="shared" si="25"/>
        <v>42560</v>
      </c>
      <c r="K210" s="144">
        <f t="shared" ca="1" si="26"/>
        <v>0.98057813911472447</v>
      </c>
      <c r="L210" s="144">
        <f t="shared" ca="1" si="26"/>
        <v>0.77003613369467028</v>
      </c>
      <c r="M210" s="144">
        <f t="shared" ca="1" si="26"/>
        <v>100.4245709123758</v>
      </c>
      <c r="N210" s="144">
        <f t="shared" ca="1" si="26"/>
        <v>8.48509485094851</v>
      </c>
      <c r="O210" s="144">
        <f t="shared" ca="1" si="26"/>
        <v>64.097380307136405</v>
      </c>
      <c r="P210" s="144">
        <f t="shared" ca="1" si="26"/>
        <v>1</v>
      </c>
      <c r="Q210" s="144">
        <f t="shared" ca="1" si="26"/>
        <v>0.90334236675700097</v>
      </c>
    </row>
    <row r="211" spans="1:17" x14ac:dyDescent="0.25">
      <c r="A211" s="145">
        <v>42559</v>
      </c>
      <c r="B211" s="144">
        <v>1.107</v>
      </c>
      <c r="C211" s="144">
        <v>70.955799999999996</v>
      </c>
      <c r="D211" s="144">
        <v>9.3930000000000007</v>
      </c>
      <c r="E211" s="144">
        <v>111.17</v>
      </c>
      <c r="F211" s="144">
        <v>0.85243000000000002</v>
      </c>
      <c r="G211" s="144">
        <v>1.0854999999999999</v>
      </c>
      <c r="I211" s="144">
        <v>1</v>
      </c>
      <c r="J211" s="145">
        <f t="shared" si="25"/>
        <v>42559</v>
      </c>
      <c r="K211" s="144">
        <f t="shared" ca="1" si="26"/>
        <v>0.98057813911472447</v>
      </c>
      <c r="L211" s="144">
        <f t="shared" ca="1" si="26"/>
        <v>0.77003613369467028</v>
      </c>
      <c r="M211" s="144">
        <f t="shared" ca="1" si="26"/>
        <v>100.4245709123758</v>
      </c>
      <c r="N211" s="144">
        <f t="shared" ca="1" si="26"/>
        <v>8.48509485094851</v>
      </c>
      <c r="O211" s="144">
        <f t="shared" ca="1" si="26"/>
        <v>64.097380307136405</v>
      </c>
      <c r="P211" s="144">
        <f t="shared" ca="1" si="26"/>
        <v>1</v>
      </c>
      <c r="Q211" s="144">
        <f t="shared" ca="1" si="26"/>
        <v>0.90334236675700097</v>
      </c>
    </row>
    <row r="212" spans="1:17" x14ac:dyDescent="0.25">
      <c r="A212" s="145">
        <v>42558</v>
      </c>
      <c r="B212" s="144">
        <v>1.1080000000000001</v>
      </c>
      <c r="C212" s="144">
        <v>70.928600000000003</v>
      </c>
      <c r="D212" s="144">
        <v>9.3781999999999996</v>
      </c>
      <c r="E212" s="144">
        <v>111.9</v>
      </c>
      <c r="F212" s="144">
        <v>0.85085</v>
      </c>
      <c r="G212" s="144">
        <v>1.0820000000000001</v>
      </c>
      <c r="I212" s="144">
        <v>1</v>
      </c>
      <c r="J212" s="145">
        <f t="shared" si="25"/>
        <v>42558</v>
      </c>
      <c r="K212" s="144">
        <f t="shared" ca="1" si="26"/>
        <v>0.97653429602888087</v>
      </c>
      <c r="L212" s="144">
        <f t="shared" ca="1" si="26"/>
        <v>0.76791516245487357</v>
      </c>
      <c r="M212" s="144">
        <f t="shared" ca="1" si="26"/>
        <v>100.9927797833935</v>
      </c>
      <c r="N212" s="144">
        <f t="shared" ca="1" si="26"/>
        <v>8.464079422382671</v>
      </c>
      <c r="O212" s="144">
        <f t="shared" ca="1" si="26"/>
        <v>64.014981949458488</v>
      </c>
      <c r="P212" s="144">
        <f t="shared" ca="1" si="26"/>
        <v>1</v>
      </c>
      <c r="Q212" s="144">
        <f t="shared" ca="1" si="26"/>
        <v>0.90252707581227432</v>
      </c>
    </row>
    <row r="213" spans="1:17" x14ac:dyDescent="0.25">
      <c r="A213" s="145">
        <v>42557</v>
      </c>
      <c r="B213" s="144">
        <v>1.1069</v>
      </c>
      <c r="C213" s="144">
        <v>71.616500000000002</v>
      </c>
      <c r="D213" s="144">
        <v>9.3516999999999992</v>
      </c>
      <c r="E213" s="144">
        <v>111.48</v>
      </c>
      <c r="F213" s="144">
        <v>0.85299999999999998</v>
      </c>
      <c r="G213" s="144">
        <v>1.0821000000000001</v>
      </c>
      <c r="I213" s="144">
        <v>1</v>
      </c>
      <c r="J213" s="145">
        <f t="shared" si="25"/>
        <v>42557</v>
      </c>
      <c r="K213" s="144">
        <f t="shared" ca="1" si="26"/>
        <v>0.97759508537356588</v>
      </c>
      <c r="L213" s="144">
        <f t="shared" ca="1" si="26"/>
        <v>0.7706206522721113</v>
      </c>
      <c r="M213" s="144">
        <f t="shared" ca="1" si="26"/>
        <v>100.71370494172916</v>
      </c>
      <c r="N213" s="144">
        <f t="shared" ca="1" si="26"/>
        <v>8.44855000451712</v>
      </c>
      <c r="O213" s="144">
        <f t="shared" ca="1" si="26"/>
        <v>64.700063239678386</v>
      </c>
      <c r="P213" s="144">
        <f t="shared" ca="1" si="26"/>
        <v>1</v>
      </c>
      <c r="Q213" s="144">
        <f t="shared" ca="1" si="26"/>
        <v>0.90342397687234621</v>
      </c>
    </row>
    <row r="214" spans="1:17" x14ac:dyDescent="0.25">
      <c r="A214" s="145">
        <v>42556</v>
      </c>
      <c r="B214" s="144">
        <v>1.1146</v>
      </c>
      <c r="C214" s="144">
        <v>71.607500000000002</v>
      </c>
      <c r="D214" s="144">
        <v>9.3196999999999992</v>
      </c>
      <c r="E214" s="144">
        <v>113.5</v>
      </c>
      <c r="F214" s="144">
        <v>0.84997</v>
      </c>
      <c r="G214" s="144">
        <v>1.0837000000000001</v>
      </c>
      <c r="I214" s="144">
        <v>1</v>
      </c>
      <c r="J214" s="145">
        <f t="shared" si="25"/>
        <v>42556</v>
      </c>
      <c r="K214" s="144">
        <f t="shared" ca="1" si="26"/>
        <v>0.97227705006280285</v>
      </c>
      <c r="L214" s="144">
        <f t="shared" ca="1" si="26"/>
        <v>0.76257850349901313</v>
      </c>
      <c r="M214" s="144">
        <f t="shared" ca="1" si="26"/>
        <v>101.83025300556253</v>
      </c>
      <c r="N214" s="144">
        <f t="shared" ca="1" si="26"/>
        <v>8.3614749685985998</v>
      </c>
      <c r="O214" s="144">
        <f t="shared" ca="1" si="26"/>
        <v>64.245020635205449</v>
      </c>
      <c r="P214" s="144">
        <f t="shared" ca="1" si="26"/>
        <v>1</v>
      </c>
      <c r="Q214" s="144">
        <f t="shared" ca="1" si="26"/>
        <v>0.897182845863987</v>
      </c>
    </row>
    <row r="215" spans="1:17" x14ac:dyDescent="0.25">
      <c r="A215" s="145">
        <v>42555</v>
      </c>
      <c r="B215" s="144">
        <v>1.1137999999999999</v>
      </c>
      <c r="C215" s="144">
        <v>71.011499999999998</v>
      </c>
      <c r="D215" s="144">
        <v>9.2538</v>
      </c>
      <c r="E215" s="144">
        <v>114.29</v>
      </c>
      <c r="F215" s="144">
        <v>0.83904999999999996</v>
      </c>
      <c r="G215" s="144">
        <v>1.0839000000000001</v>
      </c>
      <c r="I215" s="144">
        <v>1</v>
      </c>
      <c r="J215" s="145">
        <f t="shared" si="25"/>
        <v>42555</v>
      </c>
      <c r="K215" s="144">
        <f t="shared" ref="K215:Q224" ca="1" si="27">OFFSET($A215,0,K$3)/OFFSET($A215,0,$P$3)</f>
        <v>0.97315496498473708</v>
      </c>
      <c r="L215" s="144">
        <f t="shared" ca="1" si="27"/>
        <v>0.75332196085473158</v>
      </c>
      <c r="M215" s="144">
        <f t="shared" ca="1" si="27"/>
        <v>102.61267732088348</v>
      </c>
      <c r="N215" s="144">
        <f t="shared" ca="1" si="27"/>
        <v>8.3083138804094094</v>
      </c>
      <c r="O215" s="144">
        <f t="shared" ca="1" si="27"/>
        <v>63.756060333991741</v>
      </c>
      <c r="P215" s="144">
        <f t="shared" ca="1" si="27"/>
        <v>1</v>
      </c>
      <c r="Q215" s="144">
        <f t="shared" ca="1" si="27"/>
        <v>0.89782725803555408</v>
      </c>
    </row>
    <row r="216" spans="1:17" x14ac:dyDescent="0.25">
      <c r="A216" s="145">
        <v>42554</v>
      </c>
      <c r="B216" s="144">
        <v>1.1134999999999999</v>
      </c>
      <c r="C216" s="144">
        <v>71.308700000000002</v>
      </c>
      <c r="D216" s="144">
        <v>9.2974999999999994</v>
      </c>
      <c r="E216" s="144">
        <v>114.29</v>
      </c>
      <c r="F216" s="144">
        <v>0.83830000000000005</v>
      </c>
      <c r="G216" s="144">
        <v>1.0834999999999999</v>
      </c>
      <c r="I216" s="144">
        <v>1</v>
      </c>
      <c r="J216" s="145">
        <f t="shared" si="25"/>
        <v>42554</v>
      </c>
      <c r="K216" s="144">
        <f t="shared" ca="1" si="27"/>
        <v>0.97305792546026038</v>
      </c>
      <c r="L216" s="144">
        <f t="shared" ca="1" si="27"/>
        <v>0.75285136955545584</v>
      </c>
      <c r="M216" s="144">
        <f t="shared" ca="1" si="27"/>
        <v>102.64032330489449</v>
      </c>
      <c r="N216" s="144">
        <f t="shared" ca="1" si="27"/>
        <v>8.3497979344409519</v>
      </c>
      <c r="O216" s="144">
        <f t="shared" ca="1" si="27"/>
        <v>64.040143691064216</v>
      </c>
      <c r="P216" s="144">
        <f t="shared" ca="1" si="27"/>
        <v>1</v>
      </c>
      <c r="Q216" s="144">
        <f t="shared" ca="1" si="27"/>
        <v>0.89806915132465204</v>
      </c>
    </row>
    <row r="217" spans="1:17" x14ac:dyDescent="0.25">
      <c r="A217" s="145">
        <v>42553</v>
      </c>
      <c r="B217" s="144">
        <v>1.1134999999999999</v>
      </c>
      <c r="C217" s="144">
        <v>71.308700000000002</v>
      </c>
      <c r="D217" s="144">
        <v>9.2974999999999994</v>
      </c>
      <c r="E217" s="144">
        <v>114.29</v>
      </c>
      <c r="F217" s="144">
        <v>0.83830000000000005</v>
      </c>
      <c r="G217" s="144">
        <v>1.0834999999999999</v>
      </c>
      <c r="I217" s="144">
        <v>1</v>
      </c>
      <c r="J217" s="145">
        <f t="shared" si="25"/>
        <v>42553</v>
      </c>
      <c r="K217" s="144">
        <f t="shared" ca="1" si="27"/>
        <v>0.97305792546026038</v>
      </c>
      <c r="L217" s="144">
        <f t="shared" ca="1" si="27"/>
        <v>0.75285136955545584</v>
      </c>
      <c r="M217" s="144">
        <f t="shared" ca="1" si="27"/>
        <v>102.64032330489449</v>
      </c>
      <c r="N217" s="144">
        <f t="shared" ca="1" si="27"/>
        <v>8.3497979344409519</v>
      </c>
      <c r="O217" s="144">
        <f t="shared" ca="1" si="27"/>
        <v>64.040143691064216</v>
      </c>
      <c r="P217" s="144">
        <f t="shared" ca="1" si="27"/>
        <v>1</v>
      </c>
      <c r="Q217" s="144">
        <f t="shared" ca="1" si="27"/>
        <v>0.89806915132465204</v>
      </c>
    </row>
    <row r="218" spans="1:17" x14ac:dyDescent="0.25">
      <c r="A218" s="145">
        <v>42552</v>
      </c>
      <c r="B218" s="144">
        <v>1.1134999999999999</v>
      </c>
      <c r="C218" s="144">
        <v>71.308700000000002</v>
      </c>
      <c r="D218" s="144">
        <v>9.2974999999999994</v>
      </c>
      <c r="E218" s="144">
        <v>114.29</v>
      </c>
      <c r="F218" s="144">
        <v>0.83830000000000005</v>
      </c>
      <c r="G218" s="144">
        <v>1.0834999999999999</v>
      </c>
      <c r="I218" s="144">
        <v>1</v>
      </c>
      <c r="J218" s="145">
        <f t="shared" si="25"/>
        <v>42552</v>
      </c>
      <c r="K218" s="144">
        <f t="shared" ca="1" si="27"/>
        <v>0.97305792546026038</v>
      </c>
      <c r="L218" s="144">
        <f t="shared" ca="1" si="27"/>
        <v>0.75285136955545584</v>
      </c>
      <c r="M218" s="144">
        <f t="shared" ca="1" si="27"/>
        <v>102.64032330489449</v>
      </c>
      <c r="N218" s="144">
        <f t="shared" ca="1" si="27"/>
        <v>8.3497979344409519</v>
      </c>
      <c r="O218" s="144">
        <f t="shared" ca="1" si="27"/>
        <v>64.040143691064216</v>
      </c>
      <c r="P218" s="144">
        <f t="shared" ca="1" si="27"/>
        <v>1</v>
      </c>
      <c r="Q218" s="144">
        <f t="shared" ca="1" si="27"/>
        <v>0.89806915132465204</v>
      </c>
    </row>
    <row r="219" spans="1:17" x14ac:dyDescent="0.25">
      <c r="A219" s="145">
        <v>42551</v>
      </c>
      <c r="B219" s="144">
        <v>1.1102000000000001</v>
      </c>
      <c r="C219" s="144">
        <v>71.52</v>
      </c>
      <c r="D219" s="144">
        <v>9.3008000000000006</v>
      </c>
      <c r="E219" s="144">
        <v>114.05</v>
      </c>
      <c r="F219" s="144">
        <v>0.82650000000000001</v>
      </c>
      <c r="G219" s="144">
        <v>1.0867</v>
      </c>
      <c r="I219" s="144">
        <v>1</v>
      </c>
      <c r="J219" s="145">
        <f t="shared" si="25"/>
        <v>42551</v>
      </c>
      <c r="K219" s="144">
        <f t="shared" ca="1" si="27"/>
        <v>0.97883264276706894</v>
      </c>
      <c r="L219" s="144">
        <f t="shared" ca="1" si="27"/>
        <v>0.74446045757521162</v>
      </c>
      <c r="M219" s="144">
        <f t="shared" ca="1" si="27"/>
        <v>102.72923797513961</v>
      </c>
      <c r="N219" s="144">
        <f t="shared" ca="1" si="27"/>
        <v>8.3775896234912626</v>
      </c>
      <c r="O219" s="144">
        <f t="shared" ca="1" si="27"/>
        <v>64.420825076562778</v>
      </c>
      <c r="P219" s="144">
        <f t="shared" ca="1" si="27"/>
        <v>1</v>
      </c>
      <c r="Q219" s="144">
        <f t="shared" ca="1" si="27"/>
        <v>0.90073860565663844</v>
      </c>
    </row>
    <row r="220" spans="1:17" x14ac:dyDescent="0.25">
      <c r="A220" s="145">
        <v>42550</v>
      </c>
      <c r="B220" s="144">
        <v>1.109</v>
      </c>
      <c r="C220" s="144">
        <v>71.045199999999994</v>
      </c>
      <c r="D220" s="144">
        <v>9.3064999999999998</v>
      </c>
      <c r="E220" s="144">
        <v>113.85</v>
      </c>
      <c r="F220" s="144">
        <v>0.82550000000000001</v>
      </c>
      <c r="G220" s="144">
        <v>1.0853999999999999</v>
      </c>
      <c r="I220" s="144">
        <v>1</v>
      </c>
      <c r="J220" s="145">
        <f t="shared" si="25"/>
        <v>42550</v>
      </c>
      <c r="K220" s="144">
        <f t="shared" ca="1" si="27"/>
        <v>0.97871956717763742</v>
      </c>
      <c r="L220" s="144">
        <f t="shared" ca="1" si="27"/>
        <v>0.7443642921550947</v>
      </c>
      <c r="M220" s="144">
        <f t="shared" ca="1" si="27"/>
        <v>102.66005410279531</v>
      </c>
      <c r="N220" s="144">
        <f t="shared" ca="1" si="27"/>
        <v>8.3917944093778178</v>
      </c>
      <c r="O220" s="144">
        <f t="shared" ca="1" si="27"/>
        <v>64.062398557258788</v>
      </c>
      <c r="P220" s="144">
        <f t="shared" ca="1" si="27"/>
        <v>1</v>
      </c>
      <c r="Q220" s="144">
        <f t="shared" ca="1" si="27"/>
        <v>0.90171325518485124</v>
      </c>
    </row>
    <row r="221" spans="1:17" x14ac:dyDescent="0.25">
      <c r="A221" s="145">
        <v>42549</v>
      </c>
      <c r="B221" s="144">
        <v>1.1073</v>
      </c>
      <c r="C221" s="144">
        <v>71.688299999999998</v>
      </c>
      <c r="D221" s="144">
        <v>9.3785000000000007</v>
      </c>
      <c r="E221" s="144">
        <v>113.4</v>
      </c>
      <c r="F221" s="144">
        <v>0.82720000000000005</v>
      </c>
      <c r="G221" s="144">
        <v>1.0845</v>
      </c>
      <c r="I221" s="144">
        <v>1</v>
      </c>
      <c r="J221" s="145">
        <f t="shared" si="25"/>
        <v>42549</v>
      </c>
      <c r="K221" s="144">
        <f t="shared" ca="1" si="27"/>
        <v>0.97940937415334606</v>
      </c>
      <c r="L221" s="144">
        <f t="shared" ca="1" si="27"/>
        <v>0.74704235527860574</v>
      </c>
      <c r="M221" s="144">
        <f t="shared" ca="1" si="27"/>
        <v>102.41127065835818</v>
      </c>
      <c r="N221" s="144">
        <f t="shared" ca="1" si="27"/>
        <v>8.4697010746861743</v>
      </c>
      <c r="O221" s="144">
        <f t="shared" ca="1" si="27"/>
        <v>64.741533459766998</v>
      </c>
      <c r="P221" s="144">
        <f t="shared" ca="1" si="27"/>
        <v>1</v>
      </c>
      <c r="Q221" s="144">
        <f t="shared" ca="1" si="27"/>
        <v>0.90309762485324663</v>
      </c>
    </row>
    <row r="222" spans="1:17" x14ac:dyDescent="0.25">
      <c r="A222" s="145">
        <v>42548</v>
      </c>
      <c r="B222" s="144">
        <v>1.0998000000000001</v>
      </c>
      <c r="C222" s="144">
        <v>71.792199999999994</v>
      </c>
      <c r="D222" s="144">
        <v>9.4045000000000005</v>
      </c>
      <c r="E222" s="144">
        <v>111.8</v>
      </c>
      <c r="F222" s="144">
        <v>0.83399999999999996</v>
      </c>
      <c r="G222" s="144">
        <v>1.0736000000000001</v>
      </c>
      <c r="I222" s="144">
        <v>1</v>
      </c>
      <c r="J222" s="145">
        <f t="shared" si="25"/>
        <v>42548</v>
      </c>
      <c r="K222" s="144">
        <f t="shared" ca="1" si="27"/>
        <v>0.97617748681578465</v>
      </c>
      <c r="L222" s="144">
        <f t="shared" ca="1" si="27"/>
        <v>0.7583196944899071</v>
      </c>
      <c r="M222" s="144">
        <f t="shared" ca="1" si="27"/>
        <v>101.65484633569739</v>
      </c>
      <c r="N222" s="144">
        <f t="shared" ca="1" si="27"/>
        <v>8.5511002000363696</v>
      </c>
      <c r="O222" s="144">
        <f t="shared" ca="1" si="27"/>
        <v>65.277505000909244</v>
      </c>
      <c r="P222" s="144">
        <f t="shared" ca="1" si="27"/>
        <v>1</v>
      </c>
      <c r="Q222" s="144">
        <f t="shared" ca="1" si="27"/>
        <v>0.90925622840516451</v>
      </c>
    </row>
    <row r="223" spans="1:17" x14ac:dyDescent="0.25">
      <c r="A223" s="145">
        <v>42547</v>
      </c>
      <c r="B223" s="144">
        <v>1.1066</v>
      </c>
      <c r="C223" s="144">
        <v>72.628200000000007</v>
      </c>
      <c r="D223" s="144">
        <v>9.42</v>
      </c>
      <c r="E223" s="144">
        <v>113.23</v>
      </c>
      <c r="F223" s="144">
        <v>0.8075</v>
      </c>
      <c r="G223" s="144">
        <v>1.0808</v>
      </c>
      <c r="I223" s="144">
        <v>1</v>
      </c>
      <c r="J223" s="145">
        <f t="shared" si="25"/>
        <v>42547</v>
      </c>
      <c r="K223" s="144">
        <f t="shared" ca="1" si="27"/>
        <v>0.97668534249051142</v>
      </c>
      <c r="L223" s="144">
        <f t="shared" ca="1" si="27"/>
        <v>0.72971263329116209</v>
      </c>
      <c r="M223" s="144">
        <f t="shared" ca="1" si="27"/>
        <v>102.32242906199168</v>
      </c>
      <c r="N223" s="144">
        <f t="shared" ca="1" si="27"/>
        <v>8.5125609976504606</v>
      </c>
      <c r="O223" s="144">
        <f t="shared" ca="1" si="27"/>
        <v>65.631845291885057</v>
      </c>
      <c r="P223" s="144">
        <f t="shared" ca="1" si="27"/>
        <v>1</v>
      </c>
      <c r="Q223" s="144">
        <f t="shared" ca="1" si="27"/>
        <v>0.90366889571660947</v>
      </c>
    </row>
    <row r="224" spans="1:17" x14ac:dyDescent="0.25">
      <c r="A224" s="145">
        <v>42546</v>
      </c>
      <c r="B224" s="144">
        <v>1.1066</v>
      </c>
      <c r="C224" s="144">
        <v>72.628200000000007</v>
      </c>
      <c r="D224" s="144">
        <v>9.42</v>
      </c>
      <c r="E224" s="144">
        <v>113.23</v>
      </c>
      <c r="F224" s="144">
        <v>0.8075</v>
      </c>
      <c r="G224" s="144">
        <v>1.0808</v>
      </c>
      <c r="I224" s="144">
        <v>1</v>
      </c>
      <c r="J224" s="145">
        <f t="shared" si="25"/>
        <v>42546</v>
      </c>
      <c r="K224" s="144">
        <f t="shared" ca="1" si="27"/>
        <v>0.97668534249051142</v>
      </c>
      <c r="L224" s="144">
        <f t="shared" ca="1" si="27"/>
        <v>0.72971263329116209</v>
      </c>
      <c r="M224" s="144">
        <f t="shared" ca="1" si="27"/>
        <v>102.32242906199168</v>
      </c>
      <c r="N224" s="144">
        <f t="shared" ca="1" si="27"/>
        <v>8.5125609976504606</v>
      </c>
      <c r="O224" s="144">
        <f t="shared" ca="1" si="27"/>
        <v>65.631845291885057</v>
      </c>
      <c r="P224" s="144">
        <f t="shared" ca="1" si="27"/>
        <v>1</v>
      </c>
      <c r="Q224" s="144">
        <f t="shared" ca="1" si="27"/>
        <v>0.90366889571660947</v>
      </c>
    </row>
    <row r="225" spans="1:17" x14ac:dyDescent="0.25">
      <c r="A225" s="145">
        <v>42545</v>
      </c>
      <c r="B225" s="144">
        <v>1.1066</v>
      </c>
      <c r="C225" s="144">
        <v>72.628200000000007</v>
      </c>
      <c r="D225" s="144">
        <v>9.42</v>
      </c>
      <c r="E225" s="144">
        <v>113.23</v>
      </c>
      <c r="F225" s="144">
        <v>0.8075</v>
      </c>
      <c r="G225" s="144">
        <v>1.0808</v>
      </c>
      <c r="I225" s="144">
        <v>1</v>
      </c>
      <c r="J225" s="145">
        <f t="shared" si="25"/>
        <v>42545</v>
      </c>
      <c r="K225" s="144">
        <f t="shared" ref="K225:Q234" ca="1" si="28">OFFSET($A225,0,K$3)/OFFSET($A225,0,$P$3)</f>
        <v>0.97668534249051142</v>
      </c>
      <c r="L225" s="144">
        <f t="shared" ca="1" si="28"/>
        <v>0.72971263329116209</v>
      </c>
      <c r="M225" s="144">
        <f t="shared" ca="1" si="28"/>
        <v>102.32242906199168</v>
      </c>
      <c r="N225" s="144">
        <f t="shared" ca="1" si="28"/>
        <v>8.5125609976504606</v>
      </c>
      <c r="O225" s="144">
        <f t="shared" ca="1" si="28"/>
        <v>65.631845291885057</v>
      </c>
      <c r="P225" s="144">
        <f t="shared" ca="1" si="28"/>
        <v>1</v>
      </c>
      <c r="Q225" s="144">
        <f t="shared" ca="1" si="28"/>
        <v>0.90366889571660947</v>
      </c>
    </row>
    <row r="226" spans="1:17" x14ac:dyDescent="0.25">
      <c r="A226" s="145">
        <v>42544</v>
      </c>
      <c r="B226" s="144">
        <v>1.1389</v>
      </c>
      <c r="C226" s="144">
        <v>72.954800000000006</v>
      </c>
      <c r="D226" s="144">
        <v>9.2993000000000006</v>
      </c>
      <c r="E226" s="144">
        <v>120.38</v>
      </c>
      <c r="F226" s="144">
        <v>0.76595000000000002</v>
      </c>
      <c r="G226" s="144">
        <v>1.0875999999999999</v>
      </c>
      <c r="I226" s="144">
        <v>1</v>
      </c>
      <c r="J226" s="145">
        <f t="shared" si="25"/>
        <v>42544</v>
      </c>
      <c r="K226" s="144">
        <f t="shared" ca="1" si="28"/>
        <v>0.95495653700939487</v>
      </c>
      <c r="L226" s="144">
        <f t="shared" ca="1" si="28"/>
        <v>0.67253490209851607</v>
      </c>
      <c r="M226" s="144">
        <f t="shared" ca="1" si="28"/>
        <v>105.69848099042936</v>
      </c>
      <c r="N226" s="144">
        <f t="shared" ca="1" si="28"/>
        <v>8.1651593642988853</v>
      </c>
      <c r="O226" s="144">
        <f t="shared" ca="1" si="28"/>
        <v>64.057248221968564</v>
      </c>
      <c r="P226" s="144">
        <f t="shared" ca="1" si="28"/>
        <v>1</v>
      </c>
      <c r="Q226" s="144">
        <f t="shared" ca="1" si="28"/>
        <v>0.87804021424181222</v>
      </c>
    </row>
    <row r="227" spans="1:17" x14ac:dyDescent="0.25">
      <c r="A227" s="145">
        <v>42543</v>
      </c>
      <c r="B227" s="144">
        <v>1.1283000000000001</v>
      </c>
      <c r="C227" s="144">
        <v>72.266000000000005</v>
      </c>
      <c r="D227" s="144">
        <v>9.3554999999999993</v>
      </c>
      <c r="E227" s="144">
        <v>118.01</v>
      </c>
      <c r="F227" s="144">
        <v>0.76793</v>
      </c>
      <c r="G227" s="144">
        <v>1.083</v>
      </c>
      <c r="I227" s="144">
        <v>1</v>
      </c>
      <c r="J227" s="145">
        <f t="shared" si="25"/>
        <v>42543</v>
      </c>
      <c r="K227" s="144">
        <f t="shared" ca="1" si="28"/>
        <v>0.95985110342993873</v>
      </c>
      <c r="L227" s="144">
        <f t="shared" ca="1" si="28"/>
        <v>0.68060799432774965</v>
      </c>
      <c r="M227" s="144">
        <f t="shared" ca="1" si="28"/>
        <v>104.59097757688558</v>
      </c>
      <c r="N227" s="144">
        <f t="shared" ca="1" si="28"/>
        <v>8.2916777452805093</v>
      </c>
      <c r="O227" s="144">
        <f t="shared" ca="1" si="28"/>
        <v>64.048568643091372</v>
      </c>
      <c r="P227" s="144">
        <f t="shared" ca="1" si="28"/>
        <v>1</v>
      </c>
      <c r="Q227" s="144">
        <f t="shared" ca="1" si="28"/>
        <v>0.88628910750686862</v>
      </c>
    </row>
    <row r="228" spans="1:17" x14ac:dyDescent="0.25">
      <c r="A228" s="145">
        <v>42542</v>
      </c>
      <c r="B228" s="144">
        <v>1.1314</v>
      </c>
      <c r="C228" s="144">
        <v>72.763800000000003</v>
      </c>
      <c r="D228" s="144">
        <v>9.3718000000000004</v>
      </c>
      <c r="E228" s="144">
        <v>118.39</v>
      </c>
      <c r="F228" s="144">
        <v>0.76754999999999995</v>
      </c>
      <c r="G228" s="144">
        <v>1.085</v>
      </c>
      <c r="I228" s="144">
        <v>1</v>
      </c>
      <c r="J228" s="145">
        <f t="shared" si="25"/>
        <v>42542</v>
      </c>
      <c r="K228" s="144">
        <f t="shared" ca="1" si="28"/>
        <v>0.95898886335513522</v>
      </c>
      <c r="L228" s="144">
        <f t="shared" ca="1" si="28"/>
        <v>0.67840728301219722</v>
      </c>
      <c r="M228" s="144">
        <f t="shared" ca="1" si="28"/>
        <v>104.64026869365388</v>
      </c>
      <c r="N228" s="144">
        <f t="shared" ca="1" si="28"/>
        <v>8.2833657415591304</v>
      </c>
      <c r="O228" s="144">
        <f t="shared" ca="1" si="28"/>
        <v>64.313063461198524</v>
      </c>
      <c r="P228" s="144">
        <f t="shared" ca="1" si="28"/>
        <v>1</v>
      </c>
      <c r="Q228" s="144">
        <f t="shared" ca="1" si="28"/>
        <v>0.88386070355312008</v>
      </c>
    </row>
    <row r="229" spans="1:17" x14ac:dyDescent="0.25">
      <c r="A229" s="145">
        <v>42541</v>
      </c>
      <c r="B229" s="144">
        <v>1.1332</v>
      </c>
      <c r="C229" s="144">
        <v>72.423100000000005</v>
      </c>
      <c r="D229" s="144">
        <v>9.3574999999999999</v>
      </c>
      <c r="E229" s="144">
        <v>118.57</v>
      </c>
      <c r="F229" s="144">
        <v>0.77375000000000005</v>
      </c>
      <c r="G229" s="144">
        <v>1.0884</v>
      </c>
      <c r="I229" s="144">
        <v>1</v>
      </c>
      <c r="J229" s="145">
        <f t="shared" si="25"/>
        <v>42541</v>
      </c>
      <c r="K229" s="144">
        <f t="shared" ca="1" si="28"/>
        <v>0.9604659371690788</v>
      </c>
      <c r="L229" s="144">
        <f t="shared" ca="1" si="28"/>
        <v>0.68280091775503005</v>
      </c>
      <c r="M229" s="144">
        <f t="shared" ca="1" si="28"/>
        <v>104.63289798799859</v>
      </c>
      <c r="N229" s="144">
        <f t="shared" ca="1" si="28"/>
        <v>8.2575891281327216</v>
      </c>
      <c r="O229" s="144">
        <f t="shared" ca="1" si="28"/>
        <v>63.910254147546773</v>
      </c>
      <c r="P229" s="144">
        <f t="shared" ca="1" si="28"/>
        <v>1</v>
      </c>
      <c r="Q229" s="144">
        <f t="shared" ca="1" si="28"/>
        <v>0.88245675961877867</v>
      </c>
    </row>
    <row r="230" spans="1:17" x14ac:dyDescent="0.25">
      <c r="A230" s="145">
        <v>42540</v>
      </c>
      <c r="B230" s="144">
        <v>1.1254</v>
      </c>
      <c r="C230" s="144">
        <v>73.286699999999996</v>
      </c>
      <c r="D230" s="144">
        <v>9.4309999999999992</v>
      </c>
      <c r="E230" s="144">
        <v>117.34</v>
      </c>
      <c r="F230" s="144">
        <v>0.78769999999999996</v>
      </c>
      <c r="G230" s="144">
        <v>1.0818000000000001</v>
      </c>
      <c r="I230" s="144">
        <v>1</v>
      </c>
      <c r="J230" s="145">
        <f t="shared" si="25"/>
        <v>42540</v>
      </c>
      <c r="K230" s="144">
        <f t="shared" ca="1" si="28"/>
        <v>0.96125821929980459</v>
      </c>
      <c r="L230" s="144">
        <f t="shared" ca="1" si="28"/>
        <v>0.69992891416385283</v>
      </c>
      <c r="M230" s="144">
        <f t="shared" ca="1" si="28"/>
        <v>104.26515016882887</v>
      </c>
      <c r="N230" s="144">
        <f t="shared" ca="1" si="28"/>
        <v>8.3801315087968717</v>
      </c>
      <c r="O230" s="144">
        <f t="shared" ca="1" si="28"/>
        <v>65.120579349564593</v>
      </c>
      <c r="P230" s="144">
        <f t="shared" ca="1" si="28"/>
        <v>1</v>
      </c>
      <c r="Q230" s="144">
        <f t="shared" ca="1" si="28"/>
        <v>0.88857295183934604</v>
      </c>
    </row>
    <row r="231" spans="1:17" x14ac:dyDescent="0.25">
      <c r="A231" s="145">
        <v>42539</v>
      </c>
      <c r="B231" s="144">
        <v>1.1254</v>
      </c>
      <c r="C231" s="144">
        <v>73.286699999999996</v>
      </c>
      <c r="D231" s="144">
        <v>9.4309999999999992</v>
      </c>
      <c r="E231" s="144">
        <v>117.34</v>
      </c>
      <c r="F231" s="144">
        <v>0.78769999999999996</v>
      </c>
      <c r="G231" s="144">
        <v>1.0818000000000001</v>
      </c>
      <c r="I231" s="144">
        <v>1</v>
      </c>
      <c r="J231" s="145">
        <f t="shared" si="25"/>
        <v>42539</v>
      </c>
      <c r="K231" s="144">
        <f t="shared" ca="1" si="28"/>
        <v>0.96125821929980459</v>
      </c>
      <c r="L231" s="144">
        <f t="shared" ca="1" si="28"/>
        <v>0.69992891416385283</v>
      </c>
      <c r="M231" s="144">
        <f t="shared" ca="1" si="28"/>
        <v>104.26515016882887</v>
      </c>
      <c r="N231" s="144">
        <f t="shared" ca="1" si="28"/>
        <v>8.3801315087968717</v>
      </c>
      <c r="O231" s="144">
        <f t="shared" ca="1" si="28"/>
        <v>65.120579349564593</v>
      </c>
      <c r="P231" s="144">
        <f t="shared" ca="1" si="28"/>
        <v>1</v>
      </c>
      <c r="Q231" s="144">
        <f t="shared" ca="1" si="28"/>
        <v>0.88857295183934604</v>
      </c>
    </row>
    <row r="232" spans="1:17" x14ac:dyDescent="0.25">
      <c r="A232" s="145">
        <v>42538</v>
      </c>
      <c r="B232" s="144">
        <v>1.1254</v>
      </c>
      <c r="C232" s="144">
        <v>73.286699999999996</v>
      </c>
      <c r="D232" s="144">
        <v>9.4309999999999992</v>
      </c>
      <c r="E232" s="144">
        <v>117.34</v>
      </c>
      <c r="F232" s="144">
        <v>0.78769999999999996</v>
      </c>
      <c r="G232" s="144">
        <v>1.0818000000000001</v>
      </c>
      <c r="I232" s="144">
        <v>1</v>
      </c>
      <c r="J232" s="145">
        <f t="shared" si="25"/>
        <v>42538</v>
      </c>
      <c r="K232" s="144">
        <f t="shared" ca="1" si="28"/>
        <v>0.96125821929980459</v>
      </c>
      <c r="L232" s="144">
        <f t="shared" ca="1" si="28"/>
        <v>0.69992891416385283</v>
      </c>
      <c r="M232" s="144">
        <f t="shared" ca="1" si="28"/>
        <v>104.26515016882887</v>
      </c>
      <c r="N232" s="144">
        <f t="shared" ca="1" si="28"/>
        <v>8.3801315087968717</v>
      </c>
      <c r="O232" s="144">
        <f t="shared" ca="1" si="28"/>
        <v>65.120579349564593</v>
      </c>
      <c r="P232" s="144">
        <f t="shared" ca="1" si="28"/>
        <v>1</v>
      </c>
      <c r="Q232" s="144">
        <f t="shared" ca="1" si="28"/>
        <v>0.88857295183934604</v>
      </c>
    </row>
    <row r="233" spans="1:17" x14ac:dyDescent="0.25">
      <c r="A233" s="145">
        <v>42537</v>
      </c>
      <c r="B233" s="144">
        <v>1.1173999999999999</v>
      </c>
      <c r="C233" s="144">
        <v>73.591499999999996</v>
      </c>
      <c r="D233" s="144">
        <v>9.3797999999999995</v>
      </c>
      <c r="E233" s="144">
        <v>116.65</v>
      </c>
      <c r="F233" s="144">
        <v>0.79032999999999998</v>
      </c>
      <c r="G233" s="144">
        <v>1.0811999999999999</v>
      </c>
      <c r="I233" s="144">
        <v>1</v>
      </c>
      <c r="J233" s="145">
        <f t="shared" si="25"/>
        <v>42537</v>
      </c>
      <c r="K233" s="144">
        <f t="shared" ca="1" si="28"/>
        <v>0.96760336495435828</v>
      </c>
      <c r="L233" s="144">
        <f t="shared" ca="1" si="28"/>
        <v>0.70729371755861825</v>
      </c>
      <c r="M233" s="144">
        <f t="shared" ca="1" si="28"/>
        <v>104.39412922856633</v>
      </c>
      <c r="N233" s="144">
        <f t="shared" ca="1" si="28"/>
        <v>8.3943082155002688</v>
      </c>
      <c r="O233" s="144">
        <f t="shared" ca="1" si="28"/>
        <v>65.859584750313232</v>
      </c>
      <c r="P233" s="144">
        <f t="shared" ca="1" si="28"/>
        <v>1</v>
      </c>
      <c r="Q233" s="144">
        <f t="shared" ca="1" si="28"/>
        <v>0.89493466976910685</v>
      </c>
    </row>
    <row r="234" spans="1:17" x14ac:dyDescent="0.25">
      <c r="A234" s="145">
        <v>42536</v>
      </c>
      <c r="B234" s="144">
        <v>1.123</v>
      </c>
      <c r="C234" s="144">
        <v>73.739000000000004</v>
      </c>
      <c r="D234" s="144">
        <v>9.3414999999999999</v>
      </c>
      <c r="E234" s="144">
        <v>119.29</v>
      </c>
      <c r="F234" s="144">
        <v>0.79157999999999995</v>
      </c>
      <c r="G234" s="144">
        <v>1.0817000000000001</v>
      </c>
      <c r="I234" s="144">
        <v>1</v>
      </c>
      <c r="J234" s="145">
        <f t="shared" si="25"/>
        <v>42536</v>
      </c>
      <c r="K234" s="144">
        <f t="shared" ca="1" si="28"/>
        <v>0.96322350845948357</v>
      </c>
      <c r="L234" s="144">
        <f t="shared" ca="1" si="28"/>
        <v>0.70487978628673198</v>
      </c>
      <c r="M234" s="144">
        <f t="shared" ca="1" si="28"/>
        <v>106.22439893143367</v>
      </c>
      <c r="N234" s="144">
        <f t="shared" ca="1" si="28"/>
        <v>8.3183437221727523</v>
      </c>
      <c r="O234" s="144">
        <f t="shared" ca="1" si="28"/>
        <v>65.662511130899375</v>
      </c>
      <c r="P234" s="144">
        <f t="shared" ca="1" si="28"/>
        <v>1</v>
      </c>
      <c r="Q234" s="144">
        <f t="shared" ca="1" si="28"/>
        <v>0.89047195013357083</v>
      </c>
    </row>
    <row r="235" spans="1:17" x14ac:dyDescent="0.25">
      <c r="A235" s="145">
        <v>42535</v>
      </c>
      <c r="B235" s="144">
        <v>1.1225000000000001</v>
      </c>
      <c r="C235" s="144">
        <v>74.348799999999997</v>
      </c>
      <c r="D235" s="144">
        <v>9.3655000000000008</v>
      </c>
      <c r="E235" s="144">
        <v>118.98</v>
      </c>
      <c r="F235" s="144">
        <v>0.79478000000000004</v>
      </c>
      <c r="G235" s="144">
        <v>1.0831999999999999</v>
      </c>
      <c r="I235" s="144">
        <v>1</v>
      </c>
      <c r="J235" s="145">
        <f t="shared" si="25"/>
        <v>42535</v>
      </c>
      <c r="K235" s="144">
        <f t="shared" ref="K235:Q244" ca="1" si="29">OFFSET($A235,0,K$3)/OFFSET($A235,0,$P$3)</f>
        <v>0.96498886414253893</v>
      </c>
      <c r="L235" s="144">
        <f t="shared" ca="1" si="29"/>
        <v>0.70804454342984413</v>
      </c>
      <c r="M235" s="144">
        <f t="shared" ca="1" si="29"/>
        <v>105.99554565701558</v>
      </c>
      <c r="N235" s="144">
        <f t="shared" ca="1" si="29"/>
        <v>8.3434298440979955</v>
      </c>
      <c r="O235" s="144">
        <f t="shared" ca="1" si="29"/>
        <v>66.235011135857462</v>
      </c>
      <c r="P235" s="144">
        <f t="shared" ca="1" si="29"/>
        <v>1</v>
      </c>
      <c r="Q235" s="144">
        <f t="shared" ca="1" si="29"/>
        <v>0.89086859688195985</v>
      </c>
    </row>
    <row r="236" spans="1:17" x14ac:dyDescent="0.25">
      <c r="A236" s="145">
        <v>42534</v>
      </c>
      <c r="B236" s="144">
        <v>1.1268</v>
      </c>
      <c r="C236" s="144">
        <v>74.026399999999995</v>
      </c>
      <c r="D236" s="144">
        <v>9.3264999999999993</v>
      </c>
      <c r="E236" s="144">
        <v>119.51</v>
      </c>
      <c r="F236" s="144">
        <v>0.79515000000000002</v>
      </c>
      <c r="G236" s="144">
        <v>1.0888</v>
      </c>
      <c r="I236" s="144">
        <v>1</v>
      </c>
      <c r="J236" s="145">
        <f t="shared" si="25"/>
        <v>42534</v>
      </c>
      <c r="K236" s="144">
        <f t="shared" ca="1" si="29"/>
        <v>0.96627618033368834</v>
      </c>
      <c r="L236" s="144">
        <f t="shared" ca="1" si="29"/>
        <v>0.70567092651757191</v>
      </c>
      <c r="M236" s="144">
        <f t="shared" ca="1" si="29"/>
        <v>106.06141285055023</v>
      </c>
      <c r="N236" s="144">
        <f t="shared" ca="1" si="29"/>
        <v>8.2769790557330492</v>
      </c>
      <c r="O236" s="144">
        <f t="shared" ca="1" si="29"/>
        <v>65.69613063542775</v>
      </c>
      <c r="P236" s="144">
        <f t="shared" ca="1" si="29"/>
        <v>1</v>
      </c>
      <c r="Q236" s="144">
        <f t="shared" ca="1" si="29"/>
        <v>0.88746893858714948</v>
      </c>
    </row>
    <row r="237" spans="1:17" x14ac:dyDescent="0.25">
      <c r="A237" s="145">
        <v>42533</v>
      </c>
      <c r="B237" s="144">
        <v>1.1304000000000001</v>
      </c>
      <c r="C237" s="144">
        <v>73.141999999999996</v>
      </c>
      <c r="D237" s="144">
        <v>9.2725000000000009</v>
      </c>
      <c r="E237" s="144">
        <v>120.79</v>
      </c>
      <c r="F237" s="144">
        <v>0.78480000000000005</v>
      </c>
      <c r="G237" s="144">
        <v>1.0885</v>
      </c>
      <c r="I237" s="144">
        <v>1</v>
      </c>
      <c r="J237" s="145">
        <f t="shared" si="25"/>
        <v>42533</v>
      </c>
      <c r="K237" s="144">
        <f t="shared" ca="1" si="29"/>
        <v>0.96293347487615</v>
      </c>
      <c r="L237" s="144">
        <f t="shared" ca="1" si="29"/>
        <v>0.69426751592356684</v>
      </c>
      <c r="M237" s="144">
        <f t="shared" ca="1" si="29"/>
        <v>106.85598018400566</v>
      </c>
      <c r="N237" s="144">
        <f t="shared" ca="1" si="29"/>
        <v>8.2028485491861289</v>
      </c>
      <c r="O237" s="144">
        <f t="shared" ca="1" si="29"/>
        <v>64.704529370134452</v>
      </c>
      <c r="P237" s="144">
        <f t="shared" ca="1" si="29"/>
        <v>1</v>
      </c>
      <c r="Q237" s="144">
        <f t="shared" ca="1" si="29"/>
        <v>0.88464260438782727</v>
      </c>
    </row>
    <row r="238" spans="1:17" x14ac:dyDescent="0.25">
      <c r="A238" s="145">
        <v>42532</v>
      </c>
      <c r="B238" s="144">
        <v>1.1304000000000001</v>
      </c>
      <c r="C238" s="144">
        <v>73.141999999999996</v>
      </c>
      <c r="D238" s="144">
        <v>9.2725000000000009</v>
      </c>
      <c r="E238" s="144">
        <v>120.79</v>
      </c>
      <c r="F238" s="144">
        <v>0.78480000000000005</v>
      </c>
      <c r="G238" s="144">
        <v>1.0885</v>
      </c>
      <c r="I238" s="144">
        <v>1</v>
      </c>
      <c r="J238" s="145">
        <f t="shared" si="25"/>
        <v>42532</v>
      </c>
      <c r="K238" s="144">
        <f t="shared" ca="1" si="29"/>
        <v>0.96293347487615</v>
      </c>
      <c r="L238" s="144">
        <f t="shared" ca="1" si="29"/>
        <v>0.69426751592356684</v>
      </c>
      <c r="M238" s="144">
        <f t="shared" ca="1" si="29"/>
        <v>106.85598018400566</v>
      </c>
      <c r="N238" s="144">
        <f t="shared" ca="1" si="29"/>
        <v>8.2028485491861289</v>
      </c>
      <c r="O238" s="144">
        <f t="shared" ca="1" si="29"/>
        <v>64.704529370134452</v>
      </c>
      <c r="P238" s="144">
        <f t="shared" ca="1" si="29"/>
        <v>1</v>
      </c>
      <c r="Q238" s="144">
        <f t="shared" ca="1" si="29"/>
        <v>0.88464260438782727</v>
      </c>
    </row>
    <row r="239" spans="1:17" x14ac:dyDescent="0.25">
      <c r="A239" s="145">
        <v>42531</v>
      </c>
      <c r="B239" s="144">
        <v>1.1304000000000001</v>
      </c>
      <c r="C239" s="144">
        <v>73.141999999999996</v>
      </c>
      <c r="D239" s="144">
        <v>9.2725000000000009</v>
      </c>
      <c r="E239" s="144">
        <v>120.79</v>
      </c>
      <c r="F239" s="144">
        <v>0.78480000000000005</v>
      </c>
      <c r="G239" s="144">
        <v>1.0885</v>
      </c>
      <c r="I239" s="144">
        <v>1</v>
      </c>
      <c r="J239" s="145">
        <f t="shared" si="25"/>
        <v>42531</v>
      </c>
      <c r="K239" s="144">
        <f t="shared" ca="1" si="29"/>
        <v>0.96293347487615</v>
      </c>
      <c r="L239" s="144">
        <f t="shared" ca="1" si="29"/>
        <v>0.69426751592356684</v>
      </c>
      <c r="M239" s="144">
        <f t="shared" ca="1" si="29"/>
        <v>106.85598018400566</v>
      </c>
      <c r="N239" s="144">
        <f t="shared" ca="1" si="29"/>
        <v>8.2028485491861289</v>
      </c>
      <c r="O239" s="144">
        <f t="shared" ca="1" si="29"/>
        <v>64.704529370134452</v>
      </c>
      <c r="P239" s="144">
        <f t="shared" ca="1" si="29"/>
        <v>1</v>
      </c>
      <c r="Q239" s="144">
        <f t="shared" ca="1" si="29"/>
        <v>0.88464260438782727</v>
      </c>
    </row>
    <row r="240" spans="1:17" x14ac:dyDescent="0.25">
      <c r="A240" s="145">
        <v>42530</v>
      </c>
      <c r="B240" s="144">
        <v>1.1343000000000001</v>
      </c>
      <c r="C240" s="144">
        <v>72.822000000000003</v>
      </c>
      <c r="D240" s="144">
        <v>9.2489000000000008</v>
      </c>
      <c r="E240" s="144">
        <v>120.72</v>
      </c>
      <c r="F240" s="144">
        <v>0.78437999999999997</v>
      </c>
      <c r="G240" s="144">
        <v>1.0915999999999999</v>
      </c>
      <c r="I240" s="144">
        <v>1</v>
      </c>
      <c r="J240" s="145">
        <f t="shared" si="25"/>
        <v>42530</v>
      </c>
      <c r="K240" s="144">
        <f t="shared" ca="1" si="29"/>
        <v>0.96235563783831424</v>
      </c>
      <c r="L240" s="144">
        <f t="shared" ca="1" si="29"/>
        <v>0.69151018249140428</v>
      </c>
      <c r="M240" s="144">
        <f t="shared" ca="1" si="29"/>
        <v>106.42687119809574</v>
      </c>
      <c r="N240" s="144">
        <f t="shared" ca="1" si="29"/>
        <v>8.1538393723000979</v>
      </c>
      <c r="O240" s="144">
        <f t="shared" ca="1" si="29"/>
        <v>64.199947103940758</v>
      </c>
      <c r="P240" s="144">
        <f t="shared" ca="1" si="29"/>
        <v>1</v>
      </c>
      <c r="Q240" s="144">
        <f t="shared" ca="1" si="29"/>
        <v>0.88160098739310577</v>
      </c>
    </row>
    <row r="241" spans="1:17" x14ac:dyDescent="0.25">
      <c r="A241" s="145">
        <v>42529</v>
      </c>
      <c r="B241" s="144">
        <v>1.1377999999999999</v>
      </c>
      <c r="C241" s="144">
        <v>72.5458</v>
      </c>
      <c r="D241" s="144">
        <v>9.2055000000000007</v>
      </c>
      <c r="E241" s="144">
        <v>121.77</v>
      </c>
      <c r="F241" s="144">
        <v>0.78047999999999995</v>
      </c>
      <c r="G241" s="144">
        <v>1.0942000000000001</v>
      </c>
      <c r="I241" s="144">
        <v>1</v>
      </c>
      <c r="J241" s="145">
        <f t="shared" si="25"/>
        <v>42529</v>
      </c>
      <c r="K241" s="144">
        <f t="shared" ca="1" si="29"/>
        <v>0.96168043592898589</v>
      </c>
      <c r="L241" s="144">
        <f t="shared" ca="1" si="29"/>
        <v>0.68595535243452277</v>
      </c>
      <c r="M241" s="144">
        <f t="shared" ca="1" si="29"/>
        <v>107.02232378273862</v>
      </c>
      <c r="N241" s="144">
        <f t="shared" ca="1" si="29"/>
        <v>8.0906134645807715</v>
      </c>
      <c r="O241" s="144">
        <f t="shared" ca="1" si="29"/>
        <v>63.759711724380388</v>
      </c>
      <c r="P241" s="144">
        <f t="shared" ca="1" si="29"/>
        <v>1</v>
      </c>
      <c r="Q241" s="144">
        <f t="shared" ca="1" si="29"/>
        <v>0.87888908419757428</v>
      </c>
    </row>
    <row r="242" spans="1:17" x14ac:dyDescent="0.25">
      <c r="A242" s="145">
        <v>42528</v>
      </c>
      <c r="B242" s="144">
        <v>1.1348</v>
      </c>
      <c r="C242" s="144">
        <v>73.712100000000007</v>
      </c>
      <c r="D242" s="144">
        <v>9.2225000000000001</v>
      </c>
      <c r="E242" s="144">
        <v>122.16</v>
      </c>
      <c r="F242" s="144">
        <v>0.77880000000000005</v>
      </c>
      <c r="G242" s="144">
        <v>1.0979000000000001</v>
      </c>
      <c r="I242" s="144">
        <v>1</v>
      </c>
      <c r="J242" s="145">
        <f t="shared" si="25"/>
        <v>42528</v>
      </c>
      <c r="K242" s="144">
        <f t="shared" ca="1" si="29"/>
        <v>0.96748325696157922</v>
      </c>
      <c r="L242" s="144">
        <f t="shared" ca="1" si="29"/>
        <v>0.68628833274585832</v>
      </c>
      <c r="M242" s="144">
        <f t="shared" ca="1" si="29"/>
        <v>107.64892492069086</v>
      </c>
      <c r="N242" s="144">
        <f t="shared" ca="1" si="29"/>
        <v>8.1269827282340508</v>
      </c>
      <c r="O242" s="144">
        <f t="shared" ca="1" si="29"/>
        <v>64.956027493831513</v>
      </c>
      <c r="P242" s="144">
        <f t="shared" ca="1" si="29"/>
        <v>1</v>
      </c>
      <c r="Q242" s="144">
        <f t="shared" ca="1" si="29"/>
        <v>0.88121254846669017</v>
      </c>
    </row>
    <row r="243" spans="1:17" x14ac:dyDescent="0.25">
      <c r="A243" s="145">
        <v>42527</v>
      </c>
      <c r="B243" s="144">
        <v>1.1349</v>
      </c>
      <c r="C243" s="144">
        <v>74.196799999999996</v>
      </c>
      <c r="D243" s="144">
        <v>9.2934999999999999</v>
      </c>
      <c r="E243" s="144">
        <v>121.58</v>
      </c>
      <c r="F243" s="144">
        <v>0.78720000000000001</v>
      </c>
      <c r="G243" s="144">
        <v>1.1051</v>
      </c>
      <c r="I243" s="144">
        <v>1</v>
      </c>
      <c r="J243" s="145">
        <f t="shared" si="25"/>
        <v>42527</v>
      </c>
      <c r="K243" s="144">
        <f t="shared" ca="1" si="29"/>
        <v>0.97374217992774692</v>
      </c>
      <c r="L243" s="144">
        <f t="shared" ca="1" si="29"/>
        <v>0.69362939466032247</v>
      </c>
      <c r="M243" s="144">
        <f t="shared" ca="1" si="29"/>
        <v>107.12838135518548</v>
      </c>
      <c r="N243" s="144">
        <f t="shared" ca="1" si="29"/>
        <v>8.1888272094457655</v>
      </c>
      <c r="O243" s="144">
        <f t="shared" ca="1" si="29"/>
        <v>65.377390078421001</v>
      </c>
      <c r="P243" s="144">
        <f t="shared" ca="1" si="29"/>
        <v>1</v>
      </c>
      <c r="Q243" s="144">
        <f t="shared" ca="1" si="29"/>
        <v>0.88113490175345843</v>
      </c>
    </row>
    <row r="244" spans="1:17" x14ac:dyDescent="0.25">
      <c r="A244" s="145">
        <v>42526</v>
      </c>
      <c r="B244" s="144">
        <v>1.1153999999999999</v>
      </c>
      <c r="C244" s="144">
        <v>74.908799999999999</v>
      </c>
      <c r="D244" s="144">
        <v>9.2852999999999994</v>
      </c>
      <c r="E244" s="144">
        <v>121.47</v>
      </c>
      <c r="F244" s="144">
        <v>0.77285000000000004</v>
      </c>
      <c r="G244" s="144">
        <v>1.105</v>
      </c>
      <c r="I244" s="144">
        <v>1</v>
      </c>
      <c r="J244" s="145">
        <f t="shared" si="25"/>
        <v>42526</v>
      </c>
      <c r="K244" s="144">
        <f t="shared" ca="1" si="29"/>
        <v>0.99067599067599066</v>
      </c>
      <c r="L244" s="144">
        <f t="shared" ca="1" si="29"/>
        <v>0.69289044289044299</v>
      </c>
      <c r="M244" s="144">
        <f t="shared" ca="1" si="29"/>
        <v>108.90263582571275</v>
      </c>
      <c r="N244" s="144">
        <f t="shared" ca="1" si="29"/>
        <v>8.3246369015599786</v>
      </c>
      <c r="O244" s="144">
        <f t="shared" ca="1" si="29"/>
        <v>67.158687466379774</v>
      </c>
      <c r="P244" s="144">
        <f t="shared" ca="1" si="29"/>
        <v>1</v>
      </c>
      <c r="Q244" s="144">
        <f t="shared" ca="1" si="29"/>
        <v>0.8965393580778197</v>
      </c>
    </row>
    <row r="245" spans="1:17" x14ac:dyDescent="0.25">
      <c r="A245" s="145">
        <v>42525</v>
      </c>
      <c r="B245" s="144">
        <v>1.1153999999999999</v>
      </c>
      <c r="C245" s="144">
        <v>74.908799999999999</v>
      </c>
      <c r="D245" s="144">
        <v>9.2852999999999994</v>
      </c>
      <c r="E245" s="144">
        <v>121.47</v>
      </c>
      <c r="F245" s="144">
        <v>0.77285000000000004</v>
      </c>
      <c r="G245" s="144">
        <v>1.105</v>
      </c>
      <c r="I245" s="144">
        <v>1</v>
      </c>
      <c r="J245" s="145">
        <f t="shared" si="25"/>
        <v>42525</v>
      </c>
      <c r="K245" s="144">
        <f t="shared" ref="K245:Q254" ca="1" si="30">OFFSET($A245,0,K$3)/OFFSET($A245,0,$P$3)</f>
        <v>0.99067599067599066</v>
      </c>
      <c r="L245" s="144">
        <f t="shared" ca="1" si="30"/>
        <v>0.69289044289044299</v>
      </c>
      <c r="M245" s="144">
        <f t="shared" ca="1" si="30"/>
        <v>108.90263582571275</v>
      </c>
      <c r="N245" s="144">
        <f t="shared" ca="1" si="30"/>
        <v>8.3246369015599786</v>
      </c>
      <c r="O245" s="144">
        <f t="shared" ca="1" si="30"/>
        <v>67.158687466379774</v>
      </c>
      <c r="P245" s="144">
        <f t="shared" ca="1" si="30"/>
        <v>1</v>
      </c>
      <c r="Q245" s="144">
        <f t="shared" ca="1" si="30"/>
        <v>0.8965393580778197</v>
      </c>
    </row>
    <row r="246" spans="1:17" x14ac:dyDescent="0.25">
      <c r="A246" s="145">
        <v>42524</v>
      </c>
      <c r="B246" s="144">
        <v>1.1153999999999999</v>
      </c>
      <c r="C246" s="144">
        <v>74.908799999999999</v>
      </c>
      <c r="D246" s="144">
        <v>9.2852999999999994</v>
      </c>
      <c r="E246" s="144">
        <v>121.47</v>
      </c>
      <c r="F246" s="144">
        <v>0.77285000000000004</v>
      </c>
      <c r="G246" s="144">
        <v>1.105</v>
      </c>
      <c r="I246" s="144">
        <v>1</v>
      </c>
      <c r="J246" s="145">
        <f t="shared" si="25"/>
        <v>42524</v>
      </c>
      <c r="K246" s="144">
        <f t="shared" ca="1" si="30"/>
        <v>0.99067599067599066</v>
      </c>
      <c r="L246" s="144">
        <f t="shared" ca="1" si="30"/>
        <v>0.69289044289044299</v>
      </c>
      <c r="M246" s="144">
        <f t="shared" ca="1" si="30"/>
        <v>108.90263582571275</v>
      </c>
      <c r="N246" s="144">
        <f t="shared" ca="1" si="30"/>
        <v>8.3246369015599786</v>
      </c>
      <c r="O246" s="144">
        <f t="shared" ca="1" si="30"/>
        <v>67.158687466379774</v>
      </c>
      <c r="P246" s="144">
        <f t="shared" ca="1" si="30"/>
        <v>1</v>
      </c>
      <c r="Q246" s="144">
        <f t="shared" ca="1" si="30"/>
        <v>0.8965393580778197</v>
      </c>
    </row>
    <row r="247" spans="1:17" x14ac:dyDescent="0.25">
      <c r="A247" s="145">
        <v>42523</v>
      </c>
      <c r="B247" s="144">
        <v>1.1188</v>
      </c>
      <c r="C247" s="144">
        <v>75.042000000000002</v>
      </c>
      <c r="D247" s="144">
        <v>9.3360000000000003</v>
      </c>
      <c r="E247" s="144">
        <v>121.96</v>
      </c>
      <c r="F247" s="144">
        <v>0.77334999999999998</v>
      </c>
      <c r="G247" s="144">
        <v>1.1062000000000001</v>
      </c>
      <c r="I247" s="144">
        <v>1</v>
      </c>
      <c r="J247" s="145">
        <f t="shared" si="25"/>
        <v>42523</v>
      </c>
      <c r="K247" s="144">
        <f t="shared" ca="1" si="30"/>
        <v>0.9887379335001788</v>
      </c>
      <c r="L247" s="144">
        <f t="shared" ca="1" si="30"/>
        <v>0.69123167679656772</v>
      </c>
      <c r="M247" s="144">
        <f t="shared" ca="1" si="30"/>
        <v>109.00965319985698</v>
      </c>
      <c r="N247" s="144">
        <f t="shared" ca="1" si="30"/>
        <v>8.3446549874865923</v>
      </c>
      <c r="O247" s="144">
        <f t="shared" ca="1" si="30"/>
        <v>67.073650339649632</v>
      </c>
      <c r="P247" s="144">
        <f t="shared" ca="1" si="30"/>
        <v>1</v>
      </c>
      <c r="Q247" s="144">
        <f t="shared" ca="1" si="30"/>
        <v>0.89381480157311399</v>
      </c>
    </row>
    <row r="248" spans="1:17" x14ac:dyDescent="0.25">
      <c r="A248" s="145">
        <v>42522</v>
      </c>
      <c r="B248" s="144">
        <v>1.1173999999999999</v>
      </c>
      <c r="C248" s="144">
        <v>74.780600000000007</v>
      </c>
      <c r="D248" s="144">
        <v>9.3082999999999991</v>
      </c>
      <c r="E248" s="144">
        <v>122.07</v>
      </c>
      <c r="F248" s="144">
        <v>0.77358000000000005</v>
      </c>
      <c r="G248" s="144">
        <v>1.1054999999999999</v>
      </c>
      <c r="I248" s="144">
        <v>1</v>
      </c>
      <c r="J248" s="145">
        <f t="shared" si="25"/>
        <v>42522</v>
      </c>
      <c r="K248" s="144">
        <f t="shared" ca="1" si="30"/>
        <v>0.98935027742974757</v>
      </c>
      <c r="L248" s="144">
        <f t="shared" ca="1" si="30"/>
        <v>0.69230356183998576</v>
      </c>
      <c r="M248" s="144">
        <f t="shared" ca="1" si="30"/>
        <v>109.24467513871487</v>
      </c>
      <c r="N248" s="144">
        <f t="shared" ca="1" si="30"/>
        <v>8.3303203866117776</v>
      </c>
      <c r="O248" s="144">
        <f t="shared" ca="1" si="30"/>
        <v>66.923751566135678</v>
      </c>
      <c r="P248" s="144">
        <f t="shared" ca="1" si="30"/>
        <v>1</v>
      </c>
      <c r="Q248" s="144">
        <f t="shared" ca="1" si="30"/>
        <v>0.89493466976910685</v>
      </c>
    </row>
    <row r="249" spans="1:17" x14ac:dyDescent="0.25">
      <c r="A249" s="145">
        <v>42521</v>
      </c>
      <c r="B249" s="144">
        <v>1.1153999999999999</v>
      </c>
      <c r="C249" s="144">
        <v>73.53</v>
      </c>
      <c r="D249" s="144">
        <v>9.32</v>
      </c>
      <c r="E249" s="144">
        <v>123.83</v>
      </c>
      <c r="F249" s="144">
        <v>0.76185000000000003</v>
      </c>
      <c r="G249" s="144">
        <v>1.1044</v>
      </c>
      <c r="I249" s="144">
        <v>1</v>
      </c>
      <c r="J249" s="145">
        <f t="shared" si="25"/>
        <v>42521</v>
      </c>
      <c r="K249" s="144">
        <f t="shared" ca="1" si="30"/>
        <v>0.99013806706114404</v>
      </c>
      <c r="L249" s="144">
        <f t="shared" ca="1" si="30"/>
        <v>0.68302850995158693</v>
      </c>
      <c r="M249" s="144">
        <f t="shared" ca="1" si="30"/>
        <v>111.0184687107764</v>
      </c>
      <c r="N249" s="144">
        <f t="shared" ca="1" si="30"/>
        <v>8.3557468172852793</v>
      </c>
      <c r="O249" s="144">
        <f t="shared" ca="1" si="30"/>
        <v>65.922538999462077</v>
      </c>
      <c r="P249" s="144">
        <f t="shared" ca="1" si="30"/>
        <v>1</v>
      </c>
      <c r="Q249" s="144">
        <f t="shared" ca="1" si="30"/>
        <v>0.8965393580778197</v>
      </c>
    </row>
    <row r="250" spans="1:17" x14ac:dyDescent="0.25">
      <c r="A250" s="145">
        <v>42520</v>
      </c>
      <c r="B250" s="144">
        <v>1.1138999999999999</v>
      </c>
      <c r="C250" s="144">
        <v>73.394599999999997</v>
      </c>
      <c r="D250" s="144">
        <v>9.3025000000000002</v>
      </c>
      <c r="E250" s="144">
        <v>123.85</v>
      </c>
      <c r="F250" s="144">
        <v>0.76124999999999998</v>
      </c>
      <c r="G250" s="144">
        <v>1.1057999999999999</v>
      </c>
      <c r="I250" s="144">
        <v>1</v>
      </c>
      <c r="J250" s="145">
        <f t="shared" si="25"/>
        <v>42520</v>
      </c>
      <c r="K250" s="144">
        <f t="shared" ca="1" si="30"/>
        <v>0.99272825208726101</v>
      </c>
      <c r="L250" s="144">
        <f t="shared" ca="1" si="30"/>
        <v>0.68340964179908437</v>
      </c>
      <c r="M250" s="144">
        <f t="shared" ca="1" si="30"/>
        <v>111.18592333243559</v>
      </c>
      <c r="N250" s="144">
        <f t="shared" ca="1" si="30"/>
        <v>8.351288266451208</v>
      </c>
      <c r="O250" s="144">
        <f t="shared" ca="1" si="30"/>
        <v>65.889756710656258</v>
      </c>
      <c r="P250" s="144">
        <f t="shared" ca="1" si="30"/>
        <v>1</v>
      </c>
      <c r="Q250" s="144">
        <f t="shared" ca="1" si="30"/>
        <v>0.89774665589370684</v>
      </c>
    </row>
    <row r="251" spans="1:17" x14ac:dyDescent="0.25">
      <c r="A251" s="145">
        <v>42519</v>
      </c>
      <c r="B251" s="144">
        <v>1.1168</v>
      </c>
      <c r="C251" s="144">
        <v>73.751599999999996</v>
      </c>
      <c r="D251" s="144">
        <v>9.282</v>
      </c>
      <c r="E251" s="144">
        <v>122.46</v>
      </c>
      <c r="F251" s="144">
        <v>0.76244999999999996</v>
      </c>
      <c r="G251" s="144">
        <v>1.1068</v>
      </c>
      <c r="I251" s="144">
        <v>1</v>
      </c>
      <c r="J251" s="145">
        <f t="shared" si="25"/>
        <v>42519</v>
      </c>
      <c r="K251" s="144">
        <f t="shared" ca="1" si="30"/>
        <v>0.99104584527220629</v>
      </c>
      <c r="L251" s="144">
        <f t="shared" ca="1" si="30"/>
        <v>0.68270952722063027</v>
      </c>
      <c r="M251" s="144">
        <f t="shared" ca="1" si="30"/>
        <v>109.6525787965616</v>
      </c>
      <c r="N251" s="144">
        <f t="shared" ca="1" si="30"/>
        <v>8.3112464183381096</v>
      </c>
      <c r="O251" s="144">
        <f t="shared" ca="1" si="30"/>
        <v>66.038323782234954</v>
      </c>
      <c r="P251" s="144">
        <f t="shared" ca="1" si="30"/>
        <v>1</v>
      </c>
      <c r="Q251" s="144">
        <f t="shared" ca="1" si="30"/>
        <v>0.89541547277936961</v>
      </c>
    </row>
    <row r="252" spans="1:17" x14ac:dyDescent="0.25">
      <c r="A252" s="145">
        <v>42518</v>
      </c>
      <c r="B252" s="144">
        <v>1.1168</v>
      </c>
      <c r="C252" s="144">
        <v>73.751599999999996</v>
      </c>
      <c r="D252" s="144">
        <v>9.282</v>
      </c>
      <c r="E252" s="144">
        <v>122.46</v>
      </c>
      <c r="F252" s="144">
        <v>0.76244999999999996</v>
      </c>
      <c r="G252" s="144">
        <v>1.1068</v>
      </c>
      <c r="I252" s="144">
        <v>1</v>
      </c>
      <c r="J252" s="145">
        <f t="shared" si="25"/>
        <v>42518</v>
      </c>
      <c r="K252" s="144">
        <f t="shared" ca="1" si="30"/>
        <v>0.99104584527220629</v>
      </c>
      <c r="L252" s="144">
        <f t="shared" ca="1" si="30"/>
        <v>0.68270952722063027</v>
      </c>
      <c r="M252" s="144">
        <f t="shared" ca="1" si="30"/>
        <v>109.6525787965616</v>
      </c>
      <c r="N252" s="144">
        <f t="shared" ca="1" si="30"/>
        <v>8.3112464183381096</v>
      </c>
      <c r="O252" s="144">
        <f t="shared" ca="1" si="30"/>
        <v>66.038323782234954</v>
      </c>
      <c r="P252" s="144">
        <f t="shared" ca="1" si="30"/>
        <v>1</v>
      </c>
      <c r="Q252" s="144">
        <f t="shared" ca="1" si="30"/>
        <v>0.89541547277936961</v>
      </c>
    </row>
    <row r="253" spans="1:17" x14ac:dyDescent="0.25">
      <c r="A253" s="145">
        <v>42517</v>
      </c>
      <c r="B253" s="144">
        <v>1.1168</v>
      </c>
      <c r="C253" s="144">
        <v>73.751599999999996</v>
      </c>
      <c r="D253" s="144">
        <v>9.282</v>
      </c>
      <c r="E253" s="144">
        <v>122.46</v>
      </c>
      <c r="F253" s="144">
        <v>0.76244999999999996</v>
      </c>
      <c r="G253" s="144">
        <v>1.1068</v>
      </c>
      <c r="I253" s="144">
        <v>1</v>
      </c>
      <c r="J253" s="145">
        <f t="shared" si="25"/>
        <v>42517</v>
      </c>
      <c r="K253" s="144">
        <f t="shared" ca="1" si="30"/>
        <v>0.99104584527220629</v>
      </c>
      <c r="L253" s="144">
        <f t="shared" ca="1" si="30"/>
        <v>0.68270952722063027</v>
      </c>
      <c r="M253" s="144">
        <f t="shared" ca="1" si="30"/>
        <v>109.6525787965616</v>
      </c>
      <c r="N253" s="144">
        <f t="shared" ca="1" si="30"/>
        <v>8.3112464183381096</v>
      </c>
      <c r="O253" s="144">
        <f t="shared" ca="1" si="30"/>
        <v>66.038323782234954</v>
      </c>
      <c r="P253" s="144">
        <f t="shared" ca="1" si="30"/>
        <v>1</v>
      </c>
      <c r="Q253" s="144">
        <f t="shared" ca="1" si="30"/>
        <v>0.89541547277936961</v>
      </c>
    </row>
    <row r="254" spans="1:17" x14ac:dyDescent="0.25">
      <c r="A254" s="145">
        <v>42516</v>
      </c>
      <c r="B254" s="144">
        <v>1.1168</v>
      </c>
      <c r="C254" s="144">
        <v>72.742000000000004</v>
      </c>
      <c r="D254" s="144">
        <v>9.2469999999999999</v>
      </c>
      <c r="E254" s="144">
        <v>122.93</v>
      </c>
      <c r="F254" s="144">
        <v>0.75970000000000004</v>
      </c>
      <c r="G254" s="144">
        <v>1.1074999999999999</v>
      </c>
      <c r="I254" s="144">
        <v>1</v>
      </c>
      <c r="J254" s="145">
        <f t="shared" si="25"/>
        <v>42516</v>
      </c>
      <c r="K254" s="144">
        <f t="shared" ca="1" si="30"/>
        <v>0.99167263610315182</v>
      </c>
      <c r="L254" s="144">
        <f t="shared" ca="1" si="30"/>
        <v>0.68024713467048714</v>
      </c>
      <c r="M254" s="144">
        <f t="shared" ca="1" si="30"/>
        <v>110.07342406876791</v>
      </c>
      <c r="N254" s="144">
        <f t="shared" ca="1" si="30"/>
        <v>8.2799068767908306</v>
      </c>
      <c r="O254" s="144">
        <f t="shared" ca="1" si="30"/>
        <v>65.134312320916905</v>
      </c>
      <c r="P254" s="144">
        <f t="shared" ca="1" si="30"/>
        <v>1</v>
      </c>
      <c r="Q254" s="144">
        <f t="shared" ca="1" si="30"/>
        <v>0.89541547277936961</v>
      </c>
    </row>
    <row r="255" spans="1:17" x14ac:dyDescent="0.25">
      <c r="A255" s="145">
        <v>42515</v>
      </c>
      <c r="B255" s="144">
        <v>1.1146</v>
      </c>
      <c r="C255" s="144">
        <v>73.236199999999997</v>
      </c>
      <c r="D255" s="144">
        <v>9.2944999999999993</v>
      </c>
      <c r="E255" s="144">
        <v>122.79</v>
      </c>
      <c r="F255" s="144">
        <v>0.75924999999999998</v>
      </c>
      <c r="G255" s="144">
        <v>1.1049</v>
      </c>
      <c r="I255" s="144">
        <v>1</v>
      </c>
      <c r="J255" s="145">
        <f t="shared" si="25"/>
        <v>42515</v>
      </c>
      <c r="K255" s="144">
        <f t="shared" ref="K255:Q264" ca="1" si="31">OFFSET($A255,0,K$3)/OFFSET($A255,0,$P$3)</f>
        <v>0.99129732639511925</v>
      </c>
      <c r="L255" s="144">
        <f t="shared" ca="1" si="31"/>
        <v>0.68118607572223211</v>
      </c>
      <c r="M255" s="144">
        <f t="shared" ca="1" si="31"/>
        <v>110.16508164363897</v>
      </c>
      <c r="N255" s="144">
        <f t="shared" ca="1" si="31"/>
        <v>8.3388659608828277</v>
      </c>
      <c r="O255" s="144">
        <f t="shared" ca="1" si="31"/>
        <v>65.706262336264132</v>
      </c>
      <c r="P255" s="144">
        <f t="shared" ca="1" si="31"/>
        <v>1</v>
      </c>
      <c r="Q255" s="144">
        <f t="shared" ca="1" si="31"/>
        <v>0.897182845863987</v>
      </c>
    </row>
    <row r="256" spans="1:17" x14ac:dyDescent="0.25">
      <c r="A256" s="145">
        <v>42514</v>
      </c>
      <c r="B256" s="144">
        <v>1.1168</v>
      </c>
      <c r="C256" s="144">
        <v>74.426199999999994</v>
      </c>
      <c r="D256" s="144">
        <v>9.3354999999999997</v>
      </c>
      <c r="E256" s="144">
        <v>122.56</v>
      </c>
      <c r="F256" s="144">
        <v>0.76512999999999998</v>
      </c>
      <c r="G256" s="144">
        <v>1.1079000000000001</v>
      </c>
      <c r="I256" s="144">
        <v>1</v>
      </c>
      <c r="J256" s="145">
        <f t="shared" si="25"/>
        <v>42514</v>
      </c>
      <c r="K256" s="144">
        <f t="shared" ca="1" si="31"/>
        <v>0.9920308022922637</v>
      </c>
      <c r="L256" s="144">
        <f t="shared" ca="1" si="31"/>
        <v>0.68510924068767909</v>
      </c>
      <c r="M256" s="144">
        <f t="shared" ca="1" si="31"/>
        <v>109.74212034383955</v>
      </c>
      <c r="N256" s="144">
        <f t="shared" ca="1" si="31"/>
        <v>8.3591511461318042</v>
      </c>
      <c r="O256" s="144">
        <f t="shared" ca="1" si="31"/>
        <v>66.642371060171911</v>
      </c>
      <c r="P256" s="144">
        <f t="shared" ca="1" si="31"/>
        <v>1</v>
      </c>
      <c r="Q256" s="144">
        <f t="shared" ca="1" si="31"/>
        <v>0.89541547277936961</v>
      </c>
    </row>
    <row r="257" spans="1:17" x14ac:dyDescent="0.25">
      <c r="A257" s="145">
        <v>42513</v>
      </c>
      <c r="B257" s="144">
        <v>1.1214999999999999</v>
      </c>
      <c r="C257" s="144">
        <v>75.227699999999999</v>
      </c>
      <c r="D257" s="144">
        <v>9.3658000000000001</v>
      </c>
      <c r="E257" s="144">
        <v>122.7</v>
      </c>
      <c r="F257" s="144">
        <v>0.77442999999999995</v>
      </c>
      <c r="G257" s="144">
        <v>1.1105</v>
      </c>
      <c r="I257" s="144">
        <v>1</v>
      </c>
      <c r="J257" s="145">
        <f t="shared" si="25"/>
        <v>42513</v>
      </c>
      <c r="K257" s="144">
        <f t="shared" ca="1" si="31"/>
        <v>0.99019170753455199</v>
      </c>
      <c r="L257" s="144">
        <f t="shared" ca="1" si="31"/>
        <v>0.69053053945608556</v>
      </c>
      <c r="M257" s="144">
        <f t="shared" ca="1" si="31"/>
        <v>109.40704413731611</v>
      </c>
      <c r="N257" s="144">
        <f t="shared" ca="1" si="31"/>
        <v>8.3511368702630406</v>
      </c>
      <c r="O257" s="144">
        <f t="shared" ca="1" si="31"/>
        <v>67.077753009362468</v>
      </c>
      <c r="P257" s="144">
        <f t="shared" ca="1" si="31"/>
        <v>1</v>
      </c>
      <c r="Q257" s="144">
        <f t="shared" ca="1" si="31"/>
        <v>0.89166295140436924</v>
      </c>
    </row>
    <row r="258" spans="1:17" x14ac:dyDescent="0.25">
      <c r="A258" s="145">
        <v>42512</v>
      </c>
      <c r="B258" s="144">
        <v>1.1218999999999999</v>
      </c>
      <c r="C258" s="144">
        <v>74.913899999999998</v>
      </c>
      <c r="D258" s="144">
        <v>9.3354999999999997</v>
      </c>
      <c r="E258" s="144">
        <v>123.81</v>
      </c>
      <c r="F258" s="144">
        <v>0.77007999999999999</v>
      </c>
      <c r="G258" s="144">
        <v>1.1123000000000001</v>
      </c>
      <c r="I258" s="144">
        <v>1</v>
      </c>
      <c r="J258" s="145">
        <f t="shared" si="25"/>
        <v>42512</v>
      </c>
      <c r="K258" s="144">
        <f t="shared" ca="1" si="31"/>
        <v>0.99144308761921751</v>
      </c>
      <c r="L258" s="144">
        <f t="shared" ca="1" si="31"/>
        <v>0.68640698814511103</v>
      </c>
      <c r="M258" s="144">
        <f t="shared" ca="1" si="31"/>
        <v>110.35742936090561</v>
      </c>
      <c r="N258" s="144">
        <f t="shared" ca="1" si="31"/>
        <v>8.3211516177912479</v>
      </c>
      <c r="O258" s="144">
        <f t="shared" ca="1" si="31"/>
        <v>66.774133166948928</v>
      </c>
      <c r="P258" s="144">
        <f t="shared" ca="1" si="31"/>
        <v>1</v>
      </c>
      <c r="Q258" s="144">
        <f t="shared" ca="1" si="31"/>
        <v>0.89134503966485434</v>
      </c>
    </row>
    <row r="259" spans="1:17" x14ac:dyDescent="0.25">
      <c r="A259" s="145">
        <v>42511</v>
      </c>
      <c r="B259" s="144">
        <v>1.1218999999999999</v>
      </c>
      <c r="C259" s="144">
        <v>74.913899999999998</v>
      </c>
      <c r="D259" s="144">
        <v>9.3354999999999997</v>
      </c>
      <c r="E259" s="144">
        <v>123.81</v>
      </c>
      <c r="F259" s="144">
        <v>0.77007999999999999</v>
      </c>
      <c r="G259" s="144">
        <v>1.1123000000000001</v>
      </c>
      <c r="I259" s="144">
        <v>1</v>
      </c>
      <c r="J259" s="145">
        <f t="shared" si="25"/>
        <v>42511</v>
      </c>
      <c r="K259" s="144">
        <f t="shared" ca="1" si="31"/>
        <v>0.99144308761921751</v>
      </c>
      <c r="L259" s="144">
        <f t="shared" ca="1" si="31"/>
        <v>0.68640698814511103</v>
      </c>
      <c r="M259" s="144">
        <f t="shared" ca="1" si="31"/>
        <v>110.35742936090561</v>
      </c>
      <c r="N259" s="144">
        <f t="shared" ca="1" si="31"/>
        <v>8.3211516177912479</v>
      </c>
      <c r="O259" s="144">
        <f t="shared" ca="1" si="31"/>
        <v>66.774133166948928</v>
      </c>
      <c r="P259" s="144">
        <f t="shared" ca="1" si="31"/>
        <v>1</v>
      </c>
      <c r="Q259" s="144">
        <f t="shared" ca="1" si="31"/>
        <v>0.89134503966485434</v>
      </c>
    </row>
    <row r="260" spans="1:17" x14ac:dyDescent="0.25">
      <c r="A260" s="145">
        <v>42510</v>
      </c>
      <c r="B260" s="144">
        <v>1.1218999999999999</v>
      </c>
      <c r="C260" s="144">
        <v>74.913899999999998</v>
      </c>
      <c r="D260" s="144">
        <v>9.3354999999999997</v>
      </c>
      <c r="E260" s="144">
        <v>123.81</v>
      </c>
      <c r="F260" s="144">
        <v>0.77007999999999999</v>
      </c>
      <c r="G260" s="144">
        <v>1.1123000000000001</v>
      </c>
      <c r="I260" s="144">
        <v>1</v>
      </c>
      <c r="J260" s="145">
        <f t="shared" si="25"/>
        <v>42510</v>
      </c>
      <c r="K260" s="144">
        <f t="shared" ca="1" si="31"/>
        <v>0.99144308761921751</v>
      </c>
      <c r="L260" s="144">
        <f t="shared" ca="1" si="31"/>
        <v>0.68640698814511103</v>
      </c>
      <c r="M260" s="144">
        <f t="shared" ca="1" si="31"/>
        <v>110.35742936090561</v>
      </c>
      <c r="N260" s="144">
        <f t="shared" ca="1" si="31"/>
        <v>8.3211516177912479</v>
      </c>
      <c r="O260" s="144">
        <f t="shared" ca="1" si="31"/>
        <v>66.774133166948928</v>
      </c>
      <c r="P260" s="144">
        <f t="shared" ca="1" si="31"/>
        <v>1</v>
      </c>
      <c r="Q260" s="144">
        <f t="shared" ca="1" si="31"/>
        <v>0.89134503966485434</v>
      </c>
    </row>
    <row r="261" spans="1:17" x14ac:dyDescent="0.25">
      <c r="A261" s="145">
        <v>42509</v>
      </c>
      <c r="B261" s="144">
        <v>1.1196999999999999</v>
      </c>
      <c r="C261" s="144">
        <v>74.535600000000002</v>
      </c>
      <c r="D261" s="144">
        <v>9.3592999999999993</v>
      </c>
      <c r="E261" s="144">
        <v>123.17</v>
      </c>
      <c r="F261" s="144">
        <v>0.76585000000000003</v>
      </c>
      <c r="G261" s="144">
        <v>1.1089</v>
      </c>
      <c r="I261" s="144">
        <v>1</v>
      </c>
      <c r="J261" s="145">
        <f t="shared" ref="J261:J324" si="32">A261</f>
        <v>42509</v>
      </c>
      <c r="K261" s="144">
        <f t="shared" ca="1" si="31"/>
        <v>0.99035455925694393</v>
      </c>
      <c r="L261" s="144">
        <f t="shared" ca="1" si="31"/>
        <v>0.68397785121014565</v>
      </c>
      <c r="M261" s="144">
        <f t="shared" ca="1" si="31"/>
        <v>110.0026792890953</v>
      </c>
      <c r="N261" s="144">
        <f t="shared" ca="1" si="31"/>
        <v>8.3587568098597842</v>
      </c>
      <c r="O261" s="144">
        <f t="shared" ca="1" si="31"/>
        <v>66.567473430383146</v>
      </c>
      <c r="P261" s="144">
        <f t="shared" ca="1" si="31"/>
        <v>1</v>
      </c>
      <c r="Q261" s="144">
        <f t="shared" ca="1" si="31"/>
        <v>0.89309636509779411</v>
      </c>
    </row>
    <row r="262" spans="1:17" x14ac:dyDescent="0.25">
      <c r="A262" s="145">
        <v>42508</v>
      </c>
      <c r="B262" s="144">
        <v>1.1278999999999999</v>
      </c>
      <c r="C262" s="144">
        <v>73.780900000000003</v>
      </c>
      <c r="D262" s="144">
        <v>9.2784999999999993</v>
      </c>
      <c r="E262" s="144">
        <v>123.38</v>
      </c>
      <c r="F262" s="144">
        <v>0.77485000000000004</v>
      </c>
      <c r="G262" s="144">
        <v>1.1086</v>
      </c>
      <c r="I262" s="144">
        <v>1</v>
      </c>
      <c r="J262" s="145">
        <f t="shared" si="32"/>
        <v>42508</v>
      </c>
      <c r="K262" s="144">
        <f t="shared" ca="1" si="31"/>
        <v>0.98288855394981833</v>
      </c>
      <c r="L262" s="144">
        <f t="shared" ca="1" si="31"/>
        <v>0.68698466176079453</v>
      </c>
      <c r="M262" s="144">
        <f t="shared" ca="1" si="31"/>
        <v>109.38913024204274</v>
      </c>
      <c r="N262" s="144">
        <f t="shared" ca="1" si="31"/>
        <v>8.2263498537104347</v>
      </c>
      <c r="O262" s="144">
        <f t="shared" ca="1" si="31"/>
        <v>65.41439843957798</v>
      </c>
      <c r="P262" s="144">
        <f t="shared" ca="1" si="31"/>
        <v>1</v>
      </c>
      <c r="Q262" s="144">
        <f t="shared" ca="1" si="31"/>
        <v>0.88660342228921007</v>
      </c>
    </row>
    <row r="263" spans="1:17" x14ac:dyDescent="0.25">
      <c r="A263" s="145">
        <v>42507</v>
      </c>
      <c r="B263" s="144">
        <v>1.1317999999999999</v>
      </c>
      <c r="C263" s="144">
        <v>73.37</v>
      </c>
      <c r="D263" s="144">
        <v>9.2558000000000007</v>
      </c>
      <c r="E263" s="144">
        <v>123.93</v>
      </c>
      <c r="F263" s="144">
        <v>0.78149999999999997</v>
      </c>
      <c r="G263" s="144">
        <v>1.1080000000000001</v>
      </c>
      <c r="I263" s="144">
        <v>1</v>
      </c>
      <c r="J263" s="145">
        <f t="shared" si="32"/>
        <v>42507</v>
      </c>
      <c r="K263" s="144">
        <f t="shared" ca="1" si="31"/>
        <v>0.9789715497437711</v>
      </c>
      <c r="L263" s="144">
        <f t="shared" ca="1" si="31"/>
        <v>0.69049301996819223</v>
      </c>
      <c r="M263" s="144">
        <f t="shared" ca="1" si="31"/>
        <v>109.49814454850681</v>
      </c>
      <c r="N263" s="144">
        <f t="shared" ca="1" si="31"/>
        <v>8.1779466336808628</v>
      </c>
      <c r="O263" s="144">
        <f t="shared" ca="1" si="31"/>
        <v>64.825940978971559</v>
      </c>
      <c r="P263" s="144">
        <f t="shared" ca="1" si="31"/>
        <v>1</v>
      </c>
      <c r="Q263" s="144">
        <f t="shared" ca="1" si="31"/>
        <v>0.88354833009365619</v>
      </c>
    </row>
    <row r="264" spans="1:17" x14ac:dyDescent="0.25">
      <c r="A264" s="145">
        <v>42506</v>
      </c>
      <c r="B264" s="144">
        <v>1.1324000000000001</v>
      </c>
      <c r="C264" s="144">
        <v>73.575900000000004</v>
      </c>
      <c r="D264" s="144">
        <v>9.2370000000000001</v>
      </c>
      <c r="E264" s="144">
        <v>123.27</v>
      </c>
      <c r="F264" s="144">
        <v>0.78800000000000003</v>
      </c>
      <c r="G264" s="144">
        <v>1.1059000000000001</v>
      </c>
      <c r="I264" s="144">
        <v>1</v>
      </c>
      <c r="J264" s="145">
        <f t="shared" si="32"/>
        <v>42506</v>
      </c>
      <c r="K264" s="144">
        <f t="shared" ca="1" si="31"/>
        <v>0.97659837513246206</v>
      </c>
      <c r="L264" s="144">
        <f t="shared" ca="1" si="31"/>
        <v>0.69586718474037446</v>
      </c>
      <c r="M264" s="144">
        <f t="shared" ca="1" si="31"/>
        <v>108.8572942423172</v>
      </c>
      <c r="N264" s="144">
        <f t="shared" ca="1" si="31"/>
        <v>8.1570116566584243</v>
      </c>
      <c r="O264" s="144">
        <f t="shared" ca="1" si="31"/>
        <v>64.973419286471213</v>
      </c>
      <c r="P264" s="144">
        <f t="shared" ca="1" si="31"/>
        <v>1</v>
      </c>
      <c r="Q264" s="144">
        <f t="shared" ca="1" si="31"/>
        <v>0.8830801836806782</v>
      </c>
    </row>
    <row r="265" spans="1:17" x14ac:dyDescent="0.25">
      <c r="A265" s="145">
        <v>42505</v>
      </c>
      <c r="B265" s="144">
        <v>1.1348</v>
      </c>
      <c r="C265" s="144">
        <v>74.069699999999997</v>
      </c>
      <c r="D265" s="144">
        <v>9.2677999999999994</v>
      </c>
      <c r="E265" s="144">
        <v>123.56</v>
      </c>
      <c r="F265" s="144">
        <v>0.78757999999999995</v>
      </c>
      <c r="G265" s="144">
        <v>1.1024</v>
      </c>
      <c r="I265" s="144">
        <v>1</v>
      </c>
      <c r="J265" s="145">
        <f t="shared" si="32"/>
        <v>42505</v>
      </c>
      <c r="K265" s="144">
        <f t="shared" ref="K265:Q274" ca="1" si="33">OFFSET($A265,0,K$3)/OFFSET($A265,0,$P$3)</f>
        <v>0.9714487134296792</v>
      </c>
      <c r="L265" s="144">
        <f t="shared" ca="1" si="33"/>
        <v>0.69402537892139582</v>
      </c>
      <c r="M265" s="144">
        <f t="shared" ca="1" si="33"/>
        <v>108.88262248854424</v>
      </c>
      <c r="N265" s="144">
        <f t="shared" ca="1" si="33"/>
        <v>8.16690165667959</v>
      </c>
      <c r="O265" s="144">
        <f t="shared" ca="1" si="33"/>
        <v>65.271149101163203</v>
      </c>
      <c r="P265" s="144">
        <f t="shared" ca="1" si="33"/>
        <v>1</v>
      </c>
      <c r="Q265" s="144">
        <f t="shared" ca="1" si="33"/>
        <v>0.88121254846669017</v>
      </c>
    </row>
    <row r="266" spans="1:17" x14ac:dyDescent="0.25">
      <c r="A266" s="145">
        <v>42504</v>
      </c>
      <c r="B266" s="144">
        <v>1.1348</v>
      </c>
      <c r="C266" s="144">
        <v>74.069699999999997</v>
      </c>
      <c r="D266" s="144">
        <v>9.2677999999999994</v>
      </c>
      <c r="E266" s="144">
        <v>123.56</v>
      </c>
      <c r="F266" s="144">
        <v>0.78757999999999995</v>
      </c>
      <c r="G266" s="144">
        <v>1.1024</v>
      </c>
      <c r="I266" s="144">
        <v>1</v>
      </c>
      <c r="J266" s="145">
        <f t="shared" si="32"/>
        <v>42504</v>
      </c>
      <c r="K266" s="144">
        <f t="shared" ca="1" si="33"/>
        <v>0.9714487134296792</v>
      </c>
      <c r="L266" s="144">
        <f t="shared" ca="1" si="33"/>
        <v>0.69402537892139582</v>
      </c>
      <c r="M266" s="144">
        <f t="shared" ca="1" si="33"/>
        <v>108.88262248854424</v>
      </c>
      <c r="N266" s="144">
        <f t="shared" ca="1" si="33"/>
        <v>8.16690165667959</v>
      </c>
      <c r="O266" s="144">
        <f t="shared" ca="1" si="33"/>
        <v>65.271149101163203</v>
      </c>
      <c r="P266" s="144">
        <f t="shared" ca="1" si="33"/>
        <v>1</v>
      </c>
      <c r="Q266" s="144">
        <f t="shared" ca="1" si="33"/>
        <v>0.88121254846669017</v>
      </c>
    </row>
    <row r="267" spans="1:17" x14ac:dyDescent="0.25">
      <c r="A267" s="145">
        <v>42503</v>
      </c>
      <c r="B267" s="144">
        <v>1.1348</v>
      </c>
      <c r="C267" s="144">
        <v>74.069699999999997</v>
      </c>
      <c r="D267" s="144">
        <v>9.2677999999999994</v>
      </c>
      <c r="E267" s="144">
        <v>123.56</v>
      </c>
      <c r="F267" s="144">
        <v>0.78757999999999995</v>
      </c>
      <c r="G267" s="144">
        <v>1.1024</v>
      </c>
      <c r="I267" s="144">
        <v>1</v>
      </c>
      <c r="J267" s="145">
        <f t="shared" si="32"/>
        <v>42503</v>
      </c>
      <c r="K267" s="144">
        <f t="shared" ca="1" si="33"/>
        <v>0.9714487134296792</v>
      </c>
      <c r="L267" s="144">
        <f t="shared" ca="1" si="33"/>
        <v>0.69402537892139582</v>
      </c>
      <c r="M267" s="144">
        <f t="shared" ca="1" si="33"/>
        <v>108.88262248854424</v>
      </c>
      <c r="N267" s="144">
        <f t="shared" ca="1" si="33"/>
        <v>8.16690165667959</v>
      </c>
      <c r="O267" s="144">
        <f t="shared" ca="1" si="33"/>
        <v>65.271149101163203</v>
      </c>
      <c r="P267" s="144">
        <f t="shared" ca="1" si="33"/>
        <v>1</v>
      </c>
      <c r="Q267" s="144">
        <f t="shared" ca="1" si="33"/>
        <v>0.88121254846669017</v>
      </c>
    </row>
    <row r="268" spans="1:17" x14ac:dyDescent="0.25">
      <c r="A268" s="145">
        <v>42502</v>
      </c>
      <c r="B268" s="144">
        <v>1.1389</v>
      </c>
      <c r="C268" s="144">
        <v>73.742999999999995</v>
      </c>
      <c r="D268" s="144">
        <v>9.2319999999999993</v>
      </c>
      <c r="E268" s="144">
        <v>124.5</v>
      </c>
      <c r="F268" s="144">
        <v>0.78888000000000003</v>
      </c>
      <c r="G268" s="144">
        <v>1.1063000000000001</v>
      </c>
      <c r="I268" s="144">
        <v>1</v>
      </c>
      <c r="J268" s="145">
        <f t="shared" si="32"/>
        <v>42502</v>
      </c>
      <c r="K268" s="144">
        <f t="shared" ca="1" si="33"/>
        <v>0.97137588901571692</v>
      </c>
      <c r="L268" s="144">
        <f t="shared" ca="1" si="33"/>
        <v>0.69266836421108091</v>
      </c>
      <c r="M268" s="144">
        <f t="shared" ca="1" si="33"/>
        <v>109.31600667310562</v>
      </c>
      <c r="N268" s="144">
        <f t="shared" ca="1" si="33"/>
        <v>8.1060672578804098</v>
      </c>
      <c r="O268" s="144">
        <f t="shared" ca="1" si="33"/>
        <v>64.749319518833957</v>
      </c>
      <c r="P268" s="144">
        <f t="shared" ca="1" si="33"/>
        <v>1</v>
      </c>
      <c r="Q268" s="144">
        <f t="shared" ca="1" si="33"/>
        <v>0.87804021424181222</v>
      </c>
    </row>
    <row r="269" spans="1:17" x14ac:dyDescent="0.25">
      <c r="A269" s="145">
        <v>42501</v>
      </c>
      <c r="B269" s="144">
        <v>1.1409</v>
      </c>
      <c r="C269" s="144">
        <v>75.026700000000005</v>
      </c>
      <c r="D269" s="144">
        <v>9.3475000000000001</v>
      </c>
      <c r="E269" s="144">
        <v>124.09</v>
      </c>
      <c r="F269" s="144">
        <v>0.78957999999999995</v>
      </c>
      <c r="G269" s="144">
        <v>1.1099000000000001</v>
      </c>
      <c r="I269" s="144">
        <v>1</v>
      </c>
      <c r="J269" s="145">
        <f t="shared" si="32"/>
        <v>42501</v>
      </c>
      <c r="K269" s="144">
        <f t="shared" ca="1" si="33"/>
        <v>0.9728284687527391</v>
      </c>
      <c r="L269" s="144">
        <f t="shared" ca="1" si="33"/>
        <v>0.69206766587781565</v>
      </c>
      <c r="M269" s="144">
        <f t="shared" ca="1" si="33"/>
        <v>108.76501007976159</v>
      </c>
      <c r="N269" s="144">
        <f t="shared" ca="1" si="33"/>
        <v>8.1930931720571483</v>
      </c>
      <c r="O269" s="144">
        <f t="shared" ca="1" si="33"/>
        <v>65.760978175124905</v>
      </c>
      <c r="P269" s="144">
        <f t="shared" ca="1" si="33"/>
        <v>1</v>
      </c>
      <c r="Q269" s="144">
        <f t="shared" ca="1" si="33"/>
        <v>0.87650100797615915</v>
      </c>
    </row>
    <row r="270" spans="1:17" x14ac:dyDescent="0.25">
      <c r="A270" s="145">
        <v>42500</v>
      </c>
      <c r="B270" s="144">
        <v>1.1375</v>
      </c>
      <c r="C270" s="144">
        <v>75.6404</v>
      </c>
      <c r="D270" s="144">
        <v>9.3520000000000003</v>
      </c>
      <c r="E270" s="144">
        <v>124.12</v>
      </c>
      <c r="F270" s="144">
        <v>0.78759999999999997</v>
      </c>
      <c r="G270" s="144">
        <v>1.1079000000000001</v>
      </c>
      <c r="I270" s="144">
        <v>1</v>
      </c>
      <c r="J270" s="145">
        <f t="shared" si="32"/>
        <v>42500</v>
      </c>
      <c r="K270" s="144">
        <f t="shared" ca="1" si="33"/>
        <v>0.97397802197802208</v>
      </c>
      <c r="L270" s="144">
        <f t="shared" ca="1" si="33"/>
        <v>0.69239560439560444</v>
      </c>
      <c r="M270" s="144">
        <f t="shared" ca="1" si="33"/>
        <v>109.11648351648353</v>
      </c>
      <c r="N270" s="144">
        <f t="shared" ca="1" si="33"/>
        <v>8.2215384615384615</v>
      </c>
      <c r="O270" s="144">
        <f t="shared" ca="1" si="33"/>
        <v>66.497054945054941</v>
      </c>
      <c r="P270" s="144">
        <f t="shared" ca="1" si="33"/>
        <v>1</v>
      </c>
      <c r="Q270" s="144">
        <f t="shared" ca="1" si="33"/>
        <v>0.87912087912087911</v>
      </c>
    </row>
    <row r="271" spans="1:17" x14ac:dyDescent="0.25">
      <c r="A271" s="145">
        <v>42499</v>
      </c>
      <c r="B271" s="144">
        <v>1.1395</v>
      </c>
      <c r="C271" s="144">
        <v>75.190799999999996</v>
      </c>
      <c r="D271" s="144">
        <v>9.3330000000000002</v>
      </c>
      <c r="E271" s="144">
        <v>123.39</v>
      </c>
      <c r="F271" s="144">
        <v>0.78998000000000002</v>
      </c>
      <c r="G271" s="144">
        <v>1.1052999999999999</v>
      </c>
      <c r="I271" s="144">
        <v>1</v>
      </c>
      <c r="J271" s="145">
        <f t="shared" si="32"/>
        <v>42499</v>
      </c>
      <c r="K271" s="144">
        <f t="shared" ca="1" si="33"/>
        <v>0.96998683633172444</v>
      </c>
      <c r="L271" s="144">
        <f t="shared" ca="1" si="33"/>
        <v>0.69326897762176398</v>
      </c>
      <c r="M271" s="144">
        <f t="shared" ca="1" si="33"/>
        <v>108.28433523475209</v>
      </c>
      <c r="N271" s="144">
        <f t="shared" ca="1" si="33"/>
        <v>8.1904344010530945</v>
      </c>
      <c r="O271" s="144">
        <f t="shared" ca="1" si="33"/>
        <v>65.9857832382624</v>
      </c>
      <c r="P271" s="144">
        <f t="shared" ca="1" si="33"/>
        <v>1</v>
      </c>
      <c r="Q271" s="144">
        <f t="shared" ca="1" si="33"/>
        <v>0.87757788503729706</v>
      </c>
    </row>
    <row r="272" spans="1:17" x14ac:dyDescent="0.25">
      <c r="A272" s="145">
        <v>42498</v>
      </c>
      <c r="B272" s="144">
        <v>1.1427</v>
      </c>
      <c r="C272" s="144">
        <v>75.913499999999999</v>
      </c>
      <c r="D272" s="144">
        <v>9.3513000000000002</v>
      </c>
      <c r="E272" s="144">
        <v>122.23</v>
      </c>
      <c r="F272" s="144">
        <v>0.78849999999999998</v>
      </c>
      <c r="G272" s="144">
        <v>1.107</v>
      </c>
      <c r="I272" s="144">
        <v>1</v>
      </c>
      <c r="J272" s="145">
        <f t="shared" si="32"/>
        <v>42498</v>
      </c>
      <c r="K272" s="144">
        <f t="shared" ca="1" si="33"/>
        <v>0.96875820425308479</v>
      </c>
      <c r="L272" s="144">
        <f t="shared" ca="1" si="33"/>
        <v>0.69003237945217466</v>
      </c>
      <c r="M272" s="144">
        <f t="shared" ca="1" si="33"/>
        <v>106.96595781920014</v>
      </c>
      <c r="N272" s="144">
        <f t="shared" ca="1" si="33"/>
        <v>8.1835127330007875</v>
      </c>
      <c r="O272" s="144">
        <f t="shared" ca="1" si="33"/>
        <v>66.433447098976103</v>
      </c>
      <c r="P272" s="144">
        <f t="shared" ca="1" si="33"/>
        <v>1</v>
      </c>
      <c r="Q272" s="144">
        <f t="shared" ca="1" si="33"/>
        <v>0.87512032904524373</v>
      </c>
    </row>
    <row r="273" spans="1:17" x14ac:dyDescent="0.25">
      <c r="A273" s="145">
        <v>42497</v>
      </c>
      <c r="B273" s="144">
        <v>1.1427</v>
      </c>
      <c r="C273" s="144">
        <v>75.913499999999999</v>
      </c>
      <c r="D273" s="144">
        <v>9.3513000000000002</v>
      </c>
      <c r="E273" s="144">
        <v>122.23</v>
      </c>
      <c r="F273" s="144">
        <v>0.78849999999999998</v>
      </c>
      <c r="G273" s="144">
        <v>1.107</v>
      </c>
      <c r="I273" s="144">
        <v>1</v>
      </c>
      <c r="J273" s="145">
        <f t="shared" si="32"/>
        <v>42497</v>
      </c>
      <c r="K273" s="144">
        <f t="shared" ca="1" si="33"/>
        <v>0.96875820425308479</v>
      </c>
      <c r="L273" s="144">
        <f t="shared" ca="1" si="33"/>
        <v>0.69003237945217466</v>
      </c>
      <c r="M273" s="144">
        <f t="shared" ca="1" si="33"/>
        <v>106.96595781920014</v>
      </c>
      <c r="N273" s="144">
        <f t="shared" ca="1" si="33"/>
        <v>8.1835127330007875</v>
      </c>
      <c r="O273" s="144">
        <f t="shared" ca="1" si="33"/>
        <v>66.433447098976103</v>
      </c>
      <c r="P273" s="144">
        <f t="shared" ca="1" si="33"/>
        <v>1</v>
      </c>
      <c r="Q273" s="144">
        <f t="shared" ca="1" si="33"/>
        <v>0.87512032904524373</v>
      </c>
    </row>
    <row r="274" spans="1:17" x14ac:dyDescent="0.25">
      <c r="A274" s="145">
        <v>42496</v>
      </c>
      <c r="B274" s="144">
        <v>1.1427</v>
      </c>
      <c r="C274" s="144">
        <v>75.913499999999999</v>
      </c>
      <c r="D274" s="144">
        <v>9.3513000000000002</v>
      </c>
      <c r="E274" s="144">
        <v>122.23</v>
      </c>
      <c r="F274" s="144">
        <v>0.78849999999999998</v>
      </c>
      <c r="G274" s="144">
        <v>1.107</v>
      </c>
      <c r="I274" s="144">
        <v>1</v>
      </c>
      <c r="J274" s="145">
        <f t="shared" si="32"/>
        <v>42496</v>
      </c>
      <c r="K274" s="144">
        <f t="shared" ca="1" si="33"/>
        <v>0.96875820425308479</v>
      </c>
      <c r="L274" s="144">
        <f t="shared" ca="1" si="33"/>
        <v>0.69003237945217466</v>
      </c>
      <c r="M274" s="144">
        <f t="shared" ca="1" si="33"/>
        <v>106.96595781920014</v>
      </c>
      <c r="N274" s="144">
        <f t="shared" ca="1" si="33"/>
        <v>8.1835127330007875</v>
      </c>
      <c r="O274" s="144">
        <f t="shared" ca="1" si="33"/>
        <v>66.433447098976103</v>
      </c>
      <c r="P274" s="144">
        <f t="shared" ca="1" si="33"/>
        <v>1</v>
      </c>
      <c r="Q274" s="144">
        <f t="shared" ca="1" si="33"/>
        <v>0.87512032904524373</v>
      </c>
    </row>
    <row r="275" spans="1:17" x14ac:dyDescent="0.25">
      <c r="A275" s="145">
        <v>42495</v>
      </c>
      <c r="B275" s="144">
        <v>1.1438999999999999</v>
      </c>
      <c r="C275" s="144">
        <v>75.055899999999994</v>
      </c>
      <c r="D275" s="144">
        <v>9.2985000000000007</v>
      </c>
      <c r="E275" s="144">
        <v>122.51</v>
      </c>
      <c r="F275" s="144">
        <v>0.78859999999999997</v>
      </c>
      <c r="G275" s="144">
        <v>1.1017999999999999</v>
      </c>
      <c r="I275" s="144">
        <v>1</v>
      </c>
      <c r="J275" s="145">
        <f t="shared" si="32"/>
        <v>42495</v>
      </c>
      <c r="K275" s="144">
        <f t="shared" ref="K275:Q284" ca="1" si="34">OFFSET($A275,0,K$3)/OFFSET($A275,0,$P$3)</f>
        <v>0.96319608357373898</v>
      </c>
      <c r="L275" s="144">
        <f t="shared" ca="1" si="34"/>
        <v>0.6893959262173267</v>
      </c>
      <c r="M275" s="144">
        <f t="shared" ca="1" si="34"/>
        <v>107.09852259812922</v>
      </c>
      <c r="N275" s="144">
        <f t="shared" ca="1" si="34"/>
        <v>8.128769997377395</v>
      </c>
      <c r="O275" s="144">
        <f t="shared" ca="1" si="34"/>
        <v>65.61403968878399</v>
      </c>
      <c r="P275" s="144">
        <f t="shared" ca="1" si="34"/>
        <v>1</v>
      </c>
      <c r="Q275" s="144">
        <f t="shared" ca="1" si="34"/>
        <v>0.87420229041000097</v>
      </c>
    </row>
    <row r="276" spans="1:17" x14ac:dyDescent="0.25">
      <c r="A276" s="145">
        <v>42494</v>
      </c>
      <c r="B276" s="144">
        <v>1.1505000000000001</v>
      </c>
      <c r="C276" s="144">
        <v>75.956000000000003</v>
      </c>
      <c r="D276" s="144">
        <v>9.3409999999999993</v>
      </c>
      <c r="E276" s="144">
        <v>122.62</v>
      </c>
      <c r="F276" s="144">
        <v>0.79283999999999999</v>
      </c>
      <c r="G276" s="144">
        <v>1.0992999999999999</v>
      </c>
      <c r="I276" s="144">
        <v>1</v>
      </c>
      <c r="J276" s="145">
        <f t="shared" si="32"/>
        <v>42494</v>
      </c>
      <c r="K276" s="144">
        <f t="shared" ca="1" si="34"/>
        <v>0.95549760973489772</v>
      </c>
      <c r="L276" s="144">
        <f t="shared" ca="1" si="34"/>
        <v>0.68912646675358535</v>
      </c>
      <c r="M276" s="144">
        <f t="shared" ca="1" si="34"/>
        <v>106.57974793568013</v>
      </c>
      <c r="N276" s="144">
        <f t="shared" ca="1" si="34"/>
        <v>8.1190786614515424</v>
      </c>
      <c r="O276" s="144">
        <f t="shared" ca="1" si="34"/>
        <v>66.019991308126905</v>
      </c>
      <c r="P276" s="144">
        <f t="shared" ca="1" si="34"/>
        <v>1</v>
      </c>
      <c r="Q276" s="144">
        <f t="shared" ca="1" si="34"/>
        <v>0.86918730986527593</v>
      </c>
    </row>
    <row r="277" spans="1:17" x14ac:dyDescent="0.25">
      <c r="A277" s="145">
        <v>42493</v>
      </c>
      <c r="B277" s="144">
        <v>1.1569</v>
      </c>
      <c r="C277" s="144">
        <v>76.949799999999996</v>
      </c>
      <c r="D277" s="144">
        <v>9.3089999999999993</v>
      </c>
      <c r="E277" s="144">
        <v>122.53</v>
      </c>
      <c r="F277" s="144">
        <v>0.79103000000000001</v>
      </c>
      <c r="G277" s="144">
        <v>1.0976999999999999</v>
      </c>
      <c r="I277" s="144">
        <v>1</v>
      </c>
      <c r="J277" s="145">
        <f t="shared" si="32"/>
        <v>42493</v>
      </c>
      <c r="K277" s="144">
        <f t="shared" ca="1" si="34"/>
        <v>0.94882876653124715</v>
      </c>
      <c r="L277" s="144">
        <f t="shared" ca="1" si="34"/>
        <v>0.68374967585789603</v>
      </c>
      <c r="M277" s="144">
        <f t="shared" ca="1" si="34"/>
        <v>105.91235197510588</v>
      </c>
      <c r="N277" s="144">
        <f t="shared" ca="1" si="34"/>
        <v>8.0465035871726158</v>
      </c>
      <c r="O277" s="144">
        <f t="shared" ca="1" si="34"/>
        <v>66.513786844152477</v>
      </c>
      <c r="P277" s="144">
        <f t="shared" ca="1" si="34"/>
        <v>1</v>
      </c>
      <c r="Q277" s="144">
        <f t="shared" ca="1" si="34"/>
        <v>0.86437894372893076</v>
      </c>
    </row>
    <row r="278" spans="1:17" x14ac:dyDescent="0.25">
      <c r="A278" s="145">
        <v>42492</v>
      </c>
      <c r="B278" s="144">
        <v>1.1493</v>
      </c>
      <c r="C278" s="144">
        <v>74.408100000000005</v>
      </c>
      <c r="D278" s="144">
        <v>9.2330000000000005</v>
      </c>
      <c r="E278" s="144">
        <v>122.47</v>
      </c>
      <c r="F278" s="144">
        <v>0.78247999999999995</v>
      </c>
      <c r="G278" s="144">
        <v>1.0999000000000001</v>
      </c>
      <c r="I278" s="144">
        <v>1</v>
      </c>
      <c r="J278" s="145">
        <f t="shared" si="32"/>
        <v>42492</v>
      </c>
      <c r="K278" s="144">
        <f t="shared" ca="1" si="34"/>
        <v>0.95701731488732278</v>
      </c>
      <c r="L278" s="144">
        <f t="shared" ca="1" si="34"/>
        <v>0.68083181066736276</v>
      </c>
      <c r="M278" s="144">
        <f t="shared" ca="1" si="34"/>
        <v>106.56051509614548</v>
      </c>
      <c r="N278" s="144">
        <f t="shared" ca="1" si="34"/>
        <v>8.0335856608370317</v>
      </c>
      <c r="O278" s="144">
        <f t="shared" ca="1" si="34"/>
        <v>64.742103889323943</v>
      </c>
      <c r="P278" s="144">
        <f t="shared" ca="1" si="34"/>
        <v>1</v>
      </c>
      <c r="Q278" s="144">
        <f t="shared" ca="1" si="34"/>
        <v>0.87009484033759676</v>
      </c>
    </row>
    <row r="279" spans="1:17" x14ac:dyDescent="0.25">
      <c r="A279" s="145">
        <v>42491</v>
      </c>
      <c r="B279" s="144">
        <v>1.1403000000000001</v>
      </c>
      <c r="C279" s="144">
        <v>73.2286</v>
      </c>
      <c r="D279" s="144">
        <v>9.2149999999999999</v>
      </c>
      <c r="E279" s="144">
        <v>122.34</v>
      </c>
      <c r="F279" s="144">
        <v>0.78025</v>
      </c>
      <c r="G279" s="144">
        <v>1.0984</v>
      </c>
      <c r="I279" s="144">
        <v>1</v>
      </c>
      <c r="J279" s="145">
        <f t="shared" si="32"/>
        <v>42491</v>
      </c>
      <c r="K279" s="144">
        <f t="shared" ca="1" si="34"/>
        <v>0.96325528369727265</v>
      </c>
      <c r="L279" s="144">
        <f t="shared" ca="1" si="34"/>
        <v>0.68424975883539418</v>
      </c>
      <c r="M279" s="144">
        <f t="shared" ca="1" si="34"/>
        <v>107.28755590634043</v>
      </c>
      <c r="N279" s="144">
        <f t="shared" ca="1" si="34"/>
        <v>8.0812066999912293</v>
      </c>
      <c r="O279" s="144">
        <f t="shared" ca="1" si="34"/>
        <v>64.218714373410506</v>
      </c>
      <c r="P279" s="144">
        <f t="shared" ca="1" si="34"/>
        <v>1</v>
      </c>
      <c r="Q279" s="144">
        <f t="shared" ca="1" si="34"/>
        <v>0.87696220292905369</v>
      </c>
    </row>
    <row r="280" spans="1:17" x14ac:dyDescent="0.25">
      <c r="A280" s="145">
        <v>42490</v>
      </c>
      <c r="B280" s="144">
        <v>1.1403000000000001</v>
      </c>
      <c r="C280" s="144">
        <v>73.2286</v>
      </c>
      <c r="D280" s="144">
        <v>9.2149999999999999</v>
      </c>
      <c r="E280" s="144">
        <v>122.34</v>
      </c>
      <c r="F280" s="144">
        <v>0.78025</v>
      </c>
      <c r="G280" s="144">
        <v>1.0984</v>
      </c>
      <c r="I280" s="144">
        <v>1</v>
      </c>
      <c r="J280" s="145">
        <f t="shared" si="32"/>
        <v>42490</v>
      </c>
      <c r="K280" s="144">
        <f t="shared" ca="1" si="34"/>
        <v>0.96325528369727265</v>
      </c>
      <c r="L280" s="144">
        <f t="shared" ca="1" si="34"/>
        <v>0.68424975883539418</v>
      </c>
      <c r="M280" s="144">
        <f t="shared" ca="1" si="34"/>
        <v>107.28755590634043</v>
      </c>
      <c r="N280" s="144">
        <f t="shared" ca="1" si="34"/>
        <v>8.0812066999912293</v>
      </c>
      <c r="O280" s="144">
        <f t="shared" ca="1" si="34"/>
        <v>64.218714373410506</v>
      </c>
      <c r="P280" s="144">
        <f t="shared" ca="1" si="34"/>
        <v>1</v>
      </c>
      <c r="Q280" s="144">
        <f t="shared" ca="1" si="34"/>
        <v>0.87696220292905369</v>
      </c>
    </row>
    <row r="281" spans="1:17" x14ac:dyDescent="0.25">
      <c r="A281" s="145">
        <v>42489</v>
      </c>
      <c r="B281" s="144">
        <v>1.1403000000000001</v>
      </c>
      <c r="C281" s="144">
        <v>73.2286</v>
      </c>
      <c r="D281" s="144">
        <v>9.2149999999999999</v>
      </c>
      <c r="E281" s="144">
        <v>122.34</v>
      </c>
      <c r="F281" s="144">
        <v>0.78025</v>
      </c>
      <c r="G281" s="144">
        <v>1.0984</v>
      </c>
      <c r="I281" s="144">
        <v>1</v>
      </c>
      <c r="J281" s="145">
        <f t="shared" si="32"/>
        <v>42489</v>
      </c>
      <c r="K281" s="144">
        <f t="shared" ca="1" si="34"/>
        <v>0.96325528369727265</v>
      </c>
      <c r="L281" s="144">
        <f t="shared" ca="1" si="34"/>
        <v>0.68424975883539418</v>
      </c>
      <c r="M281" s="144">
        <f t="shared" ca="1" si="34"/>
        <v>107.28755590634043</v>
      </c>
      <c r="N281" s="144">
        <f t="shared" ca="1" si="34"/>
        <v>8.0812066999912293</v>
      </c>
      <c r="O281" s="144">
        <f t="shared" ca="1" si="34"/>
        <v>64.218714373410506</v>
      </c>
      <c r="P281" s="144">
        <f t="shared" ca="1" si="34"/>
        <v>1</v>
      </c>
      <c r="Q281" s="144">
        <f t="shared" ca="1" si="34"/>
        <v>0.87696220292905369</v>
      </c>
    </row>
    <row r="282" spans="1:17" x14ac:dyDescent="0.25">
      <c r="A282" s="145">
        <v>42488</v>
      </c>
      <c r="B282" s="144">
        <v>1.1357999999999999</v>
      </c>
      <c r="C282" s="144">
        <v>73.519499999999994</v>
      </c>
      <c r="D282" s="144">
        <v>9.2460000000000004</v>
      </c>
      <c r="E282" s="144">
        <v>122.84</v>
      </c>
      <c r="F282" s="144">
        <v>0.77837999999999996</v>
      </c>
      <c r="G282" s="144">
        <v>1.0973999999999999</v>
      </c>
      <c r="I282" s="144">
        <v>1</v>
      </c>
      <c r="J282" s="145">
        <f t="shared" si="32"/>
        <v>42488</v>
      </c>
      <c r="K282" s="144">
        <f t="shared" ca="1" si="34"/>
        <v>0.96619123085050185</v>
      </c>
      <c r="L282" s="144">
        <f t="shared" ca="1" si="34"/>
        <v>0.6853143159006867</v>
      </c>
      <c r="M282" s="144">
        <f t="shared" ca="1" si="34"/>
        <v>108.15284381053003</v>
      </c>
      <c r="N282" s="144">
        <f t="shared" ca="1" si="34"/>
        <v>8.1405176967776018</v>
      </c>
      <c r="O282" s="144">
        <f t="shared" ca="1" si="34"/>
        <v>64.729265715795037</v>
      </c>
      <c r="P282" s="144">
        <f t="shared" ca="1" si="34"/>
        <v>1</v>
      </c>
      <c r="Q282" s="144">
        <f t="shared" ca="1" si="34"/>
        <v>0.88043669660151447</v>
      </c>
    </row>
    <row r="283" spans="1:17" x14ac:dyDescent="0.25">
      <c r="A283" s="145">
        <v>42487</v>
      </c>
      <c r="B283" s="144">
        <v>1.1303000000000001</v>
      </c>
      <c r="C283" s="144">
        <v>73.783699999999996</v>
      </c>
      <c r="D283" s="144">
        <v>9.2012999999999998</v>
      </c>
      <c r="E283" s="144">
        <v>125.79</v>
      </c>
      <c r="F283" s="144">
        <v>0.77475000000000005</v>
      </c>
      <c r="G283" s="144">
        <v>1.0998000000000001</v>
      </c>
      <c r="I283" s="144">
        <v>1</v>
      </c>
      <c r="J283" s="145">
        <f t="shared" si="32"/>
        <v>42487</v>
      </c>
      <c r="K283" s="144">
        <f t="shared" ca="1" si="34"/>
        <v>0.97301601344775723</v>
      </c>
      <c r="L283" s="144">
        <f t="shared" ca="1" si="34"/>
        <v>0.68543749447049451</v>
      </c>
      <c r="M283" s="144">
        <f t="shared" ca="1" si="34"/>
        <v>111.28903830841369</v>
      </c>
      <c r="N283" s="144">
        <f t="shared" ca="1" si="34"/>
        <v>8.1405821463328305</v>
      </c>
      <c r="O283" s="144">
        <f t="shared" ca="1" si="34"/>
        <v>65.277979297531616</v>
      </c>
      <c r="P283" s="144">
        <f t="shared" ca="1" si="34"/>
        <v>1</v>
      </c>
      <c r="Q283" s="144">
        <f t="shared" ca="1" si="34"/>
        <v>0.88472087056533655</v>
      </c>
    </row>
    <row r="284" spans="1:17" x14ac:dyDescent="0.25">
      <c r="A284" s="145">
        <v>42486</v>
      </c>
      <c r="B284" s="144">
        <v>1.1287</v>
      </c>
      <c r="C284" s="144">
        <v>74.894800000000004</v>
      </c>
      <c r="D284" s="144">
        <v>9.2278000000000002</v>
      </c>
      <c r="E284" s="144">
        <v>125.45</v>
      </c>
      <c r="F284" s="144">
        <v>0.77483000000000002</v>
      </c>
      <c r="G284" s="144">
        <v>1.1000000000000001</v>
      </c>
      <c r="I284" s="144">
        <v>1</v>
      </c>
      <c r="J284" s="145">
        <f t="shared" si="32"/>
        <v>42486</v>
      </c>
      <c r="K284" s="144">
        <f t="shared" ca="1" si="34"/>
        <v>0.97457251705501913</v>
      </c>
      <c r="L284" s="144">
        <f t="shared" ca="1" si="34"/>
        <v>0.68648002126340035</v>
      </c>
      <c r="M284" s="144">
        <f t="shared" ca="1" si="34"/>
        <v>111.1455656950474</v>
      </c>
      <c r="N284" s="144">
        <f t="shared" ca="1" si="34"/>
        <v>8.175600248073005</v>
      </c>
      <c r="O284" s="144">
        <f t="shared" ca="1" si="34"/>
        <v>66.354921591211124</v>
      </c>
      <c r="P284" s="144">
        <f t="shared" ca="1" si="34"/>
        <v>1</v>
      </c>
      <c r="Q284" s="144">
        <f t="shared" ca="1" si="34"/>
        <v>0.8859750155045627</v>
      </c>
    </row>
    <row r="285" spans="1:17" x14ac:dyDescent="0.25">
      <c r="A285" s="145">
        <v>42485</v>
      </c>
      <c r="B285" s="144">
        <v>1.1264000000000001</v>
      </c>
      <c r="C285" s="144">
        <v>74.671300000000002</v>
      </c>
      <c r="D285" s="144">
        <v>9.2735000000000003</v>
      </c>
      <c r="E285" s="144">
        <v>124.95</v>
      </c>
      <c r="F285" s="144">
        <v>0.77639999999999998</v>
      </c>
      <c r="G285" s="144">
        <v>1.0972999999999999</v>
      </c>
      <c r="I285" s="144">
        <v>1</v>
      </c>
      <c r="J285" s="145">
        <f t="shared" si="32"/>
        <v>42485</v>
      </c>
      <c r="K285" s="144">
        <f t="shared" ref="K285:Q294" ca="1" si="35">OFFSET($A285,0,K$3)/OFFSET($A285,0,$P$3)</f>
        <v>0.9741654829545453</v>
      </c>
      <c r="L285" s="144">
        <f t="shared" ca="1" si="35"/>
        <v>0.68927556818181812</v>
      </c>
      <c r="M285" s="144">
        <f t="shared" ca="1" si="35"/>
        <v>110.92862215909091</v>
      </c>
      <c r="N285" s="144">
        <f t="shared" ca="1" si="35"/>
        <v>8.232865767045455</v>
      </c>
      <c r="O285" s="144">
        <f t="shared" ca="1" si="35"/>
        <v>66.2919921875</v>
      </c>
      <c r="P285" s="144">
        <f t="shared" ca="1" si="35"/>
        <v>1</v>
      </c>
      <c r="Q285" s="144">
        <f t="shared" ca="1" si="35"/>
        <v>0.88778409090909083</v>
      </c>
    </row>
    <row r="286" spans="1:17" x14ac:dyDescent="0.25">
      <c r="A286" s="145">
        <v>42484</v>
      </c>
      <c r="B286" s="144">
        <v>1.1263000000000001</v>
      </c>
      <c r="C286" s="144">
        <v>74.251300000000001</v>
      </c>
      <c r="D286" s="144">
        <v>9.2443000000000008</v>
      </c>
      <c r="E286" s="144">
        <v>124.86</v>
      </c>
      <c r="F286" s="144">
        <v>0.78334999999999999</v>
      </c>
      <c r="G286" s="144">
        <v>1.0991</v>
      </c>
      <c r="I286" s="144">
        <v>1</v>
      </c>
      <c r="J286" s="145">
        <f t="shared" si="32"/>
        <v>42484</v>
      </c>
      <c r="K286" s="144">
        <f t="shared" ca="1" si="35"/>
        <v>0.97585012874012245</v>
      </c>
      <c r="L286" s="144">
        <f t="shared" ca="1" si="35"/>
        <v>0.69550741365533153</v>
      </c>
      <c r="M286" s="144">
        <f t="shared" ca="1" si="35"/>
        <v>110.85856343780519</v>
      </c>
      <c r="N286" s="144">
        <f t="shared" ca="1" si="35"/>
        <v>8.2076711355766676</v>
      </c>
      <c r="O286" s="144">
        <f t="shared" ca="1" si="35"/>
        <v>65.924975583769864</v>
      </c>
      <c r="P286" s="144">
        <f t="shared" ca="1" si="35"/>
        <v>1</v>
      </c>
      <c r="Q286" s="144">
        <f t="shared" ca="1" si="35"/>
        <v>0.88786291396608352</v>
      </c>
    </row>
    <row r="287" spans="1:17" x14ac:dyDescent="0.25">
      <c r="A287" s="145">
        <v>42483</v>
      </c>
      <c r="B287" s="144">
        <v>1.1263000000000001</v>
      </c>
      <c r="C287" s="144">
        <v>74.251300000000001</v>
      </c>
      <c r="D287" s="144">
        <v>9.2443000000000008</v>
      </c>
      <c r="E287" s="144">
        <v>124.86</v>
      </c>
      <c r="F287" s="144">
        <v>0.78334999999999999</v>
      </c>
      <c r="G287" s="144">
        <v>1.0991</v>
      </c>
      <c r="I287" s="144">
        <v>1</v>
      </c>
      <c r="J287" s="145">
        <f t="shared" si="32"/>
        <v>42483</v>
      </c>
      <c r="K287" s="144">
        <f t="shared" ca="1" si="35"/>
        <v>0.97585012874012245</v>
      </c>
      <c r="L287" s="144">
        <f t="shared" ca="1" si="35"/>
        <v>0.69550741365533153</v>
      </c>
      <c r="M287" s="144">
        <f t="shared" ca="1" si="35"/>
        <v>110.85856343780519</v>
      </c>
      <c r="N287" s="144">
        <f t="shared" ca="1" si="35"/>
        <v>8.2076711355766676</v>
      </c>
      <c r="O287" s="144">
        <f t="shared" ca="1" si="35"/>
        <v>65.924975583769864</v>
      </c>
      <c r="P287" s="144">
        <f t="shared" ca="1" si="35"/>
        <v>1</v>
      </c>
      <c r="Q287" s="144">
        <f t="shared" ca="1" si="35"/>
        <v>0.88786291396608352</v>
      </c>
    </row>
    <row r="288" spans="1:17" x14ac:dyDescent="0.25">
      <c r="A288" s="145">
        <v>42482</v>
      </c>
      <c r="B288" s="144">
        <v>1.1263000000000001</v>
      </c>
      <c r="C288" s="144">
        <v>74.251300000000001</v>
      </c>
      <c r="D288" s="144">
        <v>9.2443000000000008</v>
      </c>
      <c r="E288" s="144">
        <v>124.86</v>
      </c>
      <c r="F288" s="144">
        <v>0.78334999999999999</v>
      </c>
      <c r="G288" s="144">
        <v>1.0991</v>
      </c>
      <c r="I288" s="144">
        <v>1</v>
      </c>
      <c r="J288" s="145">
        <f t="shared" si="32"/>
        <v>42482</v>
      </c>
      <c r="K288" s="144">
        <f t="shared" ca="1" si="35"/>
        <v>0.97585012874012245</v>
      </c>
      <c r="L288" s="144">
        <f t="shared" ca="1" si="35"/>
        <v>0.69550741365533153</v>
      </c>
      <c r="M288" s="144">
        <f t="shared" ca="1" si="35"/>
        <v>110.85856343780519</v>
      </c>
      <c r="N288" s="144">
        <f t="shared" ca="1" si="35"/>
        <v>8.2076711355766676</v>
      </c>
      <c r="O288" s="144">
        <f t="shared" ca="1" si="35"/>
        <v>65.924975583769864</v>
      </c>
      <c r="P288" s="144">
        <f t="shared" ca="1" si="35"/>
        <v>1</v>
      </c>
      <c r="Q288" s="144">
        <f t="shared" ca="1" si="35"/>
        <v>0.88786291396608352</v>
      </c>
    </row>
    <row r="289" spans="1:22" x14ac:dyDescent="0.25">
      <c r="A289" s="145">
        <v>42481</v>
      </c>
      <c r="B289" s="144">
        <v>1.1355</v>
      </c>
      <c r="C289" s="144">
        <v>73.854500000000002</v>
      </c>
      <c r="D289" s="144">
        <v>9.2014999999999993</v>
      </c>
      <c r="E289" s="144">
        <v>124.5</v>
      </c>
      <c r="F289" s="144">
        <v>0.78693000000000002</v>
      </c>
      <c r="G289" s="144">
        <v>1.0989</v>
      </c>
      <c r="I289" s="144">
        <v>1</v>
      </c>
      <c r="J289" s="145">
        <f t="shared" si="32"/>
        <v>42481</v>
      </c>
      <c r="K289" s="144">
        <f t="shared" ca="1" si="35"/>
        <v>0.96776750330250993</v>
      </c>
      <c r="L289" s="144">
        <f t="shared" ca="1" si="35"/>
        <v>0.6930250990752973</v>
      </c>
      <c r="M289" s="144">
        <f t="shared" ca="1" si="35"/>
        <v>109.64332892998679</v>
      </c>
      <c r="N289" s="144">
        <f t="shared" ca="1" si="35"/>
        <v>8.1034786437692645</v>
      </c>
      <c r="O289" s="144">
        <f t="shared" ca="1" si="35"/>
        <v>65.041391457507714</v>
      </c>
      <c r="P289" s="144">
        <f t="shared" ca="1" si="35"/>
        <v>1</v>
      </c>
      <c r="Q289" s="144">
        <f t="shared" ca="1" si="35"/>
        <v>0.8806693086745927</v>
      </c>
    </row>
    <row r="290" spans="1:22" x14ac:dyDescent="0.25">
      <c r="A290" s="145">
        <v>42480</v>
      </c>
      <c r="B290" s="144">
        <v>1.1378999999999999</v>
      </c>
      <c r="C290" s="144">
        <v>74.646500000000003</v>
      </c>
      <c r="D290" s="144">
        <v>9.2335999999999991</v>
      </c>
      <c r="E290" s="144">
        <v>124.2</v>
      </c>
      <c r="F290" s="144">
        <v>0.79100000000000004</v>
      </c>
      <c r="G290" s="144">
        <v>1.0939000000000001</v>
      </c>
      <c r="I290" s="144">
        <v>1</v>
      </c>
      <c r="J290" s="145">
        <f t="shared" si="32"/>
        <v>42480</v>
      </c>
      <c r="K290" s="144">
        <f t="shared" ca="1" si="35"/>
        <v>0.96133227875911786</v>
      </c>
      <c r="L290" s="144">
        <f t="shared" ca="1" si="35"/>
        <v>0.69514017048949828</v>
      </c>
      <c r="M290" s="144">
        <f t="shared" ca="1" si="35"/>
        <v>109.14843132085421</v>
      </c>
      <c r="N290" s="144">
        <f t="shared" ca="1" si="35"/>
        <v>8.1145970647684322</v>
      </c>
      <c r="O290" s="144">
        <f t="shared" ca="1" si="35"/>
        <v>65.600228491080074</v>
      </c>
      <c r="P290" s="144">
        <f t="shared" ca="1" si="35"/>
        <v>1</v>
      </c>
      <c r="Q290" s="144">
        <f t="shared" ca="1" si="35"/>
        <v>0.87881184638368937</v>
      </c>
    </row>
    <row r="291" spans="1:22" x14ac:dyDescent="0.25">
      <c r="A291" s="145">
        <v>42479</v>
      </c>
      <c r="B291" s="144">
        <v>1.1343000000000001</v>
      </c>
      <c r="C291" s="144">
        <v>74.424199999999999</v>
      </c>
      <c r="D291" s="144">
        <v>9.2577999999999996</v>
      </c>
      <c r="E291" s="144">
        <v>124.1</v>
      </c>
      <c r="F291" s="144">
        <v>0.78974999999999995</v>
      </c>
      <c r="G291" s="144">
        <v>1.0922000000000001</v>
      </c>
      <c r="I291" s="144">
        <v>1</v>
      </c>
      <c r="J291" s="145">
        <f t="shared" si="32"/>
        <v>42479</v>
      </c>
      <c r="K291" s="144">
        <f t="shared" ca="1" si="35"/>
        <v>0.96288459843075025</v>
      </c>
      <c r="L291" s="144">
        <f t="shared" ca="1" si="35"/>
        <v>0.69624437979370524</v>
      </c>
      <c r="M291" s="144">
        <f t="shared" ca="1" si="35"/>
        <v>109.40668253548442</v>
      </c>
      <c r="N291" s="144">
        <f t="shared" ca="1" si="35"/>
        <v>8.1616856210878943</v>
      </c>
      <c r="O291" s="144">
        <f t="shared" ca="1" si="35"/>
        <v>65.612448205941988</v>
      </c>
      <c r="P291" s="144">
        <f t="shared" ca="1" si="35"/>
        <v>1</v>
      </c>
      <c r="Q291" s="144">
        <f t="shared" ca="1" si="35"/>
        <v>0.88160098739310577</v>
      </c>
    </row>
    <row r="292" spans="1:22" x14ac:dyDescent="0.25">
      <c r="A292" s="145">
        <v>42478</v>
      </c>
      <c r="B292" s="144">
        <v>1.1306</v>
      </c>
      <c r="C292" s="144">
        <v>76.759100000000004</v>
      </c>
      <c r="D292" s="144">
        <v>9.3324999999999996</v>
      </c>
      <c r="E292" s="144">
        <v>122.32</v>
      </c>
      <c r="F292" s="144">
        <v>0.79779999999999995</v>
      </c>
      <c r="G292" s="144">
        <v>1.0915999999999999</v>
      </c>
      <c r="I292" s="144">
        <v>1</v>
      </c>
      <c r="J292" s="145">
        <f t="shared" si="32"/>
        <v>42478</v>
      </c>
      <c r="K292" s="144">
        <f t="shared" ca="1" si="35"/>
        <v>0.96550504157084716</v>
      </c>
      <c r="L292" s="144">
        <f t="shared" ca="1" si="35"/>
        <v>0.70564302140456392</v>
      </c>
      <c r="M292" s="144">
        <f t="shared" ca="1" si="35"/>
        <v>108.19034141163982</v>
      </c>
      <c r="N292" s="144">
        <f t="shared" ca="1" si="35"/>
        <v>8.2544666548735179</v>
      </c>
      <c r="O292" s="144">
        <f t="shared" ca="1" si="35"/>
        <v>67.892358039978774</v>
      </c>
      <c r="P292" s="144">
        <f t="shared" ca="1" si="35"/>
        <v>1</v>
      </c>
      <c r="Q292" s="144">
        <f t="shared" ca="1" si="35"/>
        <v>0.88448611356801699</v>
      </c>
    </row>
    <row r="293" spans="1:22" x14ac:dyDescent="0.25">
      <c r="A293" s="145">
        <v>42477</v>
      </c>
      <c r="B293" s="144">
        <v>1.1284000000000001</v>
      </c>
      <c r="C293" s="144">
        <v>75.012500000000003</v>
      </c>
      <c r="D293" s="144">
        <v>9.3043999999999993</v>
      </c>
      <c r="E293" s="144">
        <v>122.91</v>
      </c>
      <c r="F293" s="144">
        <v>0.79574999999999996</v>
      </c>
      <c r="G293" s="144">
        <v>1.0919000000000001</v>
      </c>
      <c r="I293" s="144">
        <v>1</v>
      </c>
      <c r="J293" s="145">
        <f t="shared" si="32"/>
        <v>42477</v>
      </c>
      <c r="K293" s="144">
        <f t="shared" ca="1" si="35"/>
        <v>0.96765331442750802</v>
      </c>
      <c r="L293" s="144">
        <f t="shared" ca="1" si="35"/>
        <v>0.70520205600850749</v>
      </c>
      <c r="M293" s="144">
        <f t="shared" ca="1" si="35"/>
        <v>108.92414037575327</v>
      </c>
      <c r="N293" s="144">
        <f t="shared" ca="1" si="35"/>
        <v>8.2456575682382116</v>
      </c>
      <c r="O293" s="144">
        <f t="shared" ca="1" si="35"/>
        <v>66.476869904289259</v>
      </c>
      <c r="P293" s="144">
        <f t="shared" ca="1" si="35"/>
        <v>1</v>
      </c>
      <c r="Q293" s="144">
        <f t="shared" ca="1" si="35"/>
        <v>0.88621056362991846</v>
      </c>
    </row>
    <row r="294" spans="1:22" x14ac:dyDescent="0.25">
      <c r="A294" s="145">
        <v>42476</v>
      </c>
      <c r="B294" s="144">
        <v>1.1284000000000001</v>
      </c>
      <c r="C294" s="144">
        <v>75.012500000000003</v>
      </c>
      <c r="D294" s="144">
        <v>9.3043999999999993</v>
      </c>
      <c r="E294" s="144">
        <v>122.91</v>
      </c>
      <c r="F294" s="144">
        <v>0.79574999999999996</v>
      </c>
      <c r="G294" s="144">
        <v>1.0919000000000001</v>
      </c>
      <c r="I294" s="144">
        <v>1</v>
      </c>
      <c r="J294" s="145">
        <f t="shared" si="32"/>
        <v>42476</v>
      </c>
      <c r="K294" s="144">
        <f t="shared" ca="1" si="35"/>
        <v>0.96765331442750802</v>
      </c>
      <c r="L294" s="144">
        <f t="shared" ca="1" si="35"/>
        <v>0.70520205600850749</v>
      </c>
      <c r="M294" s="144">
        <f t="shared" ca="1" si="35"/>
        <v>108.92414037575327</v>
      </c>
      <c r="N294" s="144">
        <f t="shared" ca="1" si="35"/>
        <v>8.2456575682382116</v>
      </c>
      <c r="O294" s="144">
        <f t="shared" ca="1" si="35"/>
        <v>66.476869904289259</v>
      </c>
      <c r="P294" s="144">
        <f t="shared" ca="1" si="35"/>
        <v>1</v>
      </c>
      <c r="Q294" s="144">
        <f t="shared" ca="1" si="35"/>
        <v>0.88621056362991846</v>
      </c>
    </row>
    <row r="295" spans="1:22" x14ac:dyDescent="0.25">
      <c r="A295" s="145">
        <v>42475</v>
      </c>
      <c r="B295" s="144">
        <v>1.1284000000000001</v>
      </c>
      <c r="C295" s="144">
        <v>75.012500000000003</v>
      </c>
      <c r="D295" s="144">
        <v>9.3043999999999993</v>
      </c>
      <c r="E295" s="144">
        <v>122.91</v>
      </c>
      <c r="F295" s="144">
        <v>0.79574999999999996</v>
      </c>
      <c r="G295" s="144">
        <v>1.0919000000000001</v>
      </c>
      <c r="I295" s="144">
        <v>1</v>
      </c>
      <c r="J295" s="145">
        <f t="shared" si="32"/>
        <v>42475</v>
      </c>
      <c r="K295" s="144">
        <f t="shared" ref="K295:Q304" ca="1" si="36">OFFSET($A295,0,K$3)/OFFSET($A295,0,$P$3)</f>
        <v>0.96765331442750802</v>
      </c>
      <c r="L295" s="144">
        <f t="shared" ca="1" si="36"/>
        <v>0.70520205600850749</v>
      </c>
      <c r="M295" s="144">
        <f t="shared" ca="1" si="36"/>
        <v>108.92414037575327</v>
      </c>
      <c r="N295" s="144">
        <f t="shared" ca="1" si="36"/>
        <v>8.2456575682382116</v>
      </c>
      <c r="O295" s="144">
        <f t="shared" ca="1" si="36"/>
        <v>66.476869904289259</v>
      </c>
      <c r="P295" s="144">
        <f t="shared" ca="1" si="36"/>
        <v>1</v>
      </c>
      <c r="Q295" s="144">
        <f t="shared" ca="1" si="36"/>
        <v>0.88621056362991846</v>
      </c>
    </row>
    <row r="296" spans="1:22" x14ac:dyDescent="0.25">
      <c r="A296" s="145">
        <v>42474</v>
      </c>
      <c r="B296" s="144">
        <v>1.1252</v>
      </c>
      <c r="C296" s="144">
        <v>74.242900000000006</v>
      </c>
      <c r="D296" s="144">
        <v>9.2639999999999993</v>
      </c>
      <c r="E296" s="144">
        <v>123.09</v>
      </c>
      <c r="F296" s="144">
        <v>0.79559999999999997</v>
      </c>
      <c r="G296" s="144">
        <v>1.0878000000000001</v>
      </c>
      <c r="I296" s="144">
        <v>1</v>
      </c>
      <c r="J296" s="145">
        <f t="shared" si="32"/>
        <v>42474</v>
      </c>
      <c r="K296" s="144">
        <f t="shared" ca="1" si="36"/>
        <v>0.96676146462851065</v>
      </c>
      <c r="L296" s="144">
        <f t="shared" ca="1" si="36"/>
        <v>0.70707429790259513</v>
      </c>
      <c r="M296" s="144">
        <f t="shared" ca="1" si="36"/>
        <v>109.39388553146108</v>
      </c>
      <c r="N296" s="144">
        <f t="shared" ca="1" si="36"/>
        <v>8.2332029861357974</v>
      </c>
      <c r="O296" s="144">
        <f t="shared" ca="1" si="36"/>
        <v>65.981958762886606</v>
      </c>
      <c r="P296" s="144">
        <f t="shared" ca="1" si="36"/>
        <v>1</v>
      </c>
      <c r="Q296" s="144">
        <f t="shared" ca="1" si="36"/>
        <v>0.88873089228581592</v>
      </c>
    </row>
    <row r="297" spans="1:22" x14ac:dyDescent="0.25">
      <c r="A297" s="145">
        <v>42473</v>
      </c>
      <c r="B297" s="144">
        <v>1.1297999999999999</v>
      </c>
      <c r="C297" s="144">
        <v>74.270799999999994</v>
      </c>
      <c r="D297" s="144">
        <v>9.3112999999999992</v>
      </c>
      <c r="E297" s="144">
        <v>123.47</v>
      </c>
      <c r="F297" s="144">
        <v>0.79388000000000003</v>
      </c>
      <c r="G297" s="144">
        <v>1.0887</v>
      </c>
      <c r="I297" s="144">
        <v>1</v>
      </c>
      <c r="J297" s="145">
        <f t="shared" si="32"/>
        <v>42473</v>
      </c>
      <c r="K297" s="144">
        <f t="shared" ca="1" si="36"/>
        <v>0.96362187997875737</v>
      </c>
      <c r="L297" s="144">
        <f t="shared" ca="1" si="36"/>
        <v>0.70267303947601356</v>
      </c>
      <c r="M297" s="144">
        <f t="shared" ca="1" si="36"/>
        <v>109.28482917330501</v>
      </c>
      <c r="N297" s="144">
        <f t="shared" ca="1" si="36"/>
        <v>8.2415471764914141</v>
      </c>
      <c r="O297" s="144">
        <f t="shared" ca="1" si="36"/>
        <v>65.738006726854309</v>
      </c>
      <c r="P297" s="144">
        <f t="shared" ca="1" si="36"/>
        <v>1</v>
      </c>
      <c r="Q297" s="144">
        <f t="shared" ca="1" si="36"/>
        <v>0.88511240927597812</v>
      </c>
    </row>
    <row r="298" spans="1:22" x14ac:dyDescent="0.25">
      <c r="A298" s="145">
        <v>42472</v>
      </c>
      <c r="B298" s="144">
        <v>1.1395999999999999</v>
      </c>
      <c r="C298" s="144">
        <v>75.616699999999994</v>
      </c>
      <c r="D298" s="144">
        <v>9.3514999999999997</v>
      </c>
      <c r="E298" s="144">
        <v>123.44</v>
      </c>
      <c r="F298" s="144">
        <v>0.7984</v>
      </c>
      <c r="G298" s="144">
        <v>1.0873999999999999</v>
      </c>
      <c r="I298" s="144">
        <v>1</v>
      </c>
      <c r="J298" s="145">
        <f t="shared" si="32"/>
        <v>42472</v>
      </c>
      <c r="K298" s="144">
        <f t="shared" ca="1" si="36"/>
        <v>0.95419445419445414</v>
      </c>
      <c r="L298" s="144">
        <f t="shared" ca="1" si="36"/>
        <v>0.70059670059670065</v>
      </c>
      <c r="M298" s="144">
        <f t="shared" ca="1" si="36"/>
        <v>108.31870831870832</v>
      </c>
      <c r="N298" s="144">
        <f t="shared" ca="1" si="36"/>
        <v>8.2059494559494564</v>
      </c>
      <c r="O298" s="144">
        <f t="shared" ca="1" si="36"/>
        <v>66.353720603720603</v>
      </c>
      <c r="P298" s="144">
        <f t="shared" ca="1" si="36"/>
        <v>1</v>
      </c>
      <c r="Q298" s="144">
        <f t="shared" ca="1" si="36"/>
        <v>0.87750087750087757</v>
      </c>
    </row>
    <row r="299" spans="1:22" x14ac:dyDescent="0.25">
      <c r="A299" s="145">
        <v>42471</v>
      </c>
      <c r="B299" s="144">
        <v>1.139</v>
      </c>
      <c r="C299" s="144">
        <v>76.057400000000001</v>
      </c>
      <c r="D299" s="144">
        <v>9.3809000000000005</v>
      </c>
      <c r="E299" s="144">
        <v>123.28</v>
      </c>
      <c r="F299" s="144">
        <v>0.80059999999999998</v>
      </c>
      <c r="G299" s="144">
        <v>1.0876999999999999</v>
      </c>
      <c r="I299" s="144">
        <v>1</v>
      </c>
      <c r="J299" s="145">
        <f t="shared" si="32"/>
        <v>42471</v>
      </c>
      <c r="K299" s="144">
        <f t="shared" ca="1" si="36"/>
        <v>0.95496049165935015</v>
      </c>
      <c r="L299" s="144">
        <f t="shared" ca="1" si="36"/>
        <v>0.70289727831431081</v>
      </c>
      <c r="M299" s="144">
        <f t="shared" ca="1" si="36"/>
        <v>108.23529411764706</v>
      </c>
      <c r="N299" s="144">
        <f t="shared" ca="1" si="36"/>
        <v>8.2360842844600537</v>
      </c>
      <c r="O299" s="144">
        <f t="shared" ca="1" si="36"/>
        <v>66.775592625109752</v>
      </c>
      <c r="P299" s="144">
        <f t="shared" ca="1" si="36"/>
        <v>1</v>
      </c>
      <c r="Q299" s="144">
        <f t="shared" ca="1" si="36"/>
        <v>0.87796312554872691</v>
      </c>
    </row>
    <row r="300" spans="1:22" x14ac:dyDescent="0.25">
      <c r="A300" s="145">
        <v>42470</v>
      </c>
      <c r="B300" s="144">
        <v>1.1363000000000001</v>
      </c>
      <c r="C300" s="144">
        <v>76.541399999999996</v>
      </c>
      <c r="D300" s="144">
        <v>9.4183000000000003</v>
      </c>
      <c r="E300" s="144">
        <v>123.36</v>
      </c>
      <c r="F300" s="144">
        <v>0.80730000000000002</v>
      </c>
      <c r="G300" s="144">
        <v>1.0873999999999999</v>
      </c>
      <c r="I300" s="144">
        <v>1</v>
      </c>
      <c r="J300" s="145">
        <f t="shared" si="32"/>
        <v>42470</v>
      </c>
      <c r="K300" s="144">
        <f t="shared" ca="1" si="36"/>
        <v>0.95696559007304394</v>
      </c>
      <c r="L300" s="144">
        <f t="shared" ca="1" si="36"/>
        <v>0.71046378597201443</v>
      </c>
      <c r="M300" s="144">
        <f t="shared" ca="1" si="36"/>
        <v>108.56287952125318</v>
      </c>
      <c r="N300" s="144">
        <f t="shared" ca="1" si="36"/>
        <v>8.2885681598169487</v>
      </c>
      <c r="O300" s="144">
        <f t="shared" ca="1" si="36"/>
        <v>67.360204171433594</v>
      </c>
      <c r="P300" s="144">
        <f t="shared" ca="1" si="36"/>
        <v>1</v>
      </c>
      <c r="Q300" s="144">
        <f t="shared" ca="1" si="36"/>
        <v>0.88004928275983452</v>
      </c>
    </row>
    <row r="301" spans="1:22" x14ac:dyDescent="0.25">
      <c r="A301" s="145">
        <v>42469</v>
      </c>
      <c r="B301" s="144">
        <v>1.1363000000000001</v>
      </c>
      <c r="C301" s="144">
        <v>76.541399999999996</v>
      </c>
      <c r="D301" s="144">
        <v>9.4183000000000003</v>
      </c>
      <c r="E301" s="144">
        <v>123.36</v>
      </c>
      <c r="F301" s="144">
        <v>0.80730000000000002</v>
      </c>
      <c r="G301" s="144">
        <v>1.0873999999999999</v>
      </c>
      <c r="I301" s="144">
        <v>1</v>
      </c>
      <c r="J301" s="145">
        <f t="shared" si="32"/>
        <v>42469</v>
      </c>
      <c r="K301" s="144">
        <f t="shared" ca="1" si="36"/>
        <v>0.95696559007304394</v>
      </c>
      <c r="L301" s="144">
        <f t="shared" ca="1" si="36"/>
        <v>0.71046378597201443</v>
      </c>
      <c r="M301" s="144">
        <f t="shared" ca="1" si="36"/>
        <v>108.56287952125318</v>
      </c>
      <c r="N301" s="144">
        <f t="shared" ca="1" si="36"/>
        <v>8.2885681598169487</v>
      </c>
      <c r="O301" s="144">
        <f t="shared" ca="1" si="36"/>
        <v>67.360204171433594</v>
      </c>
      <c r="P301" s="144">
        <f t="shared" ca="1" si="36"/>
        <v>1</v>
      </c>
      <c r="Q301" s="144">
        <f t="shared" ca="1" si="36"/>
        <v>0.88004928275983452</v>
      </c>
    </row>
    <row r="302" spans="1:22" x14ac:dyDescent="0.25">
      <c r="A302" s="145">
        <v>42468</v>
      </c>
      <c r="B302" s="144">
        <v>1.1363000000000001</v>
      </c>
      <c r="C302" s="144">
        <v>76.541399999999996</v>
      </c>
      <c r="D302" s="144">
        <v>9.4183000000000003</v>
      </c>
      <c r="E302" s="144">
        <v>123.36</v>
      </c>
      <c r="F302" s="144">
        <v>0.80730000000000002</v>
      </c>
      <c r="G302" s="144">
        <v>1.0873999999999999</v>
      </c>
      <c r="I302" s="144">
        <v>1</v>
      </c>
      <c r="J302" s="145">
        <f t="shared" si="32"/>
        <v>42468</v>
      </c>
      <c r="K302" s="144">
        <f t="shared" ca="1" si="36"/>
        <v>0.95696559007304394</v>
      </c>
      <c r="L302" s="144">
        <f t="shared" ca="1" si="36"/>
        <v>0.71046378597201443</v>
      </c>
      <c r="M302" s="144">
        <f t="shared" ca="1" si="36"/>
        <v>108.56287952125318</v>
      </c>
      <c r="N302" s="144">
        <f t="shared" ca="1" si="36"/>
        <v>8.2885681598169487</v>
      </c>
      <c r="O302" s="144">
        <f t="shared" ca="1" si="36"/>
        <v>67.360204171433594</v>
      </c>
      <c r="P302" s="144">
        <f t="shared" ca="1" si="36"/>
        <v>1</v>
      </c>
      <c r="Q302" s="144">
        <f t="shared" ca="1" si="36"/>
        <v>0.88004928275983452</v>
      </c>
    </row>
    <row r="303" spans="1:22" x14ac:dyDescent="0.25">
      <c r="A303" s="145">
        <v>42467</v>
      </c>
      <c r="B303" s="144">
        <v>1.1364000000000001</v>
      </c>
      <c r="C303" s="144">
        <v>77.371899999999997</v>
      </c>
      <c r="D303" s="144">
        <v>9.4545999999999992</v>
      </c>
      <c r="E303" s="144">
        <v>123.15</v>
      </c>
      <c r="F303" s="144">
        <v>0.80728</v>
      </c>
      <c r="G303" s="144">
        <v>1.0884</v>
      </c>
      <c r="I303" s="144">
        <v>1</v>
      </c>
      <c r="J303" s="145">
        <f t="shared" si="32"/>
        <v>42467</v>
      </c>
      <c r="K303" s="144">
        <f t="shared" ca="1" si="36"/>
        <v>0.95776135163674758</v>
      </c>
      <c r="L303" s="144">
        <f t="shared" ca="1" si="36"/>
        <v>0.71038366772263284</v>
      </c>
      <c r="M303" s="144">
        <f t="shared" ca="1" si="36"/>
        <v>108.36853220696938</v>
      </c>
      <c r="N303" s="144">
        <f t="shared" ca="1" si="36"/>
        <v>8.3197817669834553</v>
      </c>
      <c r="O303" s="144">
        <f t="shared" ca="1" si="36"/>
        <v>68.085093277015133</v>
      </c>
      <c r="P303" s="144">
        <f t="shared" ca="1" si="36"/>
        <v>1</v>
      </c>
      <c r="Q303" s="144">
        <f t="shared" ca="1" si="36"/>
        <v>0.87997184090109115</v>
      </c>
      <c r="U303" s="148"/>
      <c r="V303" s="146"/>
    </row>
    <row r="304" spans="1:22" x14ac:dyDescent="0.25">
      <c r="A304" s="145">
        <v>42466</v>
      </c>
      <c r="B304" s="144">
        <v>1.1335999999999999</v>
      </c>
      <c r="C304" s="144">
        <v>77.805800000000005</v>
      </c>
      <c r="D304" s="144">
        <v>9.4760000000000009</v>
      </c>
      <c r="E304" s="144">
        <v>125.13</v>
      </c>
      <c r="F304" s="144">
        <v>0.80808000000000002</v>
      </c>
      <c r="G304" s="144">
        <v>1.0887</v>
      </c>
      <c r="I304" s="144">
        <v>1</v>
      </c>
      <c r="J304" s="145">
        <f t="shared" si="32"/>
        <v>42466</v>
      </c>
      <c r="K304" s="144">
        <f t="shared" ca="1" si="36"/>
        <v>0.96039167254763591</v>
      </c>
      <c r="L304" s="144">
        <f t="shared" ca="1" si="36"/>
        <v>0.71284403669724772</v>
      </c>
      <c r="M304" s="144">
        <f t="shared" ca="1" si="36"/>
        <v>110.38285109386027</v>
      </c>
      <c r="N304" s="144">
        <f t="shared" ca="1" si="36"/>
        <v>8.3592095977417085</v>
      </c>
      <c r="O304" s="144">
        <f t="shared" ca="1" si="36"/>
        <v>68.636026817219488</v>
      </c>
      <c r="P304" s="144">
        <f t="shared" ca="1" si="36"/>
        <v>1</v>
      </c>
      <c r="Q304" s="144">
        <f t="shared" ca="1" si="36"/>
        <v>0.88214537755822164</v>
      </c>
    </row>
    <row r="305" spans="1:22" x14ac:dyDescent="0.25">
      <c r="A305" s="145">
        <v>42465</v>
      </c>
      <c r="B305" s="144">
        <v>1.1367</v>
      </c>
      <c r="C305" s="144">
        <v>78.450699999999998</v>
      </c>
      <c r="D305" s="144">
        <v>9.4994999999999994</v>
      </c>
      <c r="E305" s="144">
        <v>125.81</v>
      </c>
      <c r="F305" s="144">
        <v>0.80159999999999998</v>
      </c>
      <c r="G305" s="144">
        <v>1.0891999999999999</v>
      </c>
      <c r="I305" s="144">
        <v>1</v>
      </c>
      <c r="J305" s="145">
        <f t="shared" si="32"/>
        <v>42465</v>
      </c>
      <c r="K305" s="144">
        <f t="shared" ref="K305:Q314" ca="1" si="37">OFFSET($A305,0,K$3)/OFFSET($A305,0,$P$3)</f>
        <v>0.95821236913873487</v>
      </c>
      <c r="L305" s="144">
        <f t="shared" ca="1" si="37"/>
        <v>0.70519926101873842</v>
      </c>
      <c r="M305" s="144">
        <f t="shared" ca="1" si="37"/>
        <v>110.68003870854227</v>
      </c>
      <c r="N305" s="144">
        <f t="shared" ca="1" si="37"/>
        <v>8.3570863024544728</v>
      </c>
      <c r="O305" s="144">
        <f t="shared" ca="1" si="37"/>
        <v>69.01618720858626</v>
      </c>
      <c r="P305" s="144">
        <f t="shared" ca="1" si="37"/>
        <v>1</v>
      </c>
      <c r="Q305" s="144">
        <f t="shared" ca="1" si="37"/>
        <v>0.87973959707926452</v>
      </c>
      <c r="V305" s="148"/>
    </row>
    <row r="306" spans="1:22" x14ac:dyDescent="0.25">
      <c r="A306" s="145">
        <v>42464</v>
      </c>
      <c r="B306" s="144">
        <v>1.1379999999999999</v>
      </c>
      <c r="C306" s="144">
        <v>77.153499999999994</v>
      </c>
      <c r="D306" s="144">
        <v>9.4359000000000002</v>
      </c>
      <c r="E306" s="144">
        <v>126.97</v>
      </c>
      <c r="F306" s="144">
        <v>0.79737999999999998</v>
      </c>
      <c r="G306" s="144">
        <v>1.0919000000000001</v>
      </c>
      <c r="I306" s="144">
        <v>1</v>
      </c>
      <c r="J306" s="145">
        <f t="shared" si="32"/>
        <v>42464</v>
      </c>
      <c r="K306" s="144">
        <f t="shared" ca="1" si="37"/>
        <v>0.95949033391915661</v>
      </c>
      <c r="L306" s="144">
        <f t="shared" ca="1" si="37"/>
        <v>0.70068541300527243</v>
      </c>
      <c r="M306" s="144">
        <f t="shared" ca="1" si="37"/>
        <v>111.57293497363797</v>
      </c>
      <c r="N306" s="144">
        <f t="shared" ca="1" si="37"/>
        <v>8.2916520210896323</v>
      </c>
      <c r="O306" s="144">
        <f t="shared" ca="1" si="37"/>
        <v>67.797451669595787</v>
      </c>
      <c r="P306" s="144">
        <f t="shared" ca="1" si="37"/>
        <v>1</v>
      </c>
      <c r="Q306" s="144">
        <f t="shared" ca="1" si="37"/>
        <v>0.87873462214411258</v>
      </c>
    </row>
    <row r="307" spans="1:22" x14ac:dyDescent="0.25">
      <c r="A307" s="145">
        <v>42463</v>
      </c>
      <c r="B307" s="144">
        <v>1.1432</v>
      </c>
      <c r="C307" s="144">
        <v>77.543000000000006</v>
      </c>
      <c r="D307" s="144">
        <v>9.4400999999999993</v>
      </c>
      <c r="E307" s="144">
        <v>128.07</v>
      </c>
      <c r="F307" s="144">
        <v>0.79890000000000005</v>
      </c>
      <c r="G307" s="144">
        <v>1.0946</v>
      </c>
      <c r="I307" s="144">
        <v>1</v>
      </c>
      <c r="J307" s="145">
        <f t="shared" si="32"/>
        <v>42463</v>
      </c>
      <c r="K307" s="144">
        <f t="shared" ca="1" si="37"/>
        <v>0.95748775367389782</v>
      </c>
      <c r="L307" s="144">
        <f t="shared" ca="1" si="37"/>
        <v>0.69882785164450667</v>
      </c>
      <c r="M307" s="144">
        <f t="shared" ca="1" si="37"/>
        <v>112.02764170748775</v>
      </c>
      <c r="N307" s="144">
        <f t="shared" ca="1" si="37"/>
        <v>8.2576102169349195</v>
      </c>
      <c r="O307" s="144">
        <f t="shared" ca="1" si="37"/>
        <v>67.82977606717985</v>
      </c>
      <c r="P307" s="144">
        <f t="shared" ca="1" si="37"/>
        <v>1</v>
      </c>
      <c r="Q307" s="144">
        <f t="shared" ca="1" si="37"/>
        <v>0.87473757872638214</v>
      </c>
    </row>
    <row r="308" spans="1:22" x14ac:dyDescent="0.25">
      <c r="A308" s="145">
        <v>42462</v>
      </c>
      <c r="B308" s="144">
        <v>1.1432</v>
      </c>
      <c r="C308" s="144">
        <v>77.543000000000006</v>
      </c>
      <c r="D308" s="144">
        <v>9.4400999999999993</v>
      </c>
      <c r="E308" s="144">
        <v>128.07</v>
      </c>
      <c r="F308" s="144">
        <v>0.79890000000000005</v>
      </c>
      <c r="G308" s="144">
        <v>1.0946</v>
      </c>
      <c r="I308" s="144">
        <v>1</v>
      </c>
      <c r="J308" s="145">
        <f t="shared" si="32"/>
        <v>42462</v>
      </c>
      <c r="K308" s="144">
        <f t="shared" ca="1" si="37"/>
        <v>0.95748775367389782</v>
      </c>
      <c r="L308" s="144">
        <f t="shared" ca="1" si="37"/>
        <v>0.69882785164450667</v>
      </c>
      <c r="M308" s="144">
        <f t="shared" ca="1" si="37"/>
        <v>112.02764170748775</v>
      </c>
      <c r="N308" s="144">
        <f t="shared" ca="1" si="37"/>
        <v>8.2576102169349195</v>
      </c>
      <c r="O308" s="144">
        <f t="shared" ca="1" si="37"/>
        <v>67.82977606717985</v>
      </c>
      <c r="P308" s="144">
        <f t="shared" ca="1" si="37"/>
        <v>1</v>
      </c>
      <c r="Q308" s="144">
        <f t="shared" ca="1" si="37"/>
        <v>0.87473757872638214</v>
      </c>
    </row>
    <row r="309" spans="1:22" x14ac:dyDescent="0.25">
      <c r="A309" s="145">
        <v>42461</v>
      </c>
      <c r="B309" s="144">
        <v>1.1432</v>
      </c>
      <c r="C309" s="144">
        <v>77.543000000000006</v>
      </c>
      <c r="D309" s="144">
        <v>9.4400999999999993</v>
      </c>
      <c r="E309" s="144">
        <v>128.07</v>
      </c>
      <c r="F309" s="144">
        <v>0.79890000000000005</v>
      </c>
      <c r="G309" s="144">
        <v>1.0946</v>
      </c>
      <c r="I309" s="144">
        <v>1</v>
      </c>
      <c r="J309" s="145">
        <f t="shared" si="32"/>
        <v>42461</v>
      </c>
      <c r="K309" s="144">
        <f t="shared" ca="1" si="37"/>
        <v>0.95748775367389782</v>
      </c>
      <c r="L309" s="144">
        <f t="shared" ca="1" si="37"/>
        <v>0.69882785164450667</v>
      </c>
      <c r="M309" s="144">
        <f t="shared" ca="1" si="37"/>
        <v>112.02764170748775</v>
      </c>
      <c r="N309" s="144">
        <f t="shared" ca="1" si="37"/>
        <v>8.2576102169349195</v>
      </c>
      <c r="O309" s="144">
        <f t="shared" ca="1" si="37"/>
        <v>67.82977606717985</v>
      </c>
      <c r="P309" s="144">
        <f t="shared" ca="1" si="37"/>
        <v>1</v>
      </c>
      <c r="Q309" s="144">
        <f t="shared" ca="1" si="37"/>
        <v>0.87473757872638214</v>
      </c>
    </row>
    <row r="310" spans="1:22" x14ac:dyDescent="0.25">
      <c r="A310" s="145">
        <v>42460</v>
      </c>
      <c r="B310" s="144">
        <v>1.1385000000000001</v>
      </c>
      <c r="C310" s="144">
        <v>76.305099999999996</v>
      </c>
      <c r="D310" s="144">
        <v>9.4145000000000003</v>
      </c>
      <c r="E310" s="144">
        <v>127.9</v>
      </c>
      <c r="F310" s="144">
        <v>0.79154999999999998</v>
      </c>
      <c r="G310" s="144">
        <v>1.0931</v>
      </c>
      <c r="I310" s="144">
        <v>1</v>
      </c>
      <c r="J310" s="145">
        <f t="shared" si="32"/>
        <v>42460</v>
      </c>
      <c r="K310" s="144">
        <f t="shared" ca="1" si="37"/>
        <v>0.96012296881862091</v>
      </c>
      <c r="L310" s="144">
        <f t="shared" ca="1" si="37"/>
        <v>0.69525691699604741</v>
      </c>
      <c r="M310" s="144">
        <f t="shared" ca="1" si="37"/>
        <v>112.34079929732104</v>
      </c>
      <c r="N310" s="144">
        <f t="shared" ca="1" si="37"/>
        <v>8.2692138779095306</v>
      </c>
      <c r="O310" s="144">
        <f t="shared" ca="1" si="37"/>
        <v>67.022485726833551</v>
      </c>
      <c r="P310" s="144">
        <f t="shared" ca="1" si="37"/>
        <v>1</v>
      </c>
      <c r="Q310" s="144">
        <f t="shared" ca="1" si="37"/>
        <v>0.87834870443566093</v>
      </c>
    </row>
    <row r="311" spans="1:22" x14ac:dyDescent="0.25">
      <c r="A311" s="145">
        <v>42459</v>
      </c>
      <c r="B311" s="144">
        <v>1.1324000000000001</v>
      </c>
      <c r="C311" s="144">
        <v>76.784199999999998</v>
      </c>
      <c r="D311" s="144">
        <v>9.43</v>
      </c>
      <c r="E311" s="144">
        <v>127.37</v>
      </c>
      <c r="F311" s="144">
        <v>0.78580000000000005</v>
      </c>
      <c r="G311" s="144">
        <v>1.0912999999999999</v>
      </c>
      <c r="I311" s="144">
        <v>1</v>
      </c>
      <c r="J311" s="145">
        <f t="shared" si="32"/>
        <v>42459</v>
      </c>
      <c r="K311" s="144">
        <f t="shared" ca="1" si="37"/>
        <v>0.96370540445072406</v>
      </c>
      <c r="L311" s="144">
        <f t="shared" ca="1" si="37"/>
        <v>0.69392440833627689</v>
      </c>
      <c r="M311" s="144">
        <f t="shared" ca="1" si="37"/>
        <v>112.47792299540798</v>
      </c>
      <c r="N311" s="144">
        <f t="shared" ca="1" si="37"/>
        <v>8.3274461321087951</v>
      </c>
      <c r="O311" s="144">
        <f t="shared" ca="1" si="37"/>
        <v>67.806605439773932</v>
      </c>
      <c r="P311" s="144">
        <f t="shared" ca="1" si="37"/>
        <v>1</v>
      </c>
      <c r="Q311" s="144">
        <f t="shared" ca="1" si="37"/>
        <v>0.8830801836806782</v>
      </c>
    </row>
    <row r="312" spans="1:22" x14ac:dyDescent="0.25">
      <c r="A312" s="145">
        <v>42458</v>
      </c>
      <c r="B312" s="144">
        <v>1.1194</v>
      </c>
      <c r="C312" s="144">
        <v>76.734499999999997</v>
      </c>
      <c r="D312" s="144">
        <v>9.4839000000000002</v>
      </c>
      <c r="E312" s="144">
        <v>127.13</v>
      </c>
      <c r="F312" s="144">
        <v>0.78449999999999998</v>
      </c>
      <c r="G312" s="144">
        <v>1.0914999999999999</v>
      </c>
      <c r="I312" s="144">
        <v>1</v>
      </c>
      <c r="J312" s="145">
        <f t="shared" si="32"/>
        <v>42458</v>
      </c>
      <c r="K312" s="144">
        <f t="shared" ca="1" si="37"/>
        <v>0.97507593353582278</v>
      </c>
      <c r="L312" s="144">
        <f t="shared" ca="1" si="37"/>
        <v>0.70082186885831699</v>
      </c>
      <c r="M312" s="144">
        <f t="shared" ca="1" si="37"/>
        <v>113.56976951938539</v>
      </c>
      <c r="N312" s="144">
        <f t="shared" ca="1" si="37"/>
        <v>8.4723065928175814</v>
      </c>
      <c r="O312" s="144">
        <f t="shared" ca="1" si="37"/>
        <v>68.549669465785243</v>
      </c>
      <c r="P312" s="144">
        <f t="shared" ca="1" si="37"/>
        <v>1</v>
      </c>
      <c r="Q312" s="144">
        <f t="shared" ca="1" si="37"/>
        <v>0.89333571556190816</v>
      </c>
    </row>
    <row r="313" spans="1:22" x14ac:dyDescent="0.25">
      <c r="A313" s="145">
        <v>42457</v>
      </c>
      <c r="B313" s="144">
        <v>1.1153999999999999</v>
      </c>
      <c r="C313" s="144">
        <v>77.741299999999995</v>
      </c>
      <c r="D313" s="144">
        <v>9.4939999999999998</v>
      </c>
      <c r="E313" s="144">
        <v>125.41</v>
      </c>
      <c r="F313" s="144">
        <v>0.78937999999999997</v>
      </c>
      <c r="G313" s="144">
        <v>1.0874999999999999</v>
      </c>
      <c r="I313" s="144">
        <v>1</v>
      </c>
      <c r="J313" s="145">
        <f t="shared" si="32"/>
        <v>42457</v>
      </c>
      <c r="K313" s="144">
        <f t="shared" ca="1" si="37"/>
        <v>0.9749865519096288</v>
      </c>
      <c r="L313" s="144">
        <f t="shared" ca="1" si="37"/>
        <v>0.70771023847946923</v>
      </c>
      <c r="M313" s="144">
        <f t="shared" ca="1" si="37"/>
        <v>112.43500089653936</v>
      </c>
      <c r="N313" s="144">
        <f t="shared" ca="1" si="37"/>
        <v>8.51174466559082</v>
      </c>
      <c r="O313" s="144">
        <f t="shared" ca="1" si="37"/>
        <v>69.698135198135191</v>
      </c>
      <c r="P313" s="144">
        <f t="shared" ca="1" si="37"/>
        <v>1</v>
      </c>
      <c r="Q313" s="144">
        <f t="shared" ca="1" si="37"/>
        <v>0.8965393580778197</v>
      </c>
    </row>
    <row r="314" spans="1:22" x14ac:dyDescent="0.25">
      <c r="A314" s="145">
        <v>42456</v>
      </c>
      <c r="B314" s="144">
        <v>1.1153999999999999</v>
      </c>
      <c r="C314" s="144">
        <v>77.741299999999995</v>
      </c>
      <c r="D314" s="144">
        <v>9.4939999999999998</v>
      </c>
      <c r="E314" s="144">
        <v>125.41</v>
      </c>
      <c r="F314" s="144">
        <v>0.78937999999999997</v>
      </c>
      <c r="G314" s="144">
        <v>1.0874999999999999</v>
      </c>
      <c r="I314" s="144">
        <v>1</v>
      </c>
      <c r="J314" s="145">
        <f t="shared" si="32"/>
        <v>42456</v>
      </c>
      <c r="K314" s="144">
        <f t="shared" ca="1" si="37"/>
        <v>0.9749865519096288</v>
      </c>
      <c r="L314" s="144">
        <f t="shared" ca="1" si="37"/>
        <v>0.70771023847946923</v>
      </c>
      <c r="M314" s="144">
        <f t="shared" ca="1" si="37"/>
        <v>112.43500089653936</v>
      </c>
      <c r="N314" s="144">
        <f t="shared" ca="1" si="37"/>
        <v>8.51174466559082</v>
      </c>
      <c r="O314" s="144">
        <f t="shared" ca="1" si="37"/>
        <v>69.698135198135191</v>
      </c>
      <c r="P314" s="144">
        <f t="shared" ca="1" si="37"/>
        <v>1</v>
      </c>
      <c r="Q314" s="144">
        <f t="shared" ca="1" si="37"/>
        <v>0.8965393580778197</v>
      </c>
    </row>
    <row r="315" spans="1:22" x14ac:dyDescent="0.25">
      <c r="A315" s="145">
        <v>42455</v>
      </c>
      <c r="B315" s="144">
        <v>1.1153999999999999</v>
      </c>
      <c r="C315" s="144">
        <v>77.741299999999995</v>
      </c>
      <c r="D315" s="144">
        <v>9.4939999999999998</v>
      </c>
      <c r="E315" s="144">
        <v>125.41</v>
      </c>
      <c r="F315" s="144">
        <v>0.78937999999999997</v>
      </c>
      <c r="G315" s="144">
        <v>1.0874999999999999</v>
      </c>
      <c r="I315" s="144">
        <v>1</v>
      </c>
      <c r="J315" s="145">
        <f t="shared" si="32"/>
        <v>42455</v>
      </c>
      <c r="K315" s="144">
        <f t="shared" ref="K315:Q324" ca="1" si="38">OFFSET($A315,0,K$3)/OFFSET($A315,0,$P$3)</f>
        <v>0.9749865519096288</v>
      </c>
      <c r="L315" s="144">
        <f t="shared" ca="1" si="38"/>
        <v>0.70771023847946923</v>
      </c>
      <c r="M315" s="144">
        <f t="shared" ca="1" si="38"/>
        <v>112.43500089653936</v>
      </c>
      <c r="N315" s="144">
        <f t="shared" ca="1" si="38"/>
        <v>8.51174466559082</v>
      </c>
      <c r="O315" s="144">
        <f t="shared" ca="1" si="38"/>
        <v>69.698135198135191</v>
      </c>
      <c r="P315" s="144">
        <f t="shared" ca="1" si="38"/>
        <v>1</v>
      </c>
      <c r="Q315" s="144">
        <f t="shared" ca="1" si="38"/>
        <v>0.8965393580778197</v>
      </c>
    </row>
    <row r="316" spans="1:22" x14ac:dyDescent="0.25">
      <c r="A316" s="145">
        <v>42454</v>
      </c>
      <c r="B316" s="144">
        <v>1.1153999999999999</v>
      </c>
      <c r="C316" s="144">
        <v>77.741299999999995</v>
      </c>
      <c r="D316" s="144">
        <v>9.4939999999999998</v>
      </c>
      <c r="E316" s="144">
        <v>125.41</v>
      </c>
      <c r="F316" s="144">
        <v>0.78937999999999997</v>
      </c>
      <c r="G316" s="144">
        <v>1.0874999999999999</v>
      </c>
      <c r="I316" s="144">
        <v>1</v>
      </c>
      <c r="J316" s="145">
        <f t="shared" si="32"/>
        <v>42454</v>
      </c>
      <c r="K316" s="144">
        <f t="shared" ca="1" si="38"/>
        <v>0.9749865519096288</v>
      </c>
      <c r="L316" s="144">
        <f t="shared" ca="1" si="38"/>
        <v>0.70771023847946923</v>
      </c>
      <c r="M316" s="144">
        <f t="shared" ca="1" si="38"/>
        <v>112.43500089653936</v>
      </c>
      <c r="N316" s="144">
        <f t="shared" ca="1" si="38"/>
        <v>8.51174466559082</v>
      </c>
      <c r="O316" s="144">
        <f t="shared" ca="1" si="38"/>
        <v>69.698135198135191</v>
      </c>
      <c r="P316" s="144">
        <f t="shared" ca="1" si="38"/>
        <v>1</v>
      </c>
      <c r="Q316" s="144">
        <f t="shared" ca="1" si="38"/>
        <v>0.8965393580778197</v>
      </c>
    </row>
    <row r="317" spans="1:22" x14ac:dyDescent="0.25">
      <c r="A317" s="145">
        <v>42453</v>
      </c>
      <c r="B317" s="144">
        <v>1.1153999999999999</v>
      </c>
      <c r="C317" s="144">
        <v>77.741299999999995</v>
      </c>
      <c r="D317" s="144">
        <v>9.4939999999999998</v>
      </c>
      <c r="E317" s="144">
        <v>125.41</v>
      </c>
      <c r="F317" s="144">
        <v>0.78937999999999997</v>
      </c>
      <c r="G317" s="144">
        <v>1.0874999999999999</v>
      </c>
      <c r="I317" s="144">
        <v>1</v>
      </c>
      <c r="J317" s="145">
        <f t="shared" si="32"/>
        <v>42453</v>
      </c>
      <c r="K317" s="144">
        <f t="shared" ca="1" si="38"/>
        <v>0.9749865519096288</v>
      </c>
      <c r="L317" s="144">
        <f t="shared" ca="1" si="38"/>
        <v>0.70771023847946923</v>
      </c>
      <c r="M317" s="144">
        <f t="shared" ca="1" si="38"/>
        <v>112.43500089653936</v>
      </c>
      <c r="N317" s="144">
        <f t="shared" ca="1" si="38"/>
        <v>8.51174466559082</v>
      </c>
      <c r="O317" s="144">
        <f t="shared" ca="1" si="38"/>
        <v>69.698135198135191</v>
      </c>
      <c r="P317" s="144">
        <f t="shared" ca="1" si="38"/>
        <v>1</v>
      </c>
      <c r="Q317" s="144">
        <f t="shared" ca="1" si="38"/>
        <v>0.8965393580778197</v>
      </c>
    </row>
    <row r="318" spans="1:22" x14ac:dyDescent="0.25">
      <c r="A318" s="145">
        <v>42452</v>
      </c>
      <c r="B318" s="144">
        <v>1.1171</v>
      </c>
      <c r="C318" s="144">
        <v>75.847800000000007</v>
      </c>
      <c r="D318" s="144">
        <v>9.4863</v>
      </c>
      <c r="E318" s="144">
        <v>126.01</v>
      </c>
      <c r="F318" s="144">
        <v>0.78985000000000005</v>
      </c>
      <c r="G318" s="144">
        <v>1.0893999999999999</v>
      </c>
      <c r="I318" s="144">
        <v>1</v>
      </c>
      <c r="J318" s="145">
        <f t="shared" si="32"/>
        <v>42452</v>
      </c>
      <c r="K318" s="144">
        <f t="shared" ca="1" si="38"/>
        <v>0.97520365231402739</v>
      </c>
      <c r="L318" s="144">
        <f t="shared" ca="1" si="38"/>
        <v>0.7070539790529049</v>
      </c>
      <c r="M318" s="144">
        <f t="shared" ca="1" si="38"/>
        <v>112.80100259600752</v>
      </c>
      <c r="N318" s="144">
        <f t="shared" ca="1" si="38"/>
        <v>8.4918986661892397</v>
      </c>
      <c r="O318" s="144">
        <f t="shared" ca="1" si="38"/>
        <v>67.897054874227919</v>
      </c>
      <c r="P318" s="144">
        <f t="shared" ca="1" si="38"/>
        <v>1</v>
      </c>
      <c r="Q318" s="144">
        <f t="shared" ca="1" si="38"/>
        <v>0.89517500671381256</v>
      </c>
    </row>
    <row r="319" spans="1:22" x14ac:dyDescent="0.25">
      <c r="A319" s="145">
        <v>42451</v>
      </c>
      <c r="B319" s="144">
        <v>1.1212</v>
      </c>
      <c r="C319" s="144">
        <v>76.233000000000004</v>
      </c>
      <c r="D319" s="144">
        <v>9.4469999999999992</v>
      </c>
      <c r="E319" s="144">
        <v>125.13</v>
      </c>
      <c r="F319" s="144">
        <v>0.78790000000000004</v>
      </c>
      <c r="G319" s="144">
        <v>1.0887</v>
      </c>
      <c r="I319" s="144">
        <v>1</v>
      </c>
      <c r="J319" s="145">
        <f t="shared" si="32"/>
        <v>42451</v>
      </c>
      <c r="K319" s="144">
        <f t="shared" ca="1" si="38"/>
        <v>0.97101320014270431</v>
      </c>
      <c r="L319" s="144">
        <f t="shared" ca="1" si="38"/>
        <v>0.7027292186942562</v>
      </c>
      <c r="M319" s="144">
        <f t="shared" ca="1" si="38"/>
        <v>111.60363895825901</v>
      </c>
      <c r="N319" s="144">
        <f t="shared" ca="1" si="38"/>
        <v>8.4257937923653223</v>
      </c>
      <c r="O319" s="144">
        <f t="shared" ca="1" si="38"/>
        <v>67.992329646806994</v>
      </c>
      <c r="P319" s="144">
        <f t="shared" ca="1" si="38"/>
        <v>1</v>
      </c>
      <c r="Q319" s="144">
        <f t="shared" ca="1" si="38"/>
        <v>0.89190153407063866</v>
      </c>
    </row>
    <row r="320" spans="1:22" x14ac:dyDescent="0.25">
      <c r="A320" s="145">
        <v>42450</v>
      </c>
      <c r="B320" s="144">
        <v>1.1271</v>
      </c>
      <c r="C320" s="144">
        <v>76.7226</v>
      </c>
      <c r="D320" s="144">
        <v>9.4428000000000001</v>
      </c>
      <c r="E320" s="144">
        <v>125.94</v>
      </c>
      <c r="F320" s="144">
        <v>0.78303</v>
      </c>
      <c r="G320" s="144">
        <v>1.0915999999999999</v>
      </c>
      <c r="I320" s="144">
        <v>1</v>
      </c>
      <c r="J320" s="145">
        <f t="shared" si="32"/>
        <v>42450</v>
      </c>
      <c r="K320" s="144">
        <f t="shared" ca="1" si="38"/>
        <v>0.96850323839943209</v>
      </c>
      <c r="L320" s="144">
        <f t="shared" ca="1" si="38"/>
        <v>0.69472983763641205</v>
      </c>
      <c r="M320" s="144">
        <f t="shared" ca="1" si="38"/>
        <v>111.73808890071865</v>
      </c>
      <c r="N320" s="144">
        <f t="shared" ca="1" si="38"/>
        <v>8.3779611392068141</v>
      </c>
      <c r="O320" s="144">
        <f t="shared" ca="1" si="38"/>
        <v>68.070801171147195</v>
      </c>
      <c r="P320" s="144">
        <f t="shared" ca="1" si="38"/>
        <v>1</v>
      </c>
      <c r="Q320" s="144">
        <f t="shared" ca="1" si="38"/>
        <v>0.88723272114275575</v>
      </c>
    </row>
    <row r="321" spans="1:17" x14ac:dyDescent="0.25">
      <c r="A321" s="145">
        <v>42449</v>
      </c>
      <c r="B321" s="144">
        <v>1.1278999999999999</v>
      </c>
      <c r="C321" s="144">
        <v>76.049800000000005</v>
      </c>
      <c r="D321" s="144">
        <v>9.4110999999999994</v>
      </c>
      <c r="E321" s="144">
        <v>125.79</v>
      </c>
      <c r="F321" s="144">
        <v>0.77854999999999996</v>
      </c>
      <c r="G321" s="144">
        <v>1.0919000000000001</v>
      </c>
      <c r="I321" s="144">
        <v>1</v>
      </c>
      <c r="J321" s="145">
        <f t="shared" si="32"/>
        <v>42449</v>
      </c>
      <c r="K321" s="144">
        <f t="shared" ca="1" si="38"/>
        <v>0.96808227679758863</v>
      </c>
      <c r="L321" s="144">
        <f t="shared" ca="1" si="38"/>
        <v>0.69026509442326445</v>
      </c>
      <c r="M321" s="144">
        <f t="shared" ca="1" si="38"/>
        <v>111.52584448975975</v>
      </c>
      <c r="N321" s="144">
        <f t="shared" ca="1" si="38"/>
        <v>8.3439134675059847</v>
      </c>
      <c r="O321" s="144">
        <f t="shared" ca="1" si="38"/>
        <v>67.426012944409976</v>
      </c>
      <c r="P321" s="144">
        <f t="shared" ca="1" si="38"/>
        <v>1</v>
      </c>
      <c r="Q321" s="144">
        <f t="shared" ca="1" si="38"/>
        <v>0.88660342228921007</v>
      </c>
    </row>
    <row r="322" spans="1:17" x14ac:dyDescent="0.25">
      <c r="A322" s="145">
        <v>42448</v>
      </c>
      <c r="B322" s="144">
        <v>1.1278999999999999</v>
      </c>
      <c r="C322" s="144">
        <v>76.049800000000005</v>
      </c>
      <c r="D322" s="144">
        <v>9.4110999999999994</v>
      </c>
      <c r="E322" s="144">
        <v>125.79</v>
      </c>
      <c r="F322" s="144">
        <v>0.77854999999999996</v>
      </c>
      <c r="G322" s="144">
        <v>1.0919000000000001</v>
      </c>
      <c r="I322" s="144">
        <v>1</v>
      </c>
      <c r="J322" s="145">
        <f t="shared" si="32"/>
        <v>42448</v>
      </c>
      <c r="K322" s="144">
        <f t="shared" ca="1" si="38"/>
        <v>0.96808227679758863</v>
      </c>
      <c r="L322" s="144">
        <f t="shared" ca="1" si="38"/>
        <v>0.69026509442326445</v>
      </c>
      <c r="M322" s="144">
        <f t="shared" ca="1" si="38"/>
        <v>111.52584448975975</v>
      </c>
      <c r="N322" s="144">
        <f t="shared" ca="1" si="38"/>
        <v>8.3439134675059847</v>
      </c>
      <c r="O322" s="144">
        <f t="shared" ca="1" si="38"/>
        <v>67.426012944409976</v>
      </c>
      <c r="P322" s="144">
        <f t="shared" ca="1" si="38"/>
        <v>1</v>
      </c>
      <c r="Q322" s="144">
        <f t="shared" ca="1" si="38"/>
        <v>0.88660342228921007</v>
      </c>
    </row>
    <row r="323" spans="1:17" x14ac:dyDescent="0.25">
      <c r="A323" s="145">
        <v>42447</v>
      </c>
      <c r="B323" s="144">
        <v>1.1278999999999999</v>
      </c>
      <c r="C323" s="144">
        <v>76.049800000000005</v>
      </c>
      <c r="D323" s="144">
        <v>9.4110999999999994</v>
      </c>
      <c r="E323" s="144">
        <v>125.79</v>
      </c>
      <c r="F323" s="144">
        <v>0.77854999999999996</v>
      </c>
      <c r="G323" s="144">
        <v>1.0919000000000001</v>
      </c>
      <c r="I323" s="144">
        <v>1</v>
      </c>
      <c r="J323" s="145">
        <f t="shared" si="32"/>
        <v>42447</v>
      </c>
      <c r="K323" s="144">
        <f t="shared" ca="1" si="38"/>
        <v>0.96808227679758863</v>
      </c>
      <c r="L323" s="144">
        <f t="shared" ca="1" si="38"/>
        <v>0.69026509442326445</v>
      </c>
      <c r="M323" s="144">
        <f t="shared" ca="1" si="38"/>
        <v>111.52584448975975</v>
      </c>
      <c r="N323" s="144">
        <f t="shared" ca="1" si="38"/>
        <v>8.3439134675059847</v>
      </c>
      <c r="O323" s="144">
        <f t="shared" ca="1" si="38"/>
        <v>67.426012944409976</v>
      </c>
      <c r="P323" s="144">
        <f t="shared" ca="1" si="38"/>
        <v>1</v>
      </c>
      <c r="Q323" s="144">
        <f t="shared" ca="1" si="38"/>
        <v>0.88660342228921007</v>
      </c>
    </row>
    <row r="324" spans="1:17" x14ac:dyDescent="0.25">
      <c r="A324" s="145">
        <v>42446</v>
      </c>
      <c r="B324" s="144">
        <v>1.1311</v>
      </c>
      <c r="C324" s="144">
        <v>77.355999999999995</v>
      </c>
      <c r="D324" s="144">
        <v>9.4768000000000008</v>
      </c>
      <c r="E324" s="144">
        <v>126.28</v>
      </c>
      <c r="F324" s="144">
        <v>0.78217999999999999</v>
      </c>
      <c r="G324" s="144">
        <v>1.0959000000000001</v>
      </c>
      <c r="I324" s="144">
        <v>1</v>
      </c>
      <c r="J324" s="145">
        <f t="shared" si="32"/>
        <v>42446</v>
      </c>
      <c r="K324" s="144">
        <f t="shared" ca="1" si="38"/>
        <v>0.96887985147201849</v>
      </c>
      <c r="L324" s="144">
        <f t="shared" ca="1" si="38"/>
        <v>0.69152152771638231</v>
      </c>
      <c r="M324" s="144">
        <f t="shared" ca="1" si="38"/>
        <v>111.64353284413403</v>
      </c>
      <c r="N324" s="144">
        <f t="shared" ca="1" si="38"/>
        <v>8.3783927150561404</v>
      </c>
      <c r="O324" s="144">
        <f t="shared" ca="1" si="38"/>
        <v>68.390062770754128</v>
      </c>
      <c r="P324" s="144">
        <f t="shared" ca="1" si="38"/>
        <v>1</v>
      </c>
      <c r="Q324" s="144">
        <f t="shared" ca="1" si="38"/>
        <v>0.88409512863584128</v>
      </c>
    </row>
    <row r="325" spans="1:17" x14ac:dyDescent="0.25">
      <c r="A325" s="145">
        <v>42445</v>
      </c>
      <c r="B325" s="144">
        <v>1.1064000000000001</v>
      </c>
      <c r="C325" s="144">
        <v>78.608000000000004</v>
      </c>
      <c r="D325" s="144">
        <v>9.5020000000000007</v>
      </c>
      <c r="E325" s="144">
        <v>125.68</v>
      </c>
      <c r="F325" s="144">
        <v>0.7873</v>
      </c>
      <c r="G325" s="144">
        <v>1.0960000000000001</v>
      </c>
      <c r="I325" s="144">
        <v>1</v>
      </c>
      <c r="J325" s="145">
        <f t="shared" ref="J325:J388" si="39">A325</f>
        <v>42445</v>
      </c>
      <c r="K325" s="144">
        <f t="shared" ref="K325:Q334" ca="1" si="40">OFFSET($A325,0,K$3)/OFFSET($A325,0,$P$3)</f>
        <v>0.99060014461315982</v>
      </c>
      <c r="L325" s="144">
        <f t="shared" ca="1" si="40"/>
        <v>0.711587129428778</v>
      </c>
      <c r="M325" s="144">
        <f t="shared" ca="1" si="40"/>
        <v>113.59363702096891</v>
      </c>
      <c r="N325" s="144">
        <f t="shared" ca="1" si="40"/>
        <v>8.5882140274765</v>
      </c>
      <c r="O325" s="144">
        <f t="shared" ca="1" si="40"/>
        <v>71.048445408532174</v>
      </c>
      <c r="P325" s="144">
        <f t="shared" ca="1" si="40"/>
        <v>1</v>
      </c>
      <c r="Q325" s="144">
        <f t="shared" ca="1" si="40"/>
        <v>0.90383224873463486</v>
      </c>
    </row>
    <row r="326" spans="1:17" x14ac:dyDescent="0.25">
      <c r="A326" s="145">
        <v>42444</v>
      </c>
      <c r="B326" s="144">
        <v>1.1109</v>
      </c>
      <c r="C326" s="144">
        <v>78.726500000000001</v>
      </c>
      <c r="D326" s="144">
        <v>9.48</v>
      </c>
      <c r="E326" s="144">
        <v>125.36</v>
      </c>
      <c r="F326" s="144">
        <v>0.78358000000000005</v>
      </c>
      <c r="G326" s="144">
        <v>1.0953999999999999</v>
      </c>
      <c r="I326" s="144">
        <v>1</v>
      </c>
      <c r="J326" s="145">
        <f t="shared" si="39"/>
        <v>42444</v>
      </c>
      <c r="K326" s="144">
        <f t="shared" ca="1" si="40"/>
        <v>0.98604734899630919</v>
      </c>
      <c r="L326" s="144">
        <f t="shared" ca="1" si="40"/>
        <v>0.70535601764335232</v>
      </c>
      <c r="M326" s="144">
        <f t="shared" ca="1" si="40"/>
        <v>112.8454406337204</v>
      </c>
      <c r="N326" s="144">
        <f t="shared" ca="1" si="40"/>
        <v>8.5336213880637324</v>
      </c>
      <c r="O326" s="144">
        <f t="shared" ca="1" si="40"/>
        <v>70.867314789810067</v>
      </c>
      <c r="P326" s="144">
        <f t="shared" ca="1" si="40"/>
        <v>1</v>
      </c>
      <c r="Q326" s="144">
        <f t="shared" ca="1" si="40"/>
        <v>0.90017103249617425</v>
      </c>
    </row>
    <row r="327" spans="1:17" x14ac:dyDescent="0.25">
      <c r="A327" s="145">
        <v>42443</v>
      </c>
      <c r="B327" s="144">
        <v>1.1119000000000001</v>
      </c>
      <c r="C327" s="144">
        <v>78.588899999999995</v>
      </c>
      <c r="D327" s="144">
        <v>9.4139999999999997</v>
      </c>
      <c r="E327" s="144">
        <v>126.36</v>
      </c>
      <c r="F327" s="144">
        <v>0.77427999999999997</v>
      </c>
      <c r="G327" s="144">
        <v>1.0969</v>
      </c>
      <c r="I327" s="144">
        <v>1</v>
      </c>
      <c r="J327" s="145">
        <f t="shared" si="39"/>
        <v>42443</v>
      </c>
      <c r="K327" s="144">
        <f t="shared" ca="1" si="40"/>
        <v>0.98650957819947827</v>
      </c>
      <c r="L327" s="144">
        <f t="shared" ca="1" si="40"/>
        <v>0.69635758611385912</v>
      </c>
      <c r="M327" s="144">
        <f t="shared" ca="1" si="40"/>
        <v>113.64331324759419</v>
      </c>
      <c r="N327" s="144">
        <f t="shared" ca="1" si="40"/>
        <v>8.4665887220073728</v>
      </c>
      <c r="O327" s="144">
        <f t="shared" ca="1" si="40"/>
        <v>70.679827322600943</v>
      </c>
      <c r="P327" s="144">
        <f t="shared" ca="1" si="40"/>
        <v>1</v>
      </c>
      <c r="Q327" s="144">
        <f t="shared" ca="1" si="40"/>
        <v>0.89936145336810858</v>
      </c>
    </row>
    <row r="328" spans="1:17" x14ac:dyDescent="0.25">
      <c r="A328" s="145">
        <v>42442</v>
      </c>
      <c r="B328" s="144">
        <v>1.109</v>
      </c>
      <c r="C328" s="144">
        <v>77.459000000000003</v>
      </c>
      <c r="D328" s="144">
        <v>9.4359999999999999</v>
      </c>
      <c r="E328" s="144">
        <v>126.17</v>
      </c>
      <c r="F328" s="144">
        <v>0.77595000000000003</v>
      </c>
      <c r="G328" s="144">
        <v>1.0948</v>
      </c>
      <c r="I328" s="144">
        <v>1</v>
      </c>
      <c r="J328" s="145">
        <f t="shared" si="39"/>
        <v>42442</v>
      </c>
      <c r="K328" s="144">
        <f t="shared" ca="1" si="40"/>
        <v>0.98719567177637513</v>
      </c>
      <c r="L328" s="144">
        <f t="shared" ca="1" si="40"/>
        <v>0.69968440036068535</v>
      </c>
      <c r="M328" s="144">
        <f t="shared" ca="1" si="40"/>
        <v>113.76916140667268</v>
      </c>
      <c r="N328" s="144">
        <f t="shared" ca="1" si="40"/>
        <v>8.508566275924256</v>
      </c>
      <c r="O328" s="144">
        <f t="shared" ca="1" si="40"/>
        <v>69.8458070333634</v>
      </c>
      <c r="P328" s="144">
        <f t="shared" ca="1" si="40"/>
        <v>1</v>
      </c>
      <c r="Q328" s="144">
        <f t="shared" ca="1" si="40"/>
        <v>0.90171325518485124</v>
      </c>
    </row>
    <row r="329" spans="1:17" x14ac:dyDescent="0.25">
      <c r="A329" s="145">
        <v>42441</v>
      </c>
      <c r="B329" s="144">
        <v>1.109</v>
      </c>
      <c r="C329" s="144">
        <v>77.459000000000003</v>
      </c>
      <c r="D329" s="144">
        <v>9.4359999999999999</v>
      </c>
      <c r="E329" s="144">
        <v>126.17</v>
      </c>
      <c r="F329" s="144">
        <v>0.77595000000000003</v>
      </c>
      <c r="G329" s="144">
        <v>1.0948</v>
      </c>
      <c r="I329" s="144">
        <v>1</v>
      </c>
      <c r="J329" s="145">
        <f t="shared" si="39"/>
        <v>42441</v>
      </c>
      <c r="K329" s="144">
        <f t="shared" ca="1" si="40"/>
        <v>0.98719567177637513</v>
      </c>
      <c r="L329" s="144">
        <f t="shared" ca="1" si="40"/>
        <v>0.69968440036068535</v>
      </c>
      <c r="M329" s="144">
        <f t="shared" ca="1" si="40"/>
        <v>113.76916140667268</v>
      </c>
      <c r="N329" s="144">
        <f t="shared" ca="1" si="40"/>
        <v>8.508566275924256</v>
      </c>
      <c r="O329" s="144">
        <f t="shared" ca="1" si="40"/>
        <v>69.8458070333634</v>
      </c>
      <c r="P329" s="144">
        <f t="shared" ca="1" si="40"/>
        <v>1</v>
      </c>
      <c r="Q329" s="144">
        <f t="shared" ca="1" si="40"/>
        <v>0.90171325518485124</v>
      </c>
    </row>
    <row r="330" spans="1:17" x14ac:dyDescent="0.25">
      <c r="A330" s="145">
        <v>42440</v>
      </c>
      <c r="B330" s="144">
        <v>1.109</v>
      </c>
      <c r="C330" s="144">
        <v>77.459000000000003</v>
      </c>
      <c r="D330" s="144">
        <v>9.4359999999999999</v>
      </c>
      <c r="E330" s="144">
        <v>126.17</v>
      </c>
      <c r="F330" s="144">
        <v>0.77595000000000003</v>
      </c>
      <c r="G330" s="144">
        <v>1.0948</v>
      </c>
      <c r="I330" s="144">
        <v>1</v>
      </c>
      <c r="J330" s="145">
        <f t="shared" si="39"/>
        <v>42440</v>
      </c>
      <c r="K330" s="144">
        <f t="shared" ca="1" si="40"/>
        <v>0.98719567177637513</v>
      </c>
      <c r="L330" s="144">
        <f t="shared" ca="1" si="40"/>
        <v>0.69968440036068535</v>
      </c>
      <c r="M330" s="144">
        <f t="shared" ca="1" si="40"/>
        <v>113.76916140667268</v>
      </c>
      <c r="N330" s="144">
        <f t="shared" ca="1" si="40"/>
        <v>8.508566275924256</v>
      </c>
      <c r="O330" s="144">
        <f t="shared" ca="1" si="40"/>
        <v>69.8458070333634</v>
      </c>
      <c r="P330" s="144">
        <f t="shared" ca="1" si="40"/>
        <v>1</v>
      </c>
      <c r="Q330" s="144">
        <f t="shared" ca="1" si="40"/>
        <v>0.90171325518485124</v>
      </c>
    </row>
    <row r="331" spans="1:17" x14ac:dyDescent="0.25">
      <c r="A331" s="145">
        <v>42439</v>
      </c>
      <c r="B331" s="144">
        <v>1.0857000000000001</v>
      </c>
      <c r="C331" s="144">
        <v>76.436999999999998</v>
      </c>
      <c r="D331" s="144">
        <v>9.2926000000000002</v>
      </c>
      <c r="E331" s="144">
        <v>123.87</v>
      </c>
      <c r="F331" s="144">
        <v>0.76727999999999996</v>
      </c>
      <c r="G331" s="144">
        <v>1.0941000000000001</v>
      </c>
      <c r="I331" s="144">
        <v>1</v>
      </c>
      <c r="J331" s="145">
        <f t="shared" si="39"/>
        <v>42439</v>
      </c>
      <c r="K331" s="144">
        <f t="shared" ca="1" si="40"/>
        <v>1.0077369439071566</v>
      </c>
      <c r="L331" s="144">
        <f t="shared" ca="1" si="40"/>
        <v>0.70671456203371086</v>
      </c>
      <c r="M331" s="144">
        <f t="shared" ca="1" si="40"/>
        <v>114.09229068803536</v>
      </c>
      <c r="N331" s="144">
        <f t="shared" ca="1" si="40"/>
        <v>8.5590863037671543</v>
      </c>
      <c r="O331" s="144">
        <f t="shared" ca="1" si="40"/>
        <v>70.403426360873155</v>
      </c>
      <c r="P331" s="144">
        <f t="shared" ca="1" si="40"/>
        <v>1</v>
      </c>
      <c r="Q331" s="144">
        <f t="shared" ca="1" si="40"/>
        <v>0.9210647508519848</v>
      </c>
    </row>
    <row r="332" spans="1:17" x14ac:dyDescent="0.25">
      <c r="A332" s="145">
        <v>42438</v>
      </c>
      <c r="B332" s="144">
        <v>1.0972999999999999</v>
      </c>
      <c r="C332" s="144">
        <v>78.766999999999996</v>
      </c>
      <c r="D332" s="144">
        <v>9.3963999999999999</v>
      </c>
      <c r="E332" s="144">
        <v>123.63</v>
      </c>
      <c r="F332" s="144">
        <v>0.77134999999999998</v>
      </c>
      <c r="G332" s="144">
        <v>1.0978000000000001</v>
      </c>
      <c r="I332" s="144">
        <v>1</v>
      </c>
      <c r="J332" s="145">
        <f t="shared" si="39"/>
        <v>42438</v>
      </c>
      <c r="K332" s="144">
        <f t="shared" ca="1" si="40"/>
        <v>1.0004556639023059</v>
      </c>
      <c r="L332" s="144">
        <f t="shared" ca="1" si="40"/>
        <v>0.70295270208694072</v>
      </c>
      <c r="M332" s="144">
        <f t="shared" ca="1" si="40"/>
        <v>112.66745648409733</v>
      </c>
      <c r="N332" s="144">
        <f t="shared" ca="1" si="40"/>
        <v>8.5632005832497953</v>
      </c>
      <c r="O332" s="144">
        <f t="shared" ca="1" si="40"/>
        <v>71.782557185819741</v>
      </c>
      <c r="P332" s="144">
        <f t="shared" ca="1" si="40"/>
        <v>1</v>
      </c>
      <c r="Q332" s="144">
        <f t="shared" ca="1" si="40"/>
        <v>0.91132780461131879</v>
      </c>
    </row>
    <row r="333" spans="1:17" x14ac:dyDescent="0.25">
      <c r="A333" s="145">
        <v>42437</v>
      </c>
      <c r="B333" s="144">
        <v>1.1028</v>
      </c>
      <c r="C333" s="144">
        <v>79.0929</v>
      </c>
      <c r="D333" s="144">
        <v>9.4284999999999997</v>
      </c>
      <c r="E333" s="144">
        <v>124.6</v>
      </c>
      <c r="F333" s="144">
        <v>0.77607999999999999</v>
      </c>
      <c r="G333" s="144">
        <v>1.0952</v>
      </c>
      <c r="I333" s="144">
        <v>1</v>
      </c>
      <c r="J333" s="145">
        <f t="shared" si="39"/>
        <v>42437</v>
      </c>
      <c r="K333" s="144">
        <f t="shared" ca="1" si="40"/>
        <v>0.99310845121508884</v>
      </c>
      <c r="L333" s="144">
        <f t="shared" ca="1" si="40"/>
        <v>0.70373594486760971</v>
      </c>
      <c r="M333" s="144">
        <f t="shared" ca="1" si="40"/>
        <v>112.98512876314834</v>
      </c>
      <c r="N333" s="144">
        <f t="shared" ca="1" si="40"/>
        <v>8.5496010155966626</v>
      </c>
      <c r="O333" s="144">
        <f t="shared" ca="1" si="40"/>
        <v>71.720076169749731</v>
      </c>
      <c r="P333" s="144">
        <f t="shared" ca="1" si="40"/>
        <v>1</v>
      </c>
      <c r="Q333" s="144">
        <f t="shared" ca="1" si="40"/>
        <v>0.90678273485672833</v>
      </c>
    </row>
    <row r="334" spans="1:17" x14ac:dyDescent="0.25">
      <c r="A334" s="145">
        <v>42436</v>
      </c>
      <c r="B334" s="144">
        <v>1.0952999999999999</v>
      </c>
      <c r="C334" s="144">
        <v>78.7226</v>
      </c>
      <c r="D334" s="144">
        <v>9.3582999999999998</v>
      </c>
      <c r="E334" s="144">
        <v>124.45</v>
      </c>
      <c r="F334" s="144">
        <v>0.77437999999999996</v>
      </c>
      <c r="G334" s="144">
        <v>1.0962000000000001</v>
      </c>
      <c r="I334" s="144">
        <v>1</v>
      </c>
      <c r="J334" s="145">
        <f t="shared" si="39"/>
        <v>42436</v>
      </c>
      <c r="K334" s="144">
        <f t="shared" ca="1" si="40"/>
        <v>1.0008216926869351</v>
      </c>
      <c r="L334" s="144">
        <f t="shared" ca="1" si="40"/>
        <v>0.70700264767643572</v>
      </c>
      <c r="M334" s="144">
        <f t="shared" ca="1" si="40"/>
        <v>113.62183876563499</v>
      </c>
      <c r="N334" s="144">
        <f t="shared" ca="1" si="40"/>
        <v>8.5440518579384648</v>
      </c>
      <c r="O334" s="144">
        <f t="shared" ca="1" si="40"/>
        <v>71.873094129462245</v>
      </c>
      <c r="P334" s="144">
        <f t="shared" ca="1" si="40"/>
        <v>1</v>
      </c>
      <c r="Q334" s="144">
        <f t="shared" ca="1" si="40"/>
        <v>0.9129918743723181</v>
      </c>
    </row>
    <row r="335" spans="1:17" x14ac:dyDescent="0.25">
      <c r="A335" s="145">
        <v>42435</v>
      </c>
      <c r="B335" s="144">
        <v>1.097</v>
      </c>
      <c r="C335" s="144">
        <v>80.167400000000001</v>
      </c>
      <c r="D335" s="144">
        <v>9.3829999999999991</v>
      </c>
      <c r="E335" s="144">
        <v>124.77</v>
      </c>
      <c r="F335" s="144">
        <v>0.77483000000000002</v>
      </c>
      <c r="G335" s="144">
        <v>1.0898000000000001</v>
      </c>
      <c r="I335" s="144">
        <v>1</v>
      </c>
      <c r="J335" s="145">
        <f t="shared" si="39"/>
        <v>42435</v>
      </c>
      <c r="K335" s="144">
        <f t="shared" ref="K335:Q344" ca="1" si="41">OFFSET($A335,0,K$3)/OFFSET($A335,0,$P$3)</f>
        <v>0.99343664539653609</v>
      </c>
      <c r="L335" s="144">
        <f t="shared" ca="1" si="41"/>
        <v>0.70631722880583414</v>
      </c>
      <c r="M335" s="144">
        <f t="shared" ca="1" si="41"/>
        <v>113.73746581586144</v>
      </c>
      <c r="N335" s="144">
        <f t="shared" ca="1" si="41"/>
        <v>8.5533272561531444</v>
      </c>
      <c r="O335" s="144">
        <f t="shared" ca="1" si="41"/>
        <v>73.078760255241576</v>
      </c>
      <c r="P335" s="144">
        <f t="shared" ca="1" si="41"/>
        <v>1</v>
      </c>
      <c r="Q335" s="144">
        <f t="shared" ca="1" si="41"/>
        <v>0.91157702825888787</v>
      </c>
    </row>
    <row r="336" spans="1:17" x14ac:dyDescent="0.25">
      <c r="A336" s="145">
        <v>42434</v>
      </c>
      <c r="B336" s="144">
        <v>1.097</v>
      </c>
      <c r="C336" s="144">
        <v>80.167400000000001</v>
      </c>
      <c r="D336" s="144">
        <v>9.3829999999999991</v>
      </c>
      <c r="E336" s="144">
        <v>124.77</v>
      </c>
      <c r="F336" s="144">
        <v>0.77483000000000002</v>
      </c>
      <c r="G336" s="144">
        <v>1.0898000000000001</v>
      </c>
      <c r="I336" s="144">
        <v>1</v>
      </c>
      <c r="J336" s="145">
        <f t="shared" si="39"/>
        <v>42434</v>
      </c>
      <c r="K336" s="144">
        <f t="shared" ca="1" si="41"/>
        <v>0.99343664539653609</v>
      </c>
      <c r="L336" s="144">
        <f t="shared" ca="1" si="41"/>
        <v>0.70631722880583414</v>
      </c>
      <c r="M336" s="144">
        <f t="shared" ca="1" si="41"/>
        <v>113.73746581586144</v>
      </c>
      <c r="N336" s="144">
        <f t="shared" ca="1" si="41"/>
        <v>8.5533272561531444</v>
      </c>
      <c r="O336" s="144">
        <f t="shared" ca="1" si="41"/>
        <v>73.078760255241576</v>
      </c>
      <c r="P336" s="144">
        <f t="shared" ca="1" si="41"/>
        <v>1</v>
      </c>
      <c r="Q336" s="144">
        <f t="shared" ca="1" si="41"/>
        <v>0.91157702825888787</v>
      </c>
    </row>
    <row r="337" spans="1:17" x14ac:dyDescent="0.25">
      <c r="A337" s="145">
        <v>42433</v>
      </c>
      <c r="B337" s="144">
        <v>1.097</v>
      </c>
      <c r="C337" s="144">
        <v>80.167400000000001</v>
      </c>
      <c r="D337" s="144">
        <v>9.3829999999999991</v>
      </c>
      <c r="E337" s="144">
        <v>124.77</v>
      </c>
      <c r="F337" s="144">
        <v>0.77483000000000002</v>
      </c>
      <c r="G337" s="144">
        <v>1.0898000000000001</v>
      </c>
      <c r="I337" s="144">
        <v>1</v>
      </c>
      <c r="J337" s="145">
        <f t="shared" si="39"/>
        <v>42433</v>
      </c>
      <c r="K337" s="144">
        <f t="shared" ca="1" si="41"/>
        <v>0.99343664539653609</v>
      </c>
      <c r="L337" s="144">
        <f t="shared" ca="1" si="41"/>
        <v>0.70631722880583414</v>
      </c>
      <c r="M337" s="144">
        <f t="shared" ca="1" si="41"/>
        <v>113.73746581586144</v>
      </c>
      <c r="N337" s="144">
        <f t="shared" ca="1" si="41"/>
        <v>8.5533272561531444</v>
      </c>
      <c r="O337" s="144">
        <f t="shared" ca="1" si="41"/>
        <v>73.078760255241576</v>
      </c>
      <c r="P337" s="144">
        <f t="shared" ca="1" si="41"/>
        <v>1</v>
      </c>
      <c r="Q337" s="144">
        <f t="shared" ca="1" si="41"/>
        <v>0.91157702825888787</v>
      </c>
    </row>
    <row r="338" spans="1:17" x14ac:dyDescent="0.25">
      <c r="A338" s="145">
        <v>42432</v>
      </c>
      <c r="B338" s="144">
        <v>1.0901000000000001</v>
      </c>
      <c r="C338" s="144">
        <v>80.084500000000006</v>
      </c>
      <c r="D338" s="144">
        <v>9.4245000000000001</v>
      </c>
      <c r="E338" s="144">
        <v>124.23</v>
      </c>
      <c r="F338" s="144">
        <v>0.77434999999999998</v>
      </c>
      <c r="G338" s="144">
        <v>1.0840000000000001</v>
      </c>
      <c r="I338" s="144">
        <v>1</v>
      </c>
      <c r="J338" s="145">
        <f t="shared" si="39"/>
        <v>42432</v>
      </c>
      <c r="K338" s="144">
        <f t="shared" ca="1" si="41"/>
        <v>0.9944041831024677</v>
      </c>
      <c r="L338" s="144">
        <f t="shared" ca="1" si="41"/>
        <v>0.71034767452527281</v>
      </c>
      <c r="M338" s="144">
        <f t="shared" ca="1" si="41"/>
        <v>113.96202183285936</v>
      </c>
      <c r="N338" s="144">
        <f t="shared" ca="1" si="41"/>
        <v>8.6455371066874598</v>
      </c>
      <c r="O338" s="144">
        <f t="shared" ca="1" si="41"/>
        <v>73.465278414824326</v>
      </c>
      <c r="P338" s="144">
        <f t="shared" ca="1" si="41"/>
        <v>1</v>
      </c>
      <c r="Q338" s="144">
        <f t="shared" ca="1" si="41"/>
        <v>0.91734703238235016</v>
      </c>
    </row>
    <row r="339" spans="1:17" x14ac:dyDescent="0.25">
      <c r="A339" s="145">
        <v>42431</v>
      </c>
      <c r="B339" s="144">
        <v>1.0855999999999999</v>
      </c>
      <c r="C339" s="144">
        <v>80.072900000000004</v>
      </c>
      <c r="D339" s="144">
        <v>9.4220000000000006</v>
      </c>
      <c r="E339" s="144">
        <v>124.07</v>
      </c>
      <c r="F339" s="144">
        <v>0.77410000000000001</v>
      </c>
      <c r="G339" s="144">
        <v>1.0845</v>
      </c>
      <c r="I339" s="144">
        <v>1</v>
      </c>
      <c r="J339" s="145">
        <f t="shared" si="39"/>
        <v>42431</v>
      </c>
      <c r="K339" s="144">
        <f t="shared" ca="1" si="41"/>
        <v>0.99898673544583649</v>
      </c>
      <c r="L339" s="144">
        <f t="shared" ca="1" si="41"/>
        <v>0.71306190125276347</v>
      </c>
      <c r="M339" s="144">
        <f t="shared" ca="1" si="41"/>
        <v>114.28703021370671</v>
      </c>
      <c r="N339" s="144">
        <f t="shared" ca="1" si="41"/>
        <v>8.679071481208549</v>
      </c>
      <c r="O339" s="144">
        <f t="shared" ca="1" si="41"/>
        <v>73.759119380987485</v>
      </c>
      <c r="P339" s="144">
        <f t="shared" ca="1" si="41"/>
        <v>1</v>
      </c>
      <c r="Q339" s="144">
        <f t="shared" ca="1" si="41"/>
        <v>0.92114959469417845</v>
      </c>
    </row>
    <row r="340" spans="1:17" x14ac:dyDescent="0.25">
      <c r="A340" s="145">
        <v>42430</v>
      </c>
      <c r="B340" s="144">
        <v>1.0871999999999999</v>
      </c>
      <c r="C340" s="144">
        <v>80.227000000000004</v>
      </c>
      <c r="D340" s="144">
        <v>9.407</v>
      </c>
      <c r="E340" s="144">
        <v>122.94</v>
      </c>
      <c r="F340" s="144">
        <v>0.77800000000000002</v>
      </c>
      <c r="G340" s="144">
        <v>1.0860000000000001</v>
      </c>
      <c r="I340" s="144">
        <v>1</v>
      </c>
      <c r="J340" s="145">
        <f t="shared" si="39"/>
        <v>42430</v>
      </c>
      <c r="K340" s="144">
        <f t="shared" ca="1" si="41"/>
        <v>0.99889624724061821</v>
      </c>
      <c r="L340" s="144">
        <f t="shared" ca="1" si="41"/>
        <v>0.7155997056659309</v>
      </c>
      <c r="M340" s="144">
        <f t="shared" ca="1" si="41"/>
        <v>113.07947019867549</v>
      </c>
      <c r="N340" s="144">
        <f t="shared" ca="1" si="41"/>
        <v>8.6525018395879325</v>
      </c>
      <c r="O340" s="144">
        <f t="shared" ca="1" si="41"/>
        <v>73.792310522442975</v>
      </c>
      <c r="P340" s="144">
        <f t="shared" ca="1" si="41"/>
        <v>1</v>
      </c>
      <c r="Q340" s="144">
        <f t="shared" ca="1" si="41"/>
        <v>0.91979396615158204</v>
      </c>
    </row>
    <row r="341" spans="1:17" x14ac:dyDescent="0.25">
      <c r="A341" s="145">
        <v>42429</v>
      </c>
      <c r="B341" s="144">
        <v>1.0888</v>
      </c>
      <c r="C341" s="144">
        <v>82.643199999999993</v>
      </c>
      <c r="D341" s="144">
        <v>9.5043000000000006</v>
      </c>
      <c r="E341" s="144">
        <v>123.14</v>
      </c>
      <c r="F341" s="144">
        <v>0.78580000000000005</v>
      </c>
      <c r="G341" s="144">
        <v>1.0913999999999999</v>
      </c>
      <c r="I341" s="144">
        <v>1</v>
      </c>
      <c r="J341" s="145">
        <f t="shared" si="39"/>
        <v>42429</v>
      </c>
      <c r="K341" s="144">
        <f t="shared" ca="1" si="41"/>
        <v>1.0023879500367376</v>
      </c>
      <c r="L341" s="144">
        <f t="shared" ca="1" si="41"/>
        <v>0.72171197648787666</v>
      </c>
      <c r="M341" s="144">
        <f t="shared" ca="1" si="41"/>
        <v>113.09698750918443</v>
      </c>
      <c r="N341" s="144">
        <f t="shared" ca="1" si="41"/>
        <v>8.7291513592946366</v>
      </c>
      <c r="O341" s="144">
        <f t="shared" ca="1" si="41"/>
        <v>75.90301249081557</v>
      </c>
      <c r="P341" s="144">
        <f t="shared" ca="1" si="41"/>
        <v>1</v>
      </c>
      <c r="Q341" s="144">
        <f t="shared" ca="1" si="41"/>
        <v>0.91844232182218954</v>
      </c>
    </row>
    <row r="342" spans="1:17" x14ac:dyDescent="0.25">
      <c r="A342" s="145">
        <v>42428</v>
      </c>
      <c r="B342" s="144">
        <v>1.1006</v>
      </c>
      <c r="C342" s="144">
        <v>83.045000000000002</v>
      </c>
      <c r="D342" s="144">
        <v>9.5244999999999997</v>
      </c>
      <c r="E342" s="144">
        <v>124.42</v>
      </c>
      <c r="F342" s="144">
        <v>0.78744999999999998</v>
      </c>
      <c r="G342" s="144">
        <v>1.0929</v>
      </c>
      <c r="I342" s="144">
        <v>1</v>
      </c>
      <c r="J342" s="145">
        <f t="shared" si="39"/>
        <v>42428</v>
      </c>
      <c r="K342" s="144">
        <f t="shared" ca="1" si="41"/>
        <v>0.99300381610030886</v>
      </c>
      <c r="L342" s="144">
        <f t="shared" ca="1" si="41"/>
        <v>0.71547337815736867</v>
      </c>
      <c r="M342" s="144">
        <f t="shared" ca="1" si="41"/>
        <v>113.04742867526804</v>
      </c>
      <c r="N342" s="144">
        <f t="shared" ca="1" si="41"/>
        <v>8.6539160457932027</v>
      </c>
      <c r="O342" s="144">
        <f t="shared" ca="1" si="41"/>
        <v>75.454297655824092</v>
      </c>
      <c r="P342" s="144">
        <f t="shared" ca="1" si="41"/>
        <v>1</v>
      </c>
      <c r="Q342" s="144">
        <f t="shared" ca="1" si="41"/>
        <v>0.90859531164819185</v>
      </c>
    </row>
    <row r="343" spans="1:17" x14ac:dyDescent="0.25">
      <c r="A343" s="145">
        <v>42427</v>
      </c>
      <c r="B343" s="144">
        <v>1.1006</v>
      </c>
      <c r="C343" s="144">
        <v>83.045000000000002</v>
      </c>
      <c r="D343" s="144">
        <v>9.5244999999999997</v>
      </c>
      <c r="E343" s="144">
        <v>124.42</v>
      </c>
      <c r="F343" s="144">
        <v>0.78744999999999998</v>
      </c>
      <c r="G343" s="144">
        <v>1.0929</v>
      </c>
      <c r="I343" s="144">
        <v>1</v>
      </c>
      <c r="J343" s="145">
        <f t="shared" si="39"/>
        <v>42427</v>
      </c>
      <c r="K343" s="144">
        <f t="shared" ca="1" si="41"/>
        <v>0.99300381610030886</v>
      </c>
      <c r="L343" s="144">
        <f t="shared" ca="1" si="41"/>
        <v>0.71547337815736867</v>
      </c>
      <c r="M343" s="144">
        <f t="shared" ca="1" si="41"/>
        <v>113.04742867526804</v>
      </c>
      <c r="N343" s="144">
        <f t="shared" ca="1" si="41"/>
        <v>8.6539160457932027</v>
      </c>
      <c r="O343" s="144">
        <f t="shared" ca="1" si="41"/>
        <v>75.454297655824092</v>
      </c>
      <c r="P343" s="144">
        <f t="shared" ca="1" si="41"/>
        <v>1</v>
      </c>
      <c r="Q343" s="144">
        <f t="shared" ca="1" si="41"/>
        <v>0.90859531164819185</v>
      </c>
    </row>
    <row r="344" spans="1:17" x14ac:dyDescent="0.25">
      <c r="A344" s="145">
        <v>42426</v>
      </c>
      <c r="B344" s="144">
        <v>1.1006</v>
      </c>
      <c r="C344" s="144">
        <v>83.045000000000002</v>
      </c>
      <c r="D344" s="144">
        <v>9.5244999999999997</v>
      </c>
      <c r="E344" s="144">
        <v>124.42</v>
      </c>
      <c r="F344" s="144">
        <v>0.78744999999999998</v>
      </c>
      <c r="G344" s="144">
        <v>1.0929</v>
      </c>
      <c r="I344" s="144">
        <v>1</v>
      </c>
      <c r="J344" s="145">
        <f t="shared" si="39"/>
        <v>42426</v>
      </c>
      <c r="K344" s="144">
        <f t="shared" ca="1" si="41"/>
        <v>0.99300381610030886</v>
      </c>
      <c r="L344" s="144">
        <f t="shared" ca="1" si="41"/>
        <v>0.71547337815736867</v>
      </c>
      <c r="M344" s="144">
        <f t="shared" ca="1" si="41"/>
        <v>113.04742867526804</v>
      </c>
      <c r="N344" s="144">
        <f t="shared" ca="1" si="41"/>
        <v>8.6539160457932027</v>
      </c>
      <c r="O344" s="144">
        <f t="shared" ca="1" si="41"/>
        <v>75.454297655824092</v>
      </c>
      <c r="P344" s="144">
        <f t="shared" ca="1" si="41"/>
        <v>1</v>
      </c>
      <c r="Q344" s="144">
        <f t="shared" ca="1" si="41"/>
        <v>0.90859531164819185</v>
      </c>
    </row>
    <row r="345" spans="1:17" x14ac:dyDescent="0.25">
      <c r="A345" s="145">
        <v>42425</v>
      </c>
      <c r="B345" s="144">
        <v>1.1027</v>
      </c>
      <c r="C345" s="144">
        <v>83.957499999999996</v>
      </c>
      <c r="D345" s="144">
        <v>9.5412999999999997</v>
      </c>
      <c r="E345" s="144">
        <v>124.01</v>
      </c>
      <c r="F345" s="144">
        <v>0.78920000000000001</v>
      </c>
      <c r="G345" s="144">
        <v>1.0934999999999999</v>
      </c>
      <c r="I345" s="144">
        <v>1</v>
      </c>
      <c r="J345" s="145">
        <f t="shared" si="39"/>
        <v>42425</v>
      </c>
      <c r="K345" s="144">
        <f t="shared" ref="K345:Q354" ca="1" si="42">OFFSET($A345,0,K$3)/OFFSET($A345,0,$P$3)</f>
        <v>0.99165684229618201</v>
      </c>
      <c r="L345" s="144">
        <f t="shared" ca="1" si="42"/>
        <v>0.7156978325927269</v>
      </c>
      <c r="M345" s="144">
        <f t="shared" ca="1" si="42"/>
        <v>112.46032465765848</v>
      </c>
      <c r="N345" s="144">
        <f t="shared" ca="1" si="42"/>
        <v>8.6526707173301887</v>
      </c>
      <c r="O345" s="144">
        <f t="shared" ca="1" si="42"/>
        <v>76.138115534596892</v>
      </c>
      <c r="P345" s="144">
        <f t="shared" ca="1" si="42"/>
        <v>1</v>
      </c>
      <c r="Q345" s="144">
        <f t="shared" ca="1" si="42"/>
        <v>0.90686496780629366</v>
      </c>
    </row>
    <row r="346" spans="1:17" x14ac:dyDescent="0.25">
      <c r="A346" s="145">
        <v>42424</v>
      </c>
      <c r="B346" s="144">
        <v>1.0981000000000001</v>
      </c>
      <c r="C346" s="144">
        <v>84.689400000000006</v>
      </c>
      <c r="D346" s="144">
        <v>9.5858000000000008</v>
      </c>
      <c r="E346" s="144">
        <v>122.86</v>
      </c>
      <c r="F346" s="144">
        <v>0.78935</v>
      </c>
      <c r="G346" s="144">
        <v>1.0913999999999999</v>
      </c>
      <c r="I346" s="144">
        <v>1</v>
      </c>
      <c r="J346" s="145">
        <f t="shared" si="39"/>
        <v>42424</v>
      </c>
      <c r="K346" s="144">
        <f t="shared" ca="1" si="42"/>
        <v>0.99389855204444022</v>
      </c>
      <c r="L346" s="144">
        <f t="shared" ca="1" si="42"/>
        <v>0.71883252891357796</v>
      </c>
      <c r="M346" s="144">
        <f t="shared" ca="1" si="42"/>
        <v>111.88416355523175</v>
      </c>
      <c r="N346" s="144">
        <f t="shared" ca="1" si="42"/>
        <v>8.7294417630452603</v>
      </c>
      <c r="O346" s="144">
        <f t="shared" ca="1" si="42"/>
        <v>77.12357708769693</v>
      </c>
      <c r="P346" s="144">
        <f t="shared" ca="1" si="42"/>
        <v>1</v>
      </c>
      <c r="Q346" s="144">
        <f t="shared" ca="1" si="42"/>
        <v>0.91066387396411974</v>
      </c>
    </row>
    <row r="347" spans="1:17" x14ac:dyDescent="0.25">
      <c r="A347" s="145">
        <v>42423</v>
      </c>
      <c r="B347" s="144">
        <v>1.1002000000000001</v>
      </c>
      <c r="C347" s="144">
        <v>82.799000000000007</v>
      </c>
      <c r="D347" s="144">
        <v>9.4589999999999996</v>
      </c>
      <c r="E347" s="144">
        <v>123.12</v>
      </c>
      <c r="F347" s="144">
        <v>0.77985000000000004</v>
      </c>
      <c r="G347" s="144">
        <v>1.0921000000000001</v>
      </c>
      <c r="I347" s="144">
        <v>1</v>
      </c>
      <c r="J347" s="145">
        <f t="shared" si="39"/>
        <v>42423</v>
      </c>
      <c r="K347" s="144">
        <f t="shared" ca="1" si="42"/>
        <v>0.99263770223595715</v>
      </c>
      <c r="L347" s="144">
        <f t="shared" ca="1" si="42"/>
        <v>0.70882566806035263</v>
      </c>
      <c r="M347" s="144">
        <f t="shared" ca="1" si="42"/>
        <v>111.90692601345209</v>
      </c>
      <c r="N347" s="144">
        <f t="shared" ca="1" si="42"/>
        <v>8.5975277222323214</v>
      </c>
      <c r="O347" s="144">
        <f t="shared" ca="1" si="42"/>
        <v>75.258134884566445</v>
      </c>
      <c r="P347" s="144">
        <f t="shared" ca="1" si="42"/>
        <v>1</v>
      </c>
      <c r="Q347" s="144">
        <f t="shared" ca="1" si="42"/>
        <v>0.90892564988183966</v>
      </c>
    </row>
    <row r="348" spans="1:17" x14ac:dyDescent="0.25">
      <c r="A348" s="145">
        <v>42422</v>
      </c>
      <c r="B348" s="144">
        <v>1.1026</v>
      </c>
      <c r="C348" s="144">
        <v>83.491600000000005</v>
      </c>
      <c r="D348" s="144">
        <v>9.4930000000000003</v>
      </c>
      <c r="E348" s="144">
        <v>124.85</v>
      </c>
      <c r="F348" s="144">
        <v>0.78242999999999996</v>
      </c>
      <c r="G348" s="144">
        <v>1.1008</v>
      </c>
      <c r="I348" s="144">
        <v>1</v>
      </c>
      <c r="J348" s="145">
        <f t="shared" si="39"/>
        <v>42422</v>
      </c>
      <c r="K348" s="144">
        <f t="shared" ca="1" si="42"/>
        <v>0.99836749501179034</v>
      </c>
      <c r="L348" s="144">
        <f t="shared" ca="1" si="42"/>
        <v>0.70962270995828036</v>
      </c>
      <c r="M348" s="144">
        <f t="shared" ca="1" si="42"/>
        <v>113.23235987665517</v>
      </c>
      <c r="N348" s="144">
        <f t="shared" ca="1" si="42"/>
        <v>8.6096499183747515</v>
      </c>
      <c r="O348" s="144">
        <f t="shared" ca="1" si="42"/>
        <v>75.722474152004352</v>
      </c>
      <c r="P348" s="144">
        <f t="shared" ca="1" si="42"/>
        <v>1</v>
      </c>
      <c r="Q348" s="144">
        <f t="shared" ca="1" si="42"/>
        <v>0.90694721567204784</v>
      </c>
    </row>
    <row r="349" spans="1:17" x14ac:dyDescent="0.25">
      <c r="A349" s="145">
        <v>42421</v>
      </c>
      <c r="B349" s="144">
        <v>1.1095999999999999</v>
      </c>
      <c r="C349" s="144">
        <v>85.192400000000006</v>
      </c>
      <c r="D349" s="144">
        <v>9.5358000000000001</v>
      </c>
      <c r="E349" s="144">
        <v>125.4</v>
      </c>
      <c r="F349" s="144">
        <v>0.77715000000000001</v>
      </c>
      <c r="G349" s="144">
        <v>1.1016999999999999</v>
      </c>
      <c r="I349" s="144">
        <v>1</v>
      </c>
      <c r="J349" s="145">
        <f t="shared" si="39"/>
        <v>42421</v>
      </c>
      <c r="K349" s="144">
        <f t="shared" ca="1" si="42"/>
        <v>0.99288031723143477</v>
      </c>
      <c r="L349" s="144">
        <f t="shared" ca="1" si="42"/>
        <v>0.7003875270367701</v>
      </c>
      <c r="M349" s="144">
        <f t="shared" ca="1" si="42"/>
        <v>113.013698630137</v>
      </c>
      <c r="N349" s="144">
        <f t="shared" ca="1" si="42"/>
        <v>8.59390771449171</v>
      </c>
      <c r="O349" s="144">
        <f t="shared" ca="1" si="42"/>
        <v>76.777577505407365</v>
      </c>
      <c r="P349" s="144">
        <f t="shared" ca="1" si="42"/>
        <v>1</v>
      </c>
      <c r="Q349" s="144">
        <f t="shared" ca="1" si="42"/>
        <v>0.90122566690699357</v>
      </c>
    </row>
    <row r="350" spans="1:17" x14ac:dyDescent="0.25">
      <c r="A350" s="145">
        <v>42420</v>
      </c>
      <c r="B350" s="144">
        <v>1.1095999999999999</v>
      </c>
      <c r="C350" s="144">
        <v>85.192400000000006</v>
      </c>
      <c r="D350" s="144">
        <v>9.5358000000000001</v>
      </c>
      <c r="E350" s="144">
        <v>125.4</v>
      </c>
      <c r="F350" s="144">
        <v>0.77715000000000001</v>
      </c>
      <c r="G350" s="144">
        <v>1.1016999999999999</v>
      </c>
      <c r="I350" s="144">
        <v>1</v>
      </c>
      <c r="J350" s="145">
        <f t="shared" si="39"/>
        <v>42420</v>
      </c>
      <c r="K350" s="144">
        <f t="shared" ca="1" si="42"/>
        <v>0.99288031723143477</v>
      </c>
      <c r="L350" s="144">
        <f t="shared" ca="1" si="42"/>
        <v>0.7003875270367701</v>
      </c>
      <c r="M350" s="144">
        <f t="shared" ca="1" si="42"/>
        <v>113.013698630137</v>
      </c>
      <c r="N350" s="144">
        <f t="shared" ca="1" si="42"/>
        <v>8.59390771449171</v>
      </c>
      <c r="O350" s="144">
        <f t="shared" ca="1" si="42"/>
        <v>76.777577505407365</v>
      </c>
      <c r="P350" s="144">
        <f t="shared" ca="1" si="42"/>
        <v>1</v>
      </c>
      <c r="Q350" s="144">
        <f t="shared" ca="1" si="42"/>
        <v>0.90122566690699357</v>
      </c>
    </row>
    <row r="351" spans="1:17" x14ac:dyDescent="0.25">
      <c r="A351" s="145">
        <v>42419</v>
      </c>
      <c r="B351" s="144">
        <v>1.1095999999999999</v>
      </c>
      <c r="C351" s="144">
        <v>85.192400000000006</v>
      </c>
      <c r="D351" s="144">
        <v>9.5358000000000001</v>
      </c>
      <c r="E351" s="144">
        <v>125.4</v>
      </c>
      <c r="F351" s="144">
        <v>0.77715000000000001</v>
      </c>
      <c r="G351" s="144">
        <v>1.1016999999999999</v>
      </c>
      <c r="I351" s="144">
        <v>1</v>
      </c>
      <c r="J351" s="145">
        <f t="shared" si="39"/>
        <v>42419</v>
      </c>
      <c r="K351" s="144">
        <f t="shared" ca="1" si="42"/>
        <v>0.99288031723143477</v>
      </c>
      <c r="L351" s="144">
        <f t="shared" ca="1" si="42"/>
        <v>0.7003875270367701</v>
      </c>
      <c r="M351" s="144">
        <f t="shared" ca="1" si="42"/>
        <v>113.013698630137</v>
      </c>
      <c r="N351" s="144">
        <f t="shared" ca="1" si="42"/>
        <v>8.59390771449171</v>
      </c>
      <c r="O351" s="144">
        <f t="shared" ca="1" si="42"/>
        <v>76.777577505407365</v>
      </c>
      <c r="P351" s="144">
        <f t="shared" ca="1" si="42"/>
        <v>1</v>
      </c>
      <c r="Q351" s="144">
        <f t="shared" ca="1" si="42"/>
        <v>0.90122566690699357</v>
      </c>
    </row>
    <row r="352" spans="1:17" x14ac:dyDescent="0.25">
      <c r="A352" s="145">
        <v>42418</v>
      </c>
      <c r="B352" s="144">
        <v>1.1084000000000001</v>
      </c>
      <c r="C352" s="144">
        <v>83.477199999999996</v>
      </c>
      <c r="D352" s="144">
        <v>9.5235000000000003</v>
      </c>
      <c r="E352" s="144">
        <v>126.17</v>
      </c>
      <c r="F352" s="144">
        <v>0.77142999999999995</v>
      </c>
      <c r="G352" s="144">
        <v>1.1028</v>
      </c>
      <c r="I352" s="144">
        <v>1</v>
      </c>
      <c r="J352" s="145">
        <f t="shared" si="39"/>
        <v>42418</v>
      </c>
      <c r="K352" s="144">
        <f t="shared" ca="1" si="42"/>
        <v>0.99494767232046188</v>
      </c>
      <c r="L352" s="144">
        <f t="shared" ca="1" si="42"/>
        <v>0.69598520389750984</v>
      </c>
      <c r="M352" s="144">
        <f t="shared" ca="1" si="42"/>
        <v>113.83074702273547</v>
      </c>
      <c r="N352" s="144">
        <f t="shared" ca="1" si="42"/>
        <v>8.5921147600144359</v>
      </c>
      <c r="O352" s="144">
        <f t="shared" ca="1" si="42"/>
        <v>75.31324431613136</v>
      </c>
      <c r="P352" s="144">
        <f t="shared" ca="1" si="42"/>
        <v>1</v>
      </c>
      <c r="Q352" s="144">
        <f t="shared" ca="1" si="42"/>
        <v>0.90220137134608436</v>
      </c>
    </row>
    <row r="353" spans="1:17" x14ac:dyDescent="0.25">
      <c r="A353" s="145">
        <v>42417</v>
      </c>
      <c r="B353" s="144">
        <v>1.1135999999999999</v>
      </c>
      <c r="C353" s="144">
        <v>85.1875</v>
      </c>
      <c r="D353" s="144">
        <v>9.5954999999999995</v>
      </c>
      <c r="E353" s="144">
        <v>127.1</v>
      </c>
      <c r="F353" s="144">
        <v>0.77834999999999999</v>
      </c>
      <c r="G353" s="144">
        <v>1.1033999999999999</v>
      </c>
      <c r="I353" s="144">
        <v>1</v>
      </c>
      <c r="J353" s="145">
        <f t="shared" si="39"/>
        <v>42417</v>
      </c>
      <c r="K353" s="144">
        <f t="shared" ca="1" si="42"/>
        <v>0.99084051724137934</v>
      </c>
      <c r="L353" s="144">
        <f t="shared" ca="1" si="42"/>
        <v>0.69894935344827591</v>
      </c>
      <c r="M353" s="144">
        <f t="shared" ca="1" si="42"/>
        <v>114.13433908045977</v>
      </c>
      <c r="N353" s="144">
        <f t="shared" ca="1" si="42"/>
        <v>8.6166487068965516</v>
      </c>
      <c r="O353" s="144">
        <f t="shared" ca="1" si="42"/>
        <v>76.497395833333343</v>
      </c>
      <c r="P353" s="144">
        <f t="shared" ca="1" si="42"/>
        <v>1</v>
      </c>
      <c r="Q353" s="144">
        <f t="shared" ca="1" si="42"/>
        <v>0.89798850574712652</v>
      </c>
    </row>
    <row r="354" spans="1:17" x14ac:dyDescent="0.25">
      <c r="A354" s="145">
        <v>42416</v>
      </c>
      <c r="B354" s="144">
        <v>1.1166</v>
      </c>
      <c r="C354" s="144">
        <v>86.448899999999995</v>
      </c>
      <c r="D354" s="144">
        <v>9.6049000000000007</v>
      </c>
      <c r="E354" s="144">
        <v>127.02</v>
      </c>
      <c r="F354" s="144">
        <v>0.77580000000000005</v>
      </c>
      <c r="G354" s="144">
        <v>1.1017999999999999</v>
      </c>
      <c r="I354" s="144">
        <v>1</v>
      </c>
      <c r="J354" s="145">
        <f t="shared" si="39"/>
        <v>42416</v>
      </c>
      <c r="K354" s="144">
        <f t="shared" ca="1" si="42"/>
        <v>0.98674547734193074</v>
      </c>
      <c r="L354" s="144">
        <f t="shared" ca="1" si="42"/>
        <v>0.69478774852229985</v>
      </c>
      <c r="M354" s="144">
        <f t="shared" ca="1" si="42"/>
        <v>113.75604513702309</v>
      </c>
      <c r="N354" s="144">
        <f t="shared" ca="1" si="42"/>
        <v>8.6019165323302893</v>
      </c>
      <c r="O354" s="144">
        <f t="shared" ca="1" si="42"/>
        <v>77.421547555077908</v>
      </c>
      <c r="P354" s="144">
        <f t="shared" ca="1" si="42"/>
        <v>1</v>
      </c>
      <c r="Q354" s="144">
        <f t="shared" ca="1" si="42"/>
        <v>0.89557585527494177</v>
      </c>
    </row>
    <row r="355" spans="1:17" x14ac:dyDescent="0.25">
      <c r="A355" s="145">
        <v>42415</v>
      </c>
      <c r="B355" s="144">
        <v>1.1180000000000001</v>
      </c>
      <c r="C355" s="144">
        <v>86.319299999999998</v>
      </c>
      <c r="D355" s="144">
        <v>9.6312999999999995</v>
      </c>
      <c r="E355" s="144">
        <v>127.6</v>
      </c>
      <c r="F355" s="144">
        <v>0.77200000000000002</v>
      </c>
      <c r="G355" s="144">
        <v>1.1009</v>
      </c>
      <c r="I355" s="144">
        <v>1</v>
      </c>
      <c r="J355" s="145">
        <f t="shared" si="39"/>
        <v>42415</v>
      </c>
      <c r="K355" s="144">
        <f t="shared" ref="K355:Q364" ca="1" si="43">OFFSET($A355,0,K$3)/OFFSET($A355,0,$P$3)</f>
        <v>0.98470483005366716</v>
      </c>
      <c r="L355" s="144">
        <f t="shared" ca="1" si="43"/>
        <v>0.69051878354203933</v>
      </c>
      <c r="M355" s="144">
        <f t="shared" ca="1" si="43"/>
        <v>114.1323792486583</v>
      </c>
      <c r="N355" s="144">
        <f t="shared" ca="1" si="43"/>
        <v>8.614758497316636</v>
      </c>
      <c r="O355" s="144">
        <f t="shared" ca="1" si="43"/>
        <v>77.208676207513406</v>
      </c>
      <c r="P355" s="144">
        <f t="shared" ca="1" si="43"/>
        <v>1</v>
      </c>
      <c r="Q355" s="144">
        <f t="shared" ca="1" si="43"/>
        <v>0.89445438282647571</v>
      </c>
    </row>
    <row r="356" spans="1:17" x14ac:dyDescent="0.25">
      <c r="A356" s="145">
        <v>42414</v>
      </c>
      <c r="B356" s="144">
        <v>1.1274999999999999</v>
      </c>
      <c r="C356" s="144">
        <v>89.585099999999997</v>
      </c>
      <c r="D356" s="144">
        <v>9.6773000000000007</v>
      </c>
      <c r="E356" s="144">
        <v>127.07</v>
      </c>
      <c r="F356" s="144">
        <v>0.77734999999999999</v>
      </c>
      <c r="G356" s="144">
        <v>1.0989</v>
      </c>
      <c r="I356" s="144">
        <v>1</v>
      </c>
      <c r="J356" s="145">
        <f t="shared" si="39"/>
        <v>42414</v>
      </c>
      <c r="K356" s="144">
        <f t="shared" ca="1" si="43"/>
        <v>0.9746341463414635</v>
      </c>
      <c r="L356" s="144">
        <f t="shared" ca="1" si="43"/>
        <v>0.68944567627494457</v>
      </c>
      <c r="M356" s="144">
        <f t="shared" ca="1" si="43"/>
        <v>112.70066518847007</v>
      </c>
      <c r="N356" s="144">
        <f t="shared" ca="1" si="43"/>
        <v>8.582971175166298</v>
      </c>
      <c r="O356" s="144">
        <f t="shared" ca="1" si="43"/>
        <v>79.454634146341462</v>
      </c>
      <c r="P356" s="144">
        <f t="shared" ca="1" si="43"/>
        <v>1</v>
      </c>
      <c r="Q356" s="144">
        <f t="shared" ca="1" si="43"/>
        <v>0.88691796008869184</v>
      </c>
    </row>
    <row r="357" spans="1:17" x14ac:dyDescent="0.25">
      <c r="A357" s="145">
        <v>42413</v>
      </c>
      <c r="B357" s="144">
        <v>1.1274999999999999</v>
      </c>
      <c r="C357" s="144">
        <v>89.585099999999997</v>
      </c>
      <c r="D357" s="144">
        <v>9.6773000000000007</v>
      </c>
      <c r="E357" s="144">
        <v>127.07</v>
      </c>
      <c r="F357" s="144">
        <v>0.77734999999999999</v>
      </c>
      <c r="G357" s="144">
        <v>1.0989</v>
      </c>
      <c r="I357" s="144">
        <v>1</v>
      </c>
      <c r="J357" s="145">
        <f t="shared" si="39"/>
        <v>42413</v>
      </c>
      <c r="K357" s="144">
        <f t="shared" ca="1" si="43"/>
        <v>0.9746341463414635</v>
      </c>
      <c r="L357" s="144">
        <f t="shared" ca="1" si="43"/>
        <v>0.68944567627494457</v>
      </c>
      <c r="M357" s="144">
        <f t="shared" ca="1" si="43"/>
        <v>112.70066518847007</v>
      </c>
      <c r="N357" s="144">
        <f t="shared" ca="1" si="43"/>
        <v>8.582971175166298</v>
      </c>
      <c r="O357" s="144">
        <f t="shared" ca="1" si="43"/>
        <v>79.454634146341462</v>
      </c>
      <c r="P357" s="144">
        <f t="shared" ca="1" si="43"/>
        <v>1</v>
      </c>
      <c r="Q357" s="144">
        <f t="shared" ca="1" si="43"/>
        <v>0.88691796008869184</v>
      </c>
    </row>
    <row r="358" spans="1:17" x14ac:dyDescent="0.25">
      <c r="A358" s="145">
        <v>42412</v>
      </c>
      <c r="B358" s="144">
        <v>1.1274999999999999</v>
      </c>
      <c r="C358" s="144">
        <v>89.585099999999997</v>
      </c>
      <c r="D358" s="144">
        <v>9.6773000000000007</v>
      </c>
      <c r="E358" s="144">
        <v>127.07</v>
      </c>
      <c r="F358" s="144">
        <v>0.77734999999999999</v>
      </c>
      <c r="G358" s="144">
        <v>1.0989</v>
      </c>
      <c r="I358" s="144">
        <v>1</v>
      </c>
      <c r="J358" s="145">
        <f t="shared" si="39"/>
        <v>42412</v>
      </c>
      <c r="K358" s="144">
        <f t="shared" ca="1" si="43"/>
        <v>0.9746341463414635</v>
      </c>
      <c r="L358" s="144">
        <f t="shared" ca="1" si="43"/>
        <v>0.68944567627494457</v>
      </c>
      <c r="M358" s="144">
        <f t="shared" ca="1" si="43"/>
        <v>112.70066518847007</v>
      </c>
      <c r="N358" s="144">
        <f t="shared" ca="1" si="43"/>
        <v>8.582971175166298</v>
      </c>
      <c r="O358" s="144">
        <f t="shared" ca="1" si="43"/>
        <v>79.454634146341462</v>
      </c>
      <c r="P358" s="144">
        <f t="shared" ca="1" si="43"/>
        <v>1</v>
      </c>
      <c r="Q358" s="144">
        <f t="shared" ca="1" si="43"/>
        <v>0.88691796008869184</v>
      </c>
    </row>
    <row r="359" spans="1:17" x14ac:dyDescent="0.25">
      <c r="A359" s="145">
        <v>42411</v>
      </c>
      <c r="B359" s="144">
        <v>1.1347</v>
      </c>
      <c r="C359" s="144">
        <v>90.886600000000001</v>
      </c>
      <c r="D359" s="144">
        <v>9.7085000000000008</v>
      </c>
      <c r="E359" s="144">
        <v>127.3</v>
      </c>
      <c r="F359" s="144">
        <v>0.78739999999999999</v>
      </c>
      <c r="G359" s="144">
        <v>1.1027</v>
      </c>
      <c r="I359" s="144">
        <v>1</v>
      </c>
      <c r="J359" s="145">
        <f t="shared" si="39"/>
        <v>42411</v>
      </c>
      <c r="K359" s="144">
        <f t="shared" ca="1" si="43"/>
        <v>0.97179871331629508</v>
      </c>
      <c r="L359" s="144">
        <f t="shared" ca="1" si="43"/>
        <v>0.69392791046091473</v>
      </c>
      <c r="M359" s="144">
        <f t="shared" ca="1" si="43"/>
        <v>112.18824358861373</v>
      </c>
      <c r="N359" s="144">
        <f t="shared" ca="1" si="43"/>
        <v>8.5560059927734216</v>
      </c>
      <c r="O359" s="144">
        <f t="shared" ca="1" si="43"/>
        <v>80.097470697100547</v>
      </c>
      <c r="P359" s="144">
        <f t="shared" ca="1" si="43"/>
        <v>1</v>
      </c>
      <c r="Q359" s="144">
        <f t="shared" ca="1" si="43"/>
        <v>0.88129020886577947</v>
      </c>
    </row>
    <row r="360" spans="1:17" x14ac:dyDescent="0.25">
      <c r="A360" s="145">
        <v>42410</v>
      </c>
      <c r="B360" s="144">
        <v>1.1256999999999999</v>
      </c>
      <c r="C360" s="144">
        <v>88.56</v>
      </c>
      <c r="D360" s="144">
        <v>9.6195000000000004</v>
      </c>
      <c r="E360" s="144">
        <v>129.41999999999999</v>
      </c>
      <c r="F360" s="144">
        <v>0.77327999999999997</v>
      </c>
      <c r="G360" s="144">
        <v>1.0960000000000001</v>
      </c>
      <c r="I360" s="144">
        <v>1</v>
      </c>
      <c r="J360" s="145">
        <f t="shared" si="39"/>
        <v>42410</v>
      </c>
      <c r="K360" s="144">
        <f t="shared" ca="1" si="43"/>
        <v>0.9736164164519856</v>
      </c>
      <c r="L360" s="144">
        <f t="shared" ca="1" si="43"/>
        <v>0.68693257528648843</v>
      </c>
      <c r="M360" s="144">
        <f t="shared" ca="1" si="43"/>
        <v>114.96846406680288</v>
      </c>
      <c r="N360" s="144">
        <f t="shared" ca="1" si="43"/>
        <v>8.5453495602736087</v>
      </c>
      <c r="O360" s="144">
        <f t="shared" ca="1" si="43"/>
        <v>78.671049124988897</v>
      </c>
      <c r="P360" s="144">
        <f t="shared" ca="1" si="43"/>
        <v>1</v>
      </c>
      <c r="Q360" s="144">
        <f t="shared" ca="1" si="43"/>
        <v>0.88833614639779701</v>
      </c>
    </row>
    <row r="361" spans="1:17" x14ac:dyDescent="0.25">
      <c r="A361" s="145">
        <v>42409</v>
      </c>
      <c r="B361" s="144">
        <v>1.1235999999999999</v>
      </c>
      <c r="C361" s="144">
        <v>88.395200000000003</v>
      </c>
      <c r="D361" s="144">
        <v>9.6705000000000005</v>
      </c>
      <c r="E361" s="144">
        <v>129.07</v>
      </c>
      <c r="F361" s="144">
        <v>0.77944999999999998</v>
      </c>
      <c r="G361" s="144">
        <v>1.0996999999999999</v>
      </c>
      <c r="I361" s="144">
        <v>1</v>
      </c>
      <c r="J361" s="145">
        <f t="shared" si="39"/>
        <v>42409</v>
      </c>
      <c r="K361" s="144">
        <f t="shared" ca="1" si="43"/>
        <v>0.97872908508365963</v>
      </c>
      <c r="L361" s="144">
        <f t="shared" ca="1" si="43"/>
        <v>0.6937077251690994</v>
      </c>
      <c r="M361" s="144">
        <f t="shared" ca="1" si="43"/>
        <v>114.87184051263795</v>
      </c>
      <c r="N361" s="144">
        <f t="shared" ca="1" si="43"/>
        <v>8.6067105731577076</v>
      </c>
      <c r="O361" s="144">
        <f t="shared" ca="1" si="43"/>
        <v>78.671413314346751</v>
      </c>
      <c r="P361" s="144">
        <f t="shared" ca="1" si="43"/>
        <v>1</v>
      </c>
      <c r="Q361" s="144">
        <f t="shared" ca="1" si="43"/>
        <v>0.88999644001423994</v>
      </c>
    </row>
    <row r="362" spans="1:17" x14ac:dyDescent="0.25">
      <c r="A362" s="145">
        <v>42408</v>
      </c>
      <c r="B362" s="144">
        <v>1.1101000000000001</v>
      </c>
      <c r="C362" s="144">
        <v>85.841899999999995</v>
      </c>
      <c r="D362" s="144">
        <v>9.5884999999999998</v>
      </c>
      <c r="E362" s="144">
        <v>129.11000000000001</v>
      </c>
      <c r="F362" s="144">
        <v>0.77239999999999998</v>
      </c>
      <c r="G362" s="144">
        <v>1.1051</v>
      </c>
      <c r="I362" s="144">
        <v>1</v>
      </c>
      <c r="J362" s="145">
        <f t="shared" si="39"/>
        <v>42408</v>
      </c>
      <c r="K362" s="144">
        <f t="shared" ca="1" si="43"/>
        <v>0.99549590127015575</v>
      </c>
      <c r="L362" s="144">
        <f t="shared" ca="1" si="43"/>
        <v>0.69579317178632549</v>
      </c>
      <c r="M362" s="144">
        <f t="shared" ca="1" si="43"/>
        <v>116.30483740203586</v>
      </c>
      <c r="N362" s="144">
        <f t="shared" ca="1" si="43"/>
        <v>8.6375101342221416</v>
      </c>
      <c r="O362" s="144">
        <f t="shared" ca="1" si="43"/>
        <v>77.328078551481838</v>
      </c>
      <c r="P362" s="144">
        <f t="shared" ca="1" si="43"/>
        <v>1</v>
      </c>
      <c r="Q362" s="144">
        <f t="shared" ca="1" si="43"/>
        <v>0.90081974596883152</v>
      </c>
    </row>
    <row r="363" spans="1:17" x14ac:dyDescent="0.25">
      <c r="A363" s="145">
        <v>42407</v>
      </c>
      <c r="B363" s="144">
        <v>1.1202000000000001</v>
      </c>
      <c r="C363" s="144">
        <v>86.004999999999995</v>
      </c>
      <c r="D363" s="144">
        <v>9.5664999999999996</v>
      </c>
      <c r="E363" s="144">
        <v>130.71</v>
      </c>
      <c r="F363" s="144">
        <v>0.76975000000000005</v>
      </c>
      <c r="G363" s="144">
        <v>1.1101000000000001</v>
      </c>
      <c r="I363" s="144">
        <v>1</v>
      </c>
      <c r="J363" s="145">
        <f t="shared" si="39"/>
        <v>42407</v>
      </c>
      <c r="K363" s="144">
        <f t="shared" ca="1" si="43"/>
        <v>0.99098375290126761</v>
      </c>
      <c r="L363" s="144">
        <f t="shared" ca="1" si="43"/>
        <v>0.68715407962863773</v>
      </c>
      <c r="M363" s="144">
        <f t="shared" ca="1" si="43"/>
        <v>116.68452062131762</v>
      </c>
      <c r="N363" s="144">
        <f t="shared" ca="1" si="43"/>
        <v>8.5399928584181382</v>
      </c>
      <c r="O363" s="144">
        <f t="shared" ca="1" si="43"/>
        <v>76.776468487770032</v>
      </c>
      <c r="P363" s="144">
        <f t="shared" ca="1" si="43"/>
        <v>1</v>
      </c>
      <c r="Q363" s="144">
        <f t="shared" ca="1" si="43"/>
        <v>0.8926977325477593</v>
      </c>
    </row>
    <row r="364" spans="1:17" x14ac:dyDescent="0.25">
      <c r="A364" s="145">
        <v>42406</v>
      </c>
      <c r="B364" s="144">
        <v>1.1202000000000001</v>
      </c>
      <c r="C364" s="144">
        <v>86.004999999999995</v>
      </c>
      <c r="D364" s="144">
        <v>9.5664999999999996</v>
      </c>
      <c r="E364" s="144">
        <v>130.71</v>
      </c>
      <c r="F364" s="144">
        <v>0.76975000000000005</v>
      </c>
      <c r="G364" s="144">
        <v>1.1101000000000001</v>
      </c>
      <c r="I364" s="144">
        <v>1</v>
      </c>
      <c r="J364" s="145">
        <f t="shared" si="39"/>
        <v>42406</v>
      </c>
      <c r="K364" s="144">
        <f t="shared" ca="1" si="43"/>
        <v>0.99098375290126761</v>
      </c>
      <c r="L364" s="144">
        <f t="shared" ca="1" si="43"/>
        <v>0.68715407962863773</v>
      </c>
      <c r="M364" s="144">
        <f t="shared" ca="1" si="43"/>
        <v>116.68452062131762</v>
      </c>
      <c r="N364" s="144">
        <f t="shared" ca="1" si="43"/>
        <v>8.5399928584181382</v>
      </c>
      <c r="O364" s="144">
        <f t="shared" ca="1" si="43"/>
        <v>76.776468487770032</v>
      </c>
      <c r="P364" s="144">
        <f t="shared" ca="1" si="43"/>
        <v>1</v>
      </c>
      <c r="Q364" s="144">
        <f t="shared" ca="1" si="43"/>
        <v>0.8926977325477593</v>
      </c>
    </row>
    <row r="365" spans="1:17" x14ac:dyDescent="0.25">
      <c r="A365" s="145">
        <v>42405</v>
      </c>
      <c r="B365" s="144">
        <v>1.1202000000000001</v>
      </c>
      <c r="C365" s="144">
        <v>86.004999999999995</v>
      </c>
      <c r="D365" s="144">
        <v>9.5664999999999996</v>
      </c>
      <c r="E365" s="144">
        <v>130.71</v>
      </c>
      <c r="F365" s="144">
        <v>0.76975000000000005</v>
      </c>
      <c r="G365" s="144">
        <v>1.1101000000000001</v>
      </c>
      <c r="I365" s="144">
        <v>1</v>
      </c>
      <c r="J365" s="145">
        <f t="shared" si="39"/>
        <v>42405</v>
      </c>
      <c r="K365" s="144">
        <f t="shared" ref="K365:Q374" ca="1" si="44">OFFSET($A365,0,K$3)/OFFSET($A365,0,$P$3)</f>
        <v>0.99098375290126761</v>
      </c>
      <c r="L365" s="144">
        <f t="shared" ca="1" si="44"/>
        <v>0.68715407962863773</v>
      </c>
      <c r="M365" s="144">
        <f t="shared" ca="1" si="44"/>
        <v>116.68452062131762</v>
      </c>
      <c r="N365" s="144">
        <f t="shared" ca="1" si="44"/>
        <v>8.5399928584181382</v>
      </c>
      <c r="O365" s="144">
        <f t="shared" ca="1" si="44"/>
        <v>76.776468487770032</v>
      </c>
      <c r="P365" s="144">
        <f t="shared" ca="1" si="44"/>
        <v>1</v>
      </c>
      <c r="Q365" s="144">
        <f t="shared" ca="1" si="44"/>
        <v>0.8926977325477593</v>
      </c>
    </row>
    <row r="366" spans="1:17" x14ac:dyDescent="0.25">
      <c r="A366" s="145">
        <v>42404</v>
      </c>
      <c r="B366" s="144">
        <v>1.1206</v>
      </c>
      <c r="C366" s="144">
        <v>86.078999999999994</v>
      </c>
      <c r="D366" s="144">
        <v>9.5374999999999996</v>
      </c>
      <c r="E366" s="144">
        <v>131.49</v>
      </c>
      <c r="F366" s="144">
        <v>0.76595000000000002</v>
      </c>
      <c r="G366" s="144">
        <v>1.1169</v>
      </c>
      <c r="I366" s="144">
        <v>1</v>
      </c>
      <c r="J366" s="145">
        <f t="shared" si="39"/>
        <v>42404</v>
      </c>
      <c r="K366" s="144">
        <f t="shared" ca="1" si="44"/>
        <v>0.99669819739425303</v>
      </c>
      <c r="L366" s="144">
        <f t="shared" ca="1" si="44"/>
        <v>0.6835177583437444</v>
      </c>
      <c r="M366" s="144">
        <f t="shared" ca="1" si="44"/>
        <v>117.33892557558451</v>
      </c>
      <c r="N366" s="144">
        <f t="shared" ca="1" si="44"/>
        <v>8.5110655006246656</v>
      </c>
      <c r="O366" s="144">
        <f t="shared" ca="1" si="44"/>
        <v>76.815099054078161</v>
      </c>
      <c r="P366" s="144">
        <f t="shared" ca="1" si="44"/>
        <v>1</v>
      </c>
      <c r="Q366" s="144">
        <f t="shared" ca="1" si="44"/>
        <v>0.89237908263430299</v>
      </c>
    </row>
    <row r="367" spans="1:17" x14ac:dyDescent="0.25">
      <c r="A367" s="145">
        <v>42403</v>
      </c>
      <c r="B367" s="144">
        <v>1.0932999999999999</v>
      </c>
      <c r="C367" s="144">
        <v>85.991</v>
      </c>
      <c r="D367" s="144">
        <v>9.5137999999999998</v>
      </c>
      <c r="E367" s="144">
        <v>130.58000000000001</v>
      </c>
      <c r="F367" s="144">
        <v>0.75329999999999997</v>
      </c>
      <c r="G367" s="144">
        <v>1.1114999999999999</v>
      </c>
      <c r="I367" s="144">
        <v>1</v>
      </c>
      <c r="J367" s="145">
        <f t="shared" si="39"/>
        <v>42403</v>
      </c>
      <c r="K367" s="144">
        <f t="shared" ca="1" si="44"/>
        <v>1.0166468489892984</v>
      </c>
      <c r="L367" s="144">
        <f t="shared" ca="1" si="44"/>
        <v>0.68901490899112783</v>
      </c>
      <c r="M367" s="144">
        <f t="shared" ca="1" si="44"/>
        <v>119.43656818805454</v>
      </c>
      <c r="N367" s="144">
        <f t="shared" ca="1" si="44"/>
        <v>8.7019116436476729</v>
      </c>
      <c r="O367" s="144">
        <f t="shared" ca="1" si="44"/>
        <v>78.652702826305685</v>
      </c>
      <c r="P367" s="144">
        <f t="shared" ca="1" si="44"/>
        <v>1</v>
      </c>
      <c r="Q367" s="144">
        <f t="shared" ca="1" si="44"/>
        <v>0.91466203237903598</v>
      </c>
    </row>
    <row r="368" spans="1:17" x14ac:dyDescent="0.25">
      <c r="A368" s="145">
        <v>42402</v>
      </c>
      <c r="B368" s="144">
        <v>1.0919000000000001</v>
      </c>
      <c r="C368" s="144">
        <v>86.371099999999998</v>
      </c>
      <c r="D368" s="144">
        <v>9.5222999999999995</v>
      </c>
      <c r="E368" s="144">
        <v>131.84</v>
      </c>
      <c r="F368" s="144">
        <v>0.75860000000000005</v>
      </c>
      <c r="G368" s="144">
        <v>1.1147</v>
      </c>
      <c r="I368" s="144">
        <v>1</v>
      </c>
      <c r="J368" s="145">
        <f t="shared" si="39"/>
        <v>42402</v>
      </c>
      <c r="K368" s="144">
        <f t="shared" ca="1" si="44"/>
        <v>1.0208810330616356</v>
      </c>
      <c r="L368" s="144">
        <f t="shared" ca="1" si="44"/>
        <v>0.69475226669108892</v>
      </c>
      <c r="M368" s="144">
        <f t="shared" ca="1" si="44"/>
        <v>120.74365784412491</v>
      </c>
      <c r="N368" s="144">
        <f t="shared" ca="1" si="44"/>
        <v>8.720853558018133</v>
      </c>
      <c r="O368" s="144">
        <f t="shared" ca="1" si="44"/>
        <v>79.101657660957954</v>
      </c>
      <c r="P368" s="144">
        <f t="shared" ca="1" si="44"/>
        <v>1</v>
      </c>
      <c r="Q368" s="144">
        <f t="shared" ca="1" si="44"/>
        <v>0.91583478340507363</v>
      </c>
    </row>
    <row r="369" spans="1:22" x14ac:dyDescent="0.25">
      <c r="A369" s="145">
        <v>42401</v>
      </c>
      <c r="B369" s="144">
        <v>1.0884</v>
      </c>
      <c r="C369" s="144">
        <v>82.965500000000006</v>
      </c>
      <c r="D369" s="144">
        <v>9.4160000000000004</v>
      </c>
      <c r="E369" s="144">
        <v>131.99</v>
      </c>
      <c r="F369" s="144">
        <v>0.76100000000000001</v>
      </c>
      <c r="G369" s="144">
        <v>1.1095999999999999</v>
      </c>
      <c r="I369" s="144">
        <v>1</v>
      </c>
      <c r="J369" s="145">
        <f t="shared" si="39"/>
        <v>42401</v>
      </c>
      <c r="K369" s="144">
        <f t="shared" ca="1" si="44"/>
        <v>1.0194781330393237</v>
      </c>
      <c r="L369" s="144">
        <f t="shared" ca="1" si="44"/>
        <v>0.69919147372289603</v>
      </c>
      <c r="M369" s="144">
        <f t="shared" ca="1" si="44"/>
        <v>121.26975376699743</v>
      </c>
      <c r="N369" s="144">
        <f t="shared" ca="1" si="44"/>
        <v>8.651231165012863</v>
      </c>
      <c r="O369" s="144">
        <f t="shared" ca="1" si="44"/>
        <v>76.227030503491363</v>
      </c>
      <c r="P369" s="144">
        <f t="shared" ca="1" si="44"/>
        <v>1</v>
      </c>
      <c r="Q369" s="144">
        <f t="shared" ca="1" si="44"/>
        <v>0.91877986034546122</v>
      </c>
    </row>
    <row r="370" spans="1:22" x14ac:dyDescent="0.25">
      <c r="A370" s="145">
        <v>42400</v>
      </c>
      <c r="B370" s="144">
        <v>1.0920000000000001</v>
      </c>
      <c r="C370" s="144">
        <v>82.847200000000001</v>
      </c>
      <c r="D370" s="144">
        <v>9.4845000000000006</v>
      </c>
      <c r="E370" s="144">
        <v>132.25</v>
      </c>
      <c r="F370" s="144">
        <v>0.7641</v>
      </c>
      <c r="G370" s="144">
        <v>1.1144000000000001</v>
      </c>
      <c r="I370" s="144">
        <v>1</v>
      </c>
      <c r="J370" s="145">
        <f t="shared" si="39"/>
        <v>42400</v>
      </c>
      <c r="K370" s="144">
        <f t="shared" ca="1" si="44"/>
        <v>1.0205128205128204</v>
      </c>
      <c r="L370" s="144">
        <f t="shared" ca="1" si="44"/>
        <v>0.69972527472527468</v>
      </c>
      <c r="M370" s="144">
        <f t="shared" ca="1" si="44"/>
        <v>121.1080586080586</v>
      </c>
      <c r="N370" s="144">
        <f t="shared" ca="1" si="44"/>
        <v>8.6854395604395602</v>
      </c>
      <c r="O370" s="144">
        <f t="shared" ca="1" si="44"/>
        <v>75.867399267399264</v>
      </c>
      <c r="P370" s="144">
        <f t="shared" ca="1" si="44"/>
        <v>1</v>
      </c>
      <c r="Q370" s="144">
        <f t="shared" ca="1" si="44"/>
        <v>0.91575091575091572</v>
      </c>
    </row>
    <row r="371" spans="1:22" x14ac:dyDescent="0.25">
      <c r="A371" s="145">
        <v>42399</v>
      </c>
      <c r="B371" s="144">
        <v>1.0920000000000001</v>
      </c>
      <c r="C371" s="144">
        <v>82.847200000000001</v>
      </c>
      <c r="D371" s="144">
        <v>9.4845000000000006</v>
      </c>
      <c r="E371" s="144">
        <v>132.25</v>
      </c>
      <c r="F371" s="144">
        <v>0.7641</v>
      </c>
      <c r="G371" s="144">
        <v>1.1144000000000001</v>
      </c>
      <c r="I371" s="144">
        <v>1</v>
      </c>
      <c r="J371" s="145">
        <f t="shared" si="39"/>
        <v>42399</v>
      </c>
      <c r="K371" s="144">
        <f t="shared" ca="1" si="44"/>
        <v>1.0205128205128204</v>
      </c>
      <c r="L371" s="144">
        <f t="shared" ca="1" si="44"/>
        <v>0.69972527472527468</v>
      </c>
      <c r="M371" s="144">
        <f t="shared" ca="1" si="44"/>
        <v>121.1080586080586</v>
      </c>
      <c r="N371" s="144">
        <f t="shared" ca="1" si="44"/>
        <v>8.6854395604395602</v>
      </c>
      <c r="O371" s="144">
        <f t="shared" ca="1" si="44"/>
        <v>75.867399267399264</v>
      </c>
      <c r="P371" s="144">
        <f t="shared" ca="1" si="44"/>
        <v>1</v>
      </c>
      <c r="Q371" s="144">
        <f t="shared" ca="1" si="44"/>
        <v>0.91575091575091572</v>
      </c>
    </row>
    <row r="372" spans="1:22" x14ac:dyDescent="0.25">
      <c r="A372" s="145">
        <v>42398</v>
      </c>
      <c r="B372" s="144">
        <v>1.0920000000000001</v>
      </c>
      <c r="C372" s="144">
        <v>82.847200000000001</v>
      </c>
      <c r="D372" s="144">
        <v>9.4845000000000006</v>
      </c>
      <c r="E372" s="144">
        <v>132.25</v>
      </c>
      <c r="F372" s="144">
        <v>0.7641</v>
      </c>
      <c r="G372" s="144">
        <v>1.1144000000000001</v>
      </c>
      <c r="I372" s="144">
        <v>1</v>
      </c>
      <c r="J372" s="145">
        <f t="shared" si="39"/>
        <v>42398</v>
      </c>
      <c r="K372" s="144">
        <f t="shared" ca="1" si="44"/>
        <v>1.0205128205128204</v>
      </c>
      <c r="L372" s="144">
        <f t="shared" ca="1" si="44"/>
        <v>0.69972527472527468</v>
      </c>
      <c r="M372" s="144">
        <f t="shared" ca="1" si="44"/>
        <v>121.1080586080586</v>
      </c>
      <c r="N372" s="144">
        <f t="shared" ca="1" si="44"/>
        <v>8.6854395604395602</v>
      </c>
      <c r="O372" s="144">
        <f t="shared" ca="1" si="44"/>
        <v>75.867399267399264</v>
      </c>
      <c r="P372" s="144">
        <f t="shared" ca="1" si="44"/>
        <v>1</v>
      </c>
      <c r="Q372" s="144">
        <f t="shared" ca="1" si="44"/>
        <v>0.91575091575091572</v>
      </c>
    </row>
    <row r="373" spans="1:22" x14ac:dyDescent="0.25">
      <c r="A373" s="145">
        <v>42397</v>
      </c>
      <c r="B373" s="144">
        <v>1.0903</v>
      </c>
      <c r="C373" s="144">
        <v>83.501800000000003</v>
      </c>
      <c r="D373" s="144">
        <v>9.4465000000000003</v>
      </c>
      <c r="E373" s="144">
        <v>129.62</v>
      </c>
      <c r="F373" s="144">
        <v>0.76227999999999996</v>
      </c>
      <c r="G373" s="144">
        <v>1.1052999999999999</v>
      </c>
      <c r="I373" s="144">
        <v>1</v>
      </c>
      <c r="J373" s="145">
        <f t="shared" si="39"/>
        <v>42397</v>
      </c>
      <c r="K373" s="144">
        <f t="shared" ca="1" si="44"/>
        <v>1.0137576813720994</v>
      </c>
      <c r="L373" s="144">
        <f t="shared" ca="1" si="44"/>
        <v>0.69914702375492976</v>
      </c>
      <c r="M373" s="144">
        <f t="shared" ca="1" si="44"/>
        <v>118.88471063010181</v>
      </c>
      <c r="N373" s="144">
        <f t="shared" ca="1" si="44"/>
        <v>8.6641291387691464</v>
      </c>
      <c r="O373" s="144">
        <f t="shared" ca="1" si="44"/>
        <v>76.586077226451437</v>
      </c>
      <c r="P373" s="144">
        <f t="shared" ca="1" si="44"/>
        <v>1</v>
      </c>
      <c r="Q373" s="144">
        <f t="shared" ca="1" si="44"/>
        <v>0.91717875813996141</v>
      </c>
    </row>
    <row r="374" spans="1:22" x14ac:dyDescent="0.25">
      <c r="A374" s="145">
        <v>42396</v>
      </c>
      <c r="B374" s="144">
        <v>1.0888</v>
      </c>
      <c r="C374" s="144">
        <v>85.210599999999999</v>
      </c>
      <c r="D374" s="144">
        <v>9.4507999999999992</v>
      </c>
      <c r="E374" s="144">
        <v>128.91</v>
      </c>
      <c r="F374" s="144">
        <v>0.75965000000000005</v>
      </c>
      <c r="G374" s="144">
        <v>1.1068</v>
      </c>
      <c r="I374" s="144">
        <v>1</v>
      </c>
      <c r="J374" s="145">
        <f t="shared" si="39"/>
        <v>42396</v>
      </c>
      <c r="K374" s="144">
        <f t="shared" ca="1" si="44"/>
        <v>1.0165319617927995</v>
      </c>
      <c r="L374" s="144">
        <f t="shared" ca="1" si="44"/>
        <v>0.69769470977222636</v>
      </c>
      <c r="M374" s="144">
        <f t="shared" ca="1" si="44"/>
        <v>118.39639970609845</v>
      </c>
      <c r="N374" s="144">
        <f t="shared" ca="1" si="44"/>
        <v>8.6800146950771477</v>
      </c>
      <c r="O374" s="144">
        <f t="shared" ca="1" si="44"/>
        <v>78.261021307861867</v>
      </c>
      <c r="P374" s="144">
        <f t="shared" ca="1" si="44"/>
        <v>1</v>
      </c>
      <c r="Q374" s="144">
        <f t="shared" ca="1" si="44"/>
        <v>0.91844232182218954</v>
      </c>
    </row>
    <row r="375" spans="1:22" x14ac:dyDescent="0.25">
      <c r="A375" s="145">
        <v>42395</v>
      </c>
      <c r="B375" s="144">
        <v>1.0837000000000001</v>
      </c>
      <c r="C375" s="144">
        <v>86.772499999999994</v>
      </c>
      <c r="D375" s="144">
        <v>9.4857999999999993</v>
      </c>
      <c r="E375" s="144">
        <v>128.22</v>
      </c>
      <c r="F375" s="144">
        <v>0.76095000000000002</v>
      </c>
      <c r="G375" s="144">
        <v>1.1008</v>
      </c>
      <c r="I375" s="144">
        <v>1</v>
      </c>
      <c r="J375" s="145">
        <f t="shared" si="39"/>
        <v>42395</v>
      </c>
      <c r="K375" s="144">
        <f t="shared" ref="K375:Q384" ca="1" si="45">OFFSET($A375,0,K$3)/OFFSET($A375,0,$P$3)</f>
        <v>1.0157792747070222</v>
      </c>
      <c r="L375" s="144">
        <f t="shared" ca="1" si="45"/>
        <v>0.70217772446248961</v>
      </c>
      <c r="M375" s="144">
        <f t="shared" ca="1" si="45"/>
        <v>118.31687736458429</v>
      </c>
      <c r="N375" s="144">
        <f t="shared" ca="1" si="45"/>
        <v>8.7531604687644169</v>
      </c>
      <c r="O375" s="144">
        <f t="shared" ca="1" si="45"/>
        <v>80.070591492110353</v>
      </c>
      <c r="P375" s="144">
        <f t="shared" ca="1" si="45"/>
        <v>1</v>
      </c>
      <c r="Q375" s="144">
        <f t="shared" ca="1" si="45"/>
        <v>0.9227646027498384</v>
      </c>
    </row>
    <row r="376" spans="1:22" x14ac:dyDescent="0.25">
      <c r="A376" s="145">
        <v>42394</v>
      </c>
      <c r="B376" s="144">
        <v>1.0814999999999999</v>
      </c>
      <c r="C376" s="144">
        <v>86.040999999999997</v>
      </c>
      <c r="D376" s="144">
        <v>9.4585000000000008</v>
      </c>
      <c r="E376" s="144">
        <v>128.07</v>
      </c>
      <c r="F376" s="144">
        <v>0.75890000000000002</v>
      </c>
      <c r="G376" s="144">
        <v>1.0981000000000001</v>
      </c>
      <c r="I376" s="144">
        <v>1</v>
      </c>
      <c r="J376" s="145">
        <f t="shared" si="39"/>
        <v>42394</v>
      </c>
      <c r="K376" s="144">
        <f t="shared" ca="1" si="45"/>
        <v>1.0153490522422564</v>
      </c>
      <c r="L376" s="144">
        <f t="shared" ca="1" si="45"/>
        <v>0.70171058714748047</v>
      </c>
      <c r="M376" s="144">
        <f t="shared" ca="1" si="45"/>
        <v>118.41886269070736</v>
      </c>
      <c r="N376" s="144">
        <f t="shared" ca="1" si="45"/>
        <v>8.7457235321313007</v>
      </c>
      <c r="O376" s="144">
        <f t="shared" ca="1" si="45"/>
        <v>79.557096625057795</v>
      </c>
      <c r="P376" s="144">
        <f t="shared" ca="1" si="45"/>
        <v>1</v>
      </c>
      <c r="Q376" s="144">
        <f t="shared" ca="1" si="45"/>
        <v>0.92464170134073054</v>
      </c>
      <c r="U376" s="148"/>
      <c r="V376" s="146"/>
    </row>
    <row r="377" spans="1:22" x14ac:dyDescent="0.25">
      <c r="A377" s="145">
        <v>42393</v>
      </c>
      <c r="B377" s="144">
        <v>1.0808</v>
      </c>
      <c r="C377" s="144">
        <v>85.893000000000001</v>
      </c>
      <c r="D377" s="144">
        <v>9.4685000000000006</v>
      </c>
      <c r="E377" s="144">
        <v>127.77</v>
      </c>
      <c r="F377" s="144">
        <v>0.75458999999999998</v>
      </c>
      <c r="G377" s="144">
        <v>1.095</v>
      </c>
      <c r="I377" s="144">
        <v>1</v>
      </c>
      <c r="J377" s="145">
        <f t="shared" si="39"/>
        <v>42393</v>
      </c>
      <c r="K377" s="144">
        <f t="shared" ca="1" si="45"/>
        <v>1.0131384159881569</v>
      </c>
      <c r="L377" s="144">
        <f t="shared" ca="1" si="45"/>
        <v>0.69817727609178382</v>
      </c>
      <c r="M377" s="144">
        <f t="shared" ca="1" si="45"/>
        <v>118.2179866765359</v>
      </c>
      <c r="N377" s="144">
        <f t="shared" ca="1" si="45"/>
        <v>8.7606402664692826</v>
      </c>
      <c r="O377" s="144">
        <f t="shared" ca="1" si="45"/>
        <v>79.471687638786079</v>
      </c>
      <c r="P377" s="144">
        <f t="shared" ca="1" si="45"/>
        <v>1</v>
      </c>
      <c r="Q377" s="144">
        <f t="shared" ca="1" si="45"/>
        <v>0.92524056254626208</v>
      </c>
    </row>
    <row r="378" spans="1:22" x14ac:dyDescent="0.25">
      <c r="A378" s="145">
        <v>42392</v>
      </c>
      <c r="B378" s="144">
        <v>1.0808</v>
      </c>
      <c r="C378" s="144">
        <v>85.893000000000001</v>
      </c>
      <c r="D378" s="144">
        <v>9.4685000000000006</v>
      </c>
      <c r="E378" s="144">
        <v>127.77</v>
      </c>
      <c r="F378" s="144">
        <v>0.75458999999999998</v>
      </c>
      <c r="G378" s="144">
        <v>1.095</v>
      </c>
      <c r="I378" s="144">
        <v>1</v>
      </c>
      <c r="J378" s="145">
        <f t="shared" si="39"/>
        <v>42392</v>
      </c>
      <c r="K378" s="144">
        <f t="shared" ca="1" si="45"/>
        <v>1.0131384159881569</v>
      </c>
      <c r="L378" s="144">
        <f t="shared" ca="1" si="45"/>
        <v>0.69817727609178382</v>
      </c>
      <c r="M378" s="144">
        <f t="shared" ca="1" si="45"/>
        <v>118.2179866765359</v>
      </c>
      <c r="N378" s="144">
        <f t="shared" ca="1" si="45"/>
        <v>8.7606402664692826</v>
      </c>
      <c r="O378" s="144">
        <f t="shared" ca="1" si="45"/>
        <v>79.471687638786079</v>
      </c>
      <c r="P378" s="144">
        <f t="shared" ca="1" si="45"/>
        <v>1</v>
      </c>
      <c r="Q378" s="144">
        <f t="shared" ca="1" si="45"/>
        <v>0.92524056254626208</v>
      </c>
    </row>
    <row r="379" spans="1:22" x14ac:dyDescent="0.25">
      <c r="A379" s="145">
        <v>42391</v>
      </c>
      <c r="B379" s="144">
        <v>1.0808</v>
      </c>
      <c r="C379" s="144">
        <v>85.893000000000001</v>
      </c>
      <c r="D379" s="144">
        <v>9.4685000000000006</v>
      </c>
      <c r="E379" s="144">
        <v>127.77</v>
      </c>
      <c r="F379" s="144">
        <v>0.75458999999999998</v>
      </c>
      <c r="G379" s="144">
        <v>1.095</v>
      </c>
      <c r="I379" s="144">
        <v>1</v>
      </c>
      <c r="J379" s="145">
        <f t="shared" si="39"/>
        <v>42391</v>
      </c>
      <c r="K379" s="144">
        <f t="shared" ca="1" si="45"/>
        <v>1.0131384159881569</v>
      </c>
      <c r="L379" s="144">
        <f t="shared" ca="1" si="45"/>
        <v>0.69817727609178382</v>
      </c>
      <c r="M379" s="144">
        <f t="shared" ca="1" si="45"/>
        <v>118.2179866765359</v>
      </c>
      <c r="N379" s="144">
        <f t="shared" ca="1" si="45"/>
        <v>8.7606402664692826</v>
      </c>
      <c r="O379" s="144">
        <f t="shared" ca="1" si="45"/>
        <v>79.471687638786079</v>
      </c>
      <c r="P379" s="144">
        <f t="shared" ca="1" si="45"/>
        <v>1</v>
      </c>
      <c r="Q379" s="144">
        <f t="shared" ca="1" si="45"/>
        <v>0.92524056254626208</v>
      </c>
    </row>
    <row r="380" spans="1:22" x14ac:dyDescent="0.25">
      <c r="A380" s="145">
        <v>42390</v>
      </c>
      <c r="B380" s="144">
        <v>1.0892999999999999</v>
      </c>
      <c r="C380" s="144">
        <v>91.766000000000005</v>
      </c>
      <c r="D380" s="144">
        <v>9.7033000000000005</v>
      </c>
      <c r="E380" s="144">
        <v>127.43</v>
      </c>
      <c r="F380" s="144">
        <v>0.77181999999999995</v>
      </c>
      <c r="G380" s="144">
        <v>1.0949</v>
      </c>
      <c r="I380" s="144">
        <v>1</v>
      </c>
      <c r="J380" s="145">
        <f t="shared" si="39"/>
        <v>42390</v>
      </c>
      <c r="K380" s="144">
        <f t="shared" ca="1" si="45"/>
        <v>1.0051409161847058</v>
      </c>
      <c r="L380" s="144">
        <f t="shared" ca="1" si="45"/>
        <v>0.70854677315707337</v>
      </c>
      <c r="M380" s="144">
        <f t="shared" ca="1" si="45"/>
        <v>116.98338382447444</v>
      </c>
      <c r="N380" s="144">
        <f t="shared" ca="1" si="45"/>
        <v>8.907830716974205</v>
      </c>
      <c r="O380" s="144">
        <f t="shared" ca="1" si="45"/>
        <v>84.243091893876809</v>
      </c>
      <c r="P380" s="144">
        <f t="shared" ca="1" si="45"/>
        <v>1</v>
      </c>
      <c r="Q380" s="144">
        <f t="shared" ca="1" si="45"/>
        <v>0.91802074726888838</v>
      </c>
    </row>
    <row r="381" spans="1:22" x14ac:dyDescent="0.25">
      <c r="A381" s="145">
        <v>42389</v>
      </c>
      <c r="B381" s="144">
        <v>1.0907</v>
      </c>
      <c r="C381" s="144">
        <v>88.200500000000005</v>
      </c>
      <c r="D381" s="144">
        <v>9.6649999999999991</v>
      </c>
      <c r="E381" s="144">
        <v>127.28</v>
      </c>
      <c r="F381" s="144">
        <v>0.77</v>
      </c>
      <c r="G381" s="144">
        <v>1.0931999999999999</v>
      </c>
      <c r="I381" s="144">
        <v>1</v>
      </c>
      <c r="J381" s="145">
        <f t="shared" si="39"/>
        <v>42389</v>
      </c>
      <c r="K381" s="144">
        <f t="shared" ca="1" si="45"/>
        <v>1.0022921059869807</v>
      </c>
      <c r="L381" s="144">
        <f t="shared" ca="1" si="45"/>
        <v>0.70596864399009807</v>
      </c>
      <c r="M381" s="144">
        <f t="shared" ca="1" si="45"/>
        <v>116.69570000916842</v>
      </c>
      <c r="N381" s="144">
        <f t="shared" ca="1" si="45"/>
        <v>8.8612817456679185</v>
      </c>
      <c r="O381" s="144">
        <f t="shared" ca="1" si="45"/>
        <v>80.865957641881366</v>
      </c>
      <c r="P381" s="144">
        <f t="shared" ca="1" si="45"/>
        <v>1</v>
      </c>
      <c r="Q381" s="144">
        <f t="shared" ca="1" si="45"/>
        <v>0.9168423947923352</v>
      </c>
    </row>
    <row r="382" spans="1:22" x14ac:dyDescent="0.25">
      <c r="A382" s="145">
        <v>42388</v>
      </c>
      <c r="B382" s="144">
        <v>1.0868</v>
      </c>
      <c r="C382" s="144">
        <v>85.244500000000002</v>
      </c>
      <c r="D382" s="144">
        <v>9.6209000000000007</v>
      </c>
      <c r="E382" s="144">
        <v>128.12</v>
      </c>
      <c r="F382" s="144">
        <v>0.76473000000000002</v>
      </c>
      <c r="G382" s="144">
        <v>1.0922000000000001</v>
      </c>
      <c r="I382" s="144">
        <v>1</v>
      </c>
      <c r="J382" s="145">
        <f t="shared" si="39"/>
        <v>42388</v>
      </c>
      <c r="K382" s="144">
        <f t="shared" ca="1" si="45"/>
        <v>1.0049687154950313</v>
      </c>
      <c r="L382" s="144">
        <f t="shared" ca="1" si="45"/>
        <v>0.7036529260213471</v>
      </c>
      <c r="M382" s="144">
        <f t="shared" ca="1" si="45"/>
        <v>117.88737578211263</v>
      </c>
      <c r="N382" s="144">
        <f t="shared" ca="1" si="45"/>
        <v>8.8525027603974973</v>
      </c>
      <c r="O382" s="144">
        <f t="shared" ca="1" si="45"/>
        <v>78.436234817813769</v>
      </c>
      <c r="P382" s="144">
        <f t="shared" ca="1" si="45"/>
        <v>1</v>
      </c>
      <c r="Q382" s="144">
        <f t="shared" ca="1" si="45"/>
        <v>0.92013249907986749</v>
      </c>
    </row>
    <row r="383" spans="1:22" x14ac:dyDescent="0.25">
      <c r="A383" s="145">
        <v>42387</v>
      </c>
      <c r="B383" s="144">
        <v>1.0891999999999999</v>
      </c>
      <c r="C383" s="144">
        <v>86.191999999999993</v>
      </c>
      <c r="D383" s="144">
        <v>9.6877999999999993</v>
      </c>
      <c r="E383" s="144">
        <v>127.78</v>
      </c>
      <c r="F383" s="144">
        <v>0.76263000000000003</v>
      </c>
      <c r="G383" s="144">
        <v>1.0946</v>
      </c>
      <c r="I383" s="144">
        <v>1</v>
      </c>
      <c r="J383" s="145">
        <f t="shared" si="39"/>
        <v>42387</v>
      </c>
      <c r="K383" s="144">
        <f t="shared" ca="1" si="45"/>
        <v>1.0049577671685641</v>
      </c>
      <c r="L383" s="144">
        <f t="shared" ca="1" si="45"/>
        <v>0.70017443995593098</v>
      </c>
      <c r="M383" s="144">
        <f t="shared" ca="1" si="45"/>
        <v>117.31546088872568</v>
      </c>
      <c r="N383" s="144">
        <f t="shared" ca="1" si="45"/>
        <v>8.8944179214102093</v>
      </c>
      <c r="O383" s="144">
        <f t="shared" ca="1" si="45"/>
        <v>79.133308850532501</v>
      </c>
      <c r="P383" s="144">
        <f t="shared" ca="1" si="45"/>
        <v>1</v>
      </c>
      <c r="Q383" s="144">
        <f t="shared" ca="1" si="45"/>
        <v>0.91810503121557108</v>
      </c>
    </row>
    <row r="384" spans="1:22" x14ac:dyDescent="0.25">
      <c r="A384" s="145">
        <v>42386</v>
      </c>
      <c r="B384" s="144">
        <v>1.0913999999999999</v>
      </c>
      <c r="C384" s="144">
        <v>84.692400000000006</v>
      </c>
      <c r="D384" s="144">
        <v>9.6084999999999994</v>
      </c>
      <c r="E384" s="144">
        <v>127.8</v>
      </c>
      <c r="F384" s="144">
        <v>0.76149999999999995</v>
      </c>
      <c r="G384" s="144">
        <v>1.0951</v>
      </c>
      <c r="I384" s="144">
        <v>1</v>
      </c>
      <c r="J384" s="145">
        <f t="shared" si="39"/>
        <v>42386</v>
      </c>
      <c r="K384" s="144">
        <f t="shared" ca="1" si="45"/>
        <v>1.0033901411031703</v>
      </c>
      <c r="L384" s="144">
        <f t="shared" ca="1" si="45"/>
        <v>0.69772768920652373</v>
      </c>
      <c r="M384" s="144">
        <f t="shared" ca="1" si="45"/>
        <v>117.09730621220451</v>
      </c>
      <c r="N384" s="144">
        <f t="shared" ca="1" si="45"/>
        <v>8.8038299431922304</v>
      </c>
      <c r="O384" s="144">
        <f t="shared" ca="1" si="45"/>
        <v>77.599780098955478</v>
      </c>
      <c r="P384" s="144">
        <f t="shared" ca="1" si="45"/>
        <v>1</v>
      </c>
      <c r="Q384" s="144">
        <f t="shared" ca="1" si="45"/>
        <v>0.91625435220817308</v>
      </c>
    </row>
    <row r="385" spans="1:17" x14ac:dyDescent="0.25">
      <c r="A385" s="145">
        <v>42385</v>
      </c>
      <c r="B385" s="144">
        <v>1.0913999999999999</v>
      </c>
      <c r="C385" s="144">
        <v>84.692400000000006</v>
      </c>
      <c r="D385" s="144">
        <v>9.6084999999999994</v>
      </c>
      <c r="E385" s="144">
        <v>127.8</v>
      </c>
      <c r="F385" s="144">
        <v>0.76149999999999995</v>
      </c>
      <c r="G385" s="144">
        <v>1.0951</v>
      </c>
      <c r="I385" s="144">
        <v>1</v>
      </c>
      <c r="J385" s="145">
        <f t="shared" si="39"/>
        <v>42385</v>
      </c>
      <c r="K385" s="144">
        <f t="shared" ref="K385:Q394" ca="1" si="46">OFFSET($A385,0,K$3)/OFFSET($A385,0,$P$3)</f>
        <v>1.0033901411031703</v>
      </c>
      <c r="L385" s="144">
        <f t="shared" ca="1" si="46"/>
        <v>0.69772768920652373</v>
      </c>
      <c r="M385" s="144">
        <f t="shared" ca="1" si="46"/>
        <v>117.09730621220451</v>
      </c>
      <c r="N385" s="144">
        <f t="shared" ca="1" si="46"/>
        <v>8.8038299431922304</v>
      </c>
      <c r="O385" s="144">
        <f t="shared" ca="1" si="46"/>
        <v>77.599780098955478</v>
      </c>
      <c r="P385" s="144">
        <f t="shared" ca="1" si="46"/>
        <v>1</v>
      </c>
      <c r="Q385" s="144">
        <f t="shared" ca="1" si="46"/>
        <v>0.91625435220817308</v>
      </c>
    </row>
    <row r="386" spans="1:17" x14ac:dyDescent="0.25">
      <c r="A386" s="145">
        <v>42384</v>
      </c>
      <c r="B386" s="144">
        <v>1.0913999999999999</v>
      </c>
      <c r="C386" s="144">
        <v>84.692400000000006</v>
      </c>
      <c r="D386" s="144">
        <v>9.6084999999999994</v>
      </c>
      <c r="E386" s="144">
        <v>127.8</v>
      </c>
      <c r="F386" s="144">
        <v>0.76149999999999995</v>
      </c>
      <c r="G386" s="144">
        <v>1.0951</v>
      </c>
      <c r="I386" s="144">
        <v>1</v>
      </c>
      <c r="J386" s="145">
        <f t="shared" si="39"/>
        <v>42384</v>
      </c>
      <c r="K386" s="144">
        <f t="shared" ca="1" si="46"/>
        <v>1.0033901411031703</v>
      </c>
      <c r="L386" s="144">
        <f t="shared" ca="1" si="46"/>
        <v>0.69772768920652373</v>
      </c>
      <c r="M386" s="144">
        <f t="shared" ca="1" si="46"/>
        <v>117.09730621220451</v>
      </c>
      <c r="N386" s="144">
        <f t="shared" ca="1" si="46"/>
        <v>8.8038299431922304</v>
      </c>
      <c r="O386" s="144">
        <f t="shared" ca="1" si="46"/>
        <v>77.599780098955478</v>
      </c>
      <c r="P386" s="144">
        <f t="shared" ca="1" si="46"/>
        <v>1</v>
      </c>
      <c r="Q386" s="144">
        <f t="shared" ca="1" si="46"/>
        <v>0.91625435220817308</v>
      </c>
    </row>
    <row r="387" spans="1:17" x14ac:dyDescent="0.25">
      <c r="A387" s="145">
        <v>42383</v>
      </c>
      <c r="B387" s="144">
        <v>1.0892999999999999</v>
      </c>
      <c r="C387" s="144">
        <v>83.200699999999998</v>
      </c>
      <c r="D387" s="144">
        <v>9.6071000000000009</v>
      </c>
      <c r="E387" s="144">
        <v>128.26</v>
      </c>
      <c r="F387" s="144">
        <v>0.75702999999999998</v>
      </c>
      <c r="G387" s="144">
        <v>1.095</v>
      </c>
      <c r="I387" s="144">
        <v>1</v>
      </c>
      <c r="J387" s="145">
        <f t="shared" si="39"/>
        <v>42383</v>
      </c>
      <c r="K387" s="144">
        <f t="shared" ca="1" si="46"/>
        <v>1.0052327182594327</v>
      </c>
      <c r="L387" s="144">
        <f t="shared" ca="1" si="46"/>
        <v>0.69496924630496648</v>
      </c>
      <c r="M387" s="144">
        <f t="shared" ca="1" si="46"/>
        <v>117.74534104470762</v>
      </c>
      <c r="N387" s="144">
        <f t="shared" ca="1" si="46"/>
        <v>8.8195171210869372</v>
      </c>
      <c r="O387" s="144">
        <f t="shared" ca="1" si="46"/>
        <v>76.379968787294601</v>
      </c>
      <c r="P387" s="144">
        <f t="shared" ca="1" si="46"/>
        <v>1</v>
      </c>
      <c r="Q387" s="144">
        <f t="shared" ca="1" si="46"/>
        <v>0.91802074726888838</v>
      </c>
    </row>
    <row r="388" spans="1:17" x14ac:dyDescent="0.25">
      <c r="A388" s="145">
        <v>42382</v>
      </c>
      <c r="B388" s="144">
        <v>1.0815999999999999</v>
      </c>
      <c r="C388" s="144">
        <v>82.309799999999996</v>
      </c>
      <c r="D388" s="144">
        <v>9.5587999999999997</v>
      </c>
      <c r="E388" s="144">
        <v>127.74</v>
      </c>
      <c r="F388" s="144">
        <v>0.75019999999999998</v>
      </c>
      <c r="G388" s="144">
        <v>1.0926</v>
      </c>
      <c r="I388" s="144">
        <v>1</v>
      </c>
      <c r="J388" s="145">
        <f t="shared" si="39"/>
        <v>42382</v>
      </c>
      <c r="K388" s="144">
        <f t="shared" ca="1" si="46"/>
        <v>1.0101701183431955</v>
      </c>
      <c r="L388" s="144">
        <f t="shared" ca="1" si="46"/>
        <v>0.6936020710059172</v>
      </c>
      <c r="M388" s="144">
        <f t="shared" ca="1" si="46"/>
        <v>118.10281065088758</v>
      </c>
      <c r="N388" s="144">
        <f t="shared" ca="1" si="46"/>
        <v>8.8376479289940839</v>
      </c>
      <c r="O388" s="144">
        <f t="shared" ca="1" si="46"/>
        <v>76.100036982248525</v>
      </c>
      <c r="P388" s="144">
        <f t="shared" ca="1" si="46"/>
        <v>1</v>
      </c>
      <c r="Q388" s="144">
        <f t="shared" ca="1" si="46"/>
        <v>0.92455621301775159</v>
      </c>
    </row>
    <row r="389" spans="1:17" x14ac:dyDescent="0.25">
      <c r="A389" s="145">
        <v>42381</v>
      </c>
      <c r="B389" s="144">
        <v>1.0835999999999999</v>
      </c>
      <c r="C389" s="144">
        <v>82.689499999999995</v>
      </c>
      <c r="D389" s="144">
        <v>9.6387999999999998</v>
      </c>
      <c r="E389" s="144">
        <v>127.79</v>
      </c>
      <c r="F389" s="144">
        <v>0.75080000000000002</v>
      </c>
      <c r="G389" s="144">
        <v>1.0854999999999999</v>
      </c>
      <c r="I389" s="144">
        <v>1</v>
      </c>
      <c r="J389" s="145">
        <f t="shared" ref="J389:J452" si="47">A389</f>
        <v>42381</v>
      </c>
      <c r="K389" s="144">
        <f t="shared" ca="1" si="46"/>
        <v>1.0017534145441123</v>
      </c>
      <c r="L389" s="144">
        <f t="shared" ca="1" si="46"/>
        <v>0.69287559985234415</v>
      </c>
      <c r="M389" s="144">
        <f t="shared" ca="1" si="46"/>
        <v>117.9309708379476</v>
      </c>
      <c r="N389" s="144">
        <f t="shared" ca="1" si="46"/>
        <v>8.8951642672572913</v>
      </c>
      <c r="O389" s="144">
        <f t="shared" ca="1" si="46"/>
        <v>76.30998523440384</v>
      </c>
      <c r="P389" s="144">
        <f t="shared" ca="1" si="46"/>
        <v>1</v>
      </c>
      <c r="Q389" s="144">
        <f t="shared" ca="1" si="46"/>
        <v>0.9228497600590625</v>
      </c>
    </row>
    <row r="390" spans="1:17" x14ac:dyDescent="0.25">
      <c r="A390" s="145">
        <v>42380</v>
      </c>
      <c r="B390" s="144">
        <v>1.0888</v>
      </c>
      <c r="C390" s="144">
        <v>81.997500000000002</v>
      </c>
      <c r="D390" s="144">
        <v>9.6769999999999996</v>
      </c>
      <c r="E390" s="144">
        <v>128.33000000000001</v>
      </c>
      <c r="F390" s="144">
        <v>0.74704999999999999</v>
      </c>
      <c r="G390" s="144">
        <v>1.0863</v>
      </c>
      <c r="I390" s="144">
        <v>1</v>
      </c>
      <c r="J390" s="145">
        <f t="shared" si="47"/>
        <v>42380</v>
      </c>
      <c r="K390" s="144">
        <f t="shared" ca="1" si="46"/>
        <v>0.99770389419544458</v>
      </c>
      <c r="L390" s="144">
        <f t="shared" ca="1" si="46"/>
        <v>0.68612233651726673</v>
      </c>
      <c r="M390" s="144">
        <f t="shared" ca="1" si="46"/>
        <v>117.8637031594416</v>
      </c>
      <c r="N390" s="144">
        <f t="shared" ca="1" si="46"/>
        <v>8.8877663482733276</v>
      </c>
      <c r="O390" s="144">
        <f t="shared" ca="1" si="46"/>
        <v>75.309974283614991</v>
      </c>
      <c r="P390" s="144">
        <f t="shared" ca="1" si="46"/>
        <v>1</v>
      </c>
      <c r="Q390" s="144">
        <f t="shared" ca="1" si="46"/>
        <v>0.91844232182218954</v>
      </c>
    </row>
    <row r="391" spans="1:17" x14ac:dyDescent="0.25">
      <c r="A391" s="145">
        <v>42379</v>
      </c>
      <c r="B391" s="144">
        <v>1.0861000000000001</v>
      </c>
      <c r="C391" s="144">
        <v>80.413399999999996</v>
      </c>
      <c r="D391" s="144">
        <v>9.6809999999999992</v>
      </c>
      <c r="E391" s="144">
        <v>128.51</v>
      </c>
      <c r="F391" s="144">
        <v>0.74519000000000002</v>
      </c>
      <c r="G391" s="144">
        <v>1.0860000000000001</v>
      </c>
      <c r="I391" s="144">
        <v>1</v>
      </c>
      <c r="J391" s="145">
        <f t="shared" si="47"/>
        <v>42379</v>
      </c>
      <c r="K391" s="144">
        <f t="shared" ca="1" si="46"/>
        <v>0.9999079274468281</v>
      </c>
      <c r="L391" s="144">
        <f t="shared" ca="1" si="46"/>
        <v>0.68611545898167758</v>
      </c>
      <c r="M391" s="144">
        <f t="shared" ca="1" si="46"/>
        <v>118.32243808120798</v>
      </c>
      <c r="N391" s="144">
        <f t="shared" ca="1" si="46"/>
        <v>8.9135438725715854</v>
      </c>
      <c r="O391" s="144">
        <f t="shared" ca="1" si="46"/>
        <v>74.038670472332186</v>
      </c>
      <c r="P391" s="144">
        <f t="shared" ca="1" si="46"/>
        <v>1</v>
      </c>
      <c r="Q391" s="144">
        <f t="shared" ca="1" si="46"/>
        <v>0.92072553171899452</v>
      </c>
    </row>
    <row r="392" spans="1:17" x14ac:dyDescent="0.25">
      <c r="A392" s="145">
        <v>42378</v>
      </c>
      <c r="B392" s="144">
        <v>1.0861000000000001</v>
      </c>
      <c r="C392" s="144">
        <v>80.413399999999996</v>
      </c>
      <c r="D392" s="144">
        <v>9.6809999999999992</v>
      </c>
      <c r="E392" s="144">
        <v>128.51</v>
      </c>
      <c r="F392" s="144">
        <v>0.74519000000000002</v>
      </c>
      <c r="G392" s="144">
        <v>1.0860000000000001</v>
      </c>
      <c r="I392" s="144">
        <v>1</v>
      </c>
      <c r="J392" s="145">
        <f t="shared" si="47"/>
        <v>42378</v>
      </c>
      <c r="K392" s="144">
        <f t="shared" ca="1" si="46"/>
        <v>0.9999079274468281</v>
      </c>
      <c r="L392" s="144">
        <f t="shared" ca="1" si="46"/>
        <v>0.68611545898167758</v>
      </c>
      <c r="M392" s="144">
        <f t="shared" ca="1" si="46"/>
        <v>118.32243808120798</v>
      </c>
      <c r="N392" s="144">
        <f t="shared" ca="1" si="46"/>
        <v>8.9135438725715854</v>
      </c>
      <c r="O392" s="144">
        <f t="shared" ca="1" si="46"/>
        <v>74.038670472332186</v>
      </c>
      <c r="P392" s="144">
        <f t="shared" ca="1" si="46"/>
        <v>1</v>
      </c>
      <c r="Q392" s="144">
        <f t="shared" ca="1" si="46"/>
        <v>0.92072553171899452</v>
      </c>
    </row>
    <row r="393" spans="1:17" x14ac:dyDescent="0.25">
      <c r="A393" s="145">
        <v>42377</v>
      </c>
      <c r="B393" s="144">
        <v>1.0861000000000001</v>
      </c>
      <c r="C393" s="144">
        <v>80.413399999999996</v>
      </c>
      <c r="D393" s="144">
        <v>9.6809999999999992</v>
      </c>
      <c r="E393" s="144">
        <v>128.51</v>
      </c>
      <c r="F393" s="144">
        <v>0.74519000000000002</v>
      </c>
      <c r="G393" s="144">
        <v>1.0860000000000001</v>
      </c>
      <c r="I393" s="144">
        <v>1</v>
      </c>
      <c r="J393" s="145">
        <f t="shared" si="47"/>
        <v>42377</v>
      </c>
      <c r="K393" s="144">
        <f t="shared" ca="1" si="46"/>
        <v>0.9999079274468281</v>
      </c>
      <c r="L393" s="144">
        <f t="shared" ca="1" si="46"/>
        <v>0.68611545898167758</v>
      </c>
      <c r="M393" s="144">
        <f t="shared" ca="1" si="46"/>
        <v>118.32243808120798</v>
      </c>
      <c r="N393" s="144">
        <f t="shared" ca="1" si="46"/>
        <v>8.9135438725715854</v>
      </c>
      <c r="O393" s="144">
        <f t="shared" ca="1" si="46"/>
        <v>74.038670472332186</v>
      </c>
      <c r="P393" s="144">
        <f t="shared" ca="1" si="46"/>
        <v>1</v>
      </c>
      <c r="Q393" s="144">
        <f t="shared" ca="1" si="46"/>
        <v>0.92072553171899452</v>
      </c>
    </row>
    <row r="394" spans="1:17" x14ac:dyDescent="0.25">
      <c r="A394" s="145">
        <v>42376</v>
      </c>
      <c r="B394" s="144">
        <v>1.0868</v>
      </c>
      <c r="C394" s="144">
        <v>81.777600000000007</v>
      </c>
      <c r="D394" s="144">
        <v>9.6974999999999998</v>
      </c>
      <c r="E394" s="144">
        <v>127.74</v>
      </c>
      <c r="F394" s="144">
        <v>0.74544999999999995</v>
      </c>
      <c r="G394" s="144">
        <v>1.0874999999999999</v>
      </c>
      <c r="I394" s="144">
        <v>1</v>
      </c>
      <c r="J394" s="145">
        <f t="shared" si="47"/>
        <v>42376</v>
      </c>
      <c r="K394" s="144">
        <f t="shared" ca="1" si="46"/>
        <v>1.0006440927493558</v>
      </c>
      <c r="L394" s="144">
        <f t="shared" ca="1" si="46"/>
        <v>0.68591277143908713</v>
      </c>
      <c r="M394" s="144">
        <f t="shared" ca="1" si="46"/>
        <v>117.53772543246227</v>
      </c>
      <c r="N394" s="144">
        <f t="shared" ca="1" si="46"/>
        <v>8.9229849098270151</v>
      </c>
      <c r="O394" s="144">
        <f t="shared" ca="1" si="46"/>
        <v>75.246227456753786</v>
      </c>
      <c r="P394" s="144">
        <f t="shared" ca="1" si="46"/>
        <v>1</v>
      </c>
      <c r="Q394" s="144">
        <f t="shared" ca="1" si="46"/>
        <v>0.92013249907986749</v>
      </c>
    </row>
    <row r="395" spans="1:17" x14ac:dyDescent="0.25">
      <c r="A395" s="145">
        <v>42375</v>
      </c>
      <c r="B395" s="144">
        <v>1.0742</v>
      </c>
      <c r="C395" s="144">
        <v>79.9893</v>
      </c>
      <c r="D395" s="144">
        <v>9.6225000000000005</v>
      </c>
      <c r="E395" s="144">
        <v>127.19</v>
      </c>
      <c r="F395" s="144">
        <v>0.73440000000000005</v>
      </c>
      <c r="G395" s="144">
        <v>1.0846</v>
      </c>
      <c r="I395" s="144">
        <v>1</v>
      </c>
      <c r="J395" s="145">
        <f t="shared" si="47"/>
        <v>42375</v>
      </c>
      <c r="K395" s="144">
        <f t="shared" ref="K395:Q404" ca="1" si="48">OFFSET($A395,0,K$3)/OFFSET($A395,0,$P$3)</f>
        <v>1.0096816235337926</v>
      </c>
      <c r="L395" s="144">
        <f t="shared" ca="1" si="48"/>
        <v>0.68367156954012287</v>
      </c>
      <c r="M395" s="144">
        <f t="shared" ca="1" si="48"/>
        <v>118.4043939676038</v>
      </c>
      <c r="N395" s="144">
        <f t="shared" ca="1" si="48"/>
        <v>8.9578290821076152</v>
      </c>
      <c r="O395" s="144">
        <f t="shared" ca="1" si="48"/>
        <v>74.464066281884186</v>
      </c>
      <c r="P395" s="144">
        <f t="shared" ca="1" si="48"/>
        <v>1</v>
      </c>
      <c r="Q395" s="144">
        <f t="shared" ca="1" si="48"/>
        <v>0.93092533978774894</v>
      </c>
    </row>
    <row r="396" spans="1:17" x14ac:dyDescent="0.25">
      <c r="A396" s="145">
        <v>42374</v>
      </c>
      <c r="B396" s="144">
        <v>1.0746</v>
      </c>
      <c r="C396" s="144">
        <v>78.861999999999995</v>
      </c>
      <c r="D396" s="144">
        <v>9.5879999999999992</v>
      </c>
      <c r="E396" s="144">
        <v>127.88</v>
      </c>
      <c r="F396" s="144">
        <v>0.73234999999999995</v>
      </c>
      <c r="G396" s="144">
        <v>1.0847</v>
      </c>
      <c r="I396" s="144">
        <v>1</v>
      </c>
      <c r="J396" s="145">
        <f t="shared" si="47"/>
        <v>42374</v>
      </c>
      <c r="K396" s="144">
        <f t="shared" ca="1" si="48"/>
        <v>1.0093988460822632</v>
      </c>
      <c r="L396" s="144">
        <f t="shared" ca="1" si="48"/>
        <v>0.68150939884608219</v>
      </c>
      <c r="M396" s="144">
        <f t="shared" ca="1" si="48"/>
        <v>119.00241950493206</v>
      </c>
      <c r="N396" s="144">
        <f t="shared" ca="1" si="48"/>
        <v>8.9223897264098255</v>
      </c>
      <c r="O396" s="144">
        <f t="shared" ca="1" si="48"/>
        <v>73.387306904894842</v>
      </c>
      <c r="P396" s="144">
        <f t="shared" ca="1" si="48"/>
        <v>1</v>
      </c>
      <c r="Q396" s="144">
        <f t="shared" ca="1" si="48"/>
        <v>0.93057882002605619</v>
      </c>
    </row>
    <row r="397" spans="1:17" x14ac:dyDescent="0.25">
      <c r="A397" s="145">
        <v>42373</v>
      </c>
      <c r="B397" s="144">
        <v>1.0898000000000001</v>
      </c>
      <c r="C397" s="144">
        <v>79.6738</v>
      </c>
      <c r="D397" s="144">
        <v>9.6475000000000009</v>
      </c>
      <c r="E397" s="144">
        <v>129.78</v>
      </c>
      <c r="F397" s="144">
        <v>0.73809999999999998</v>
      </c>
      <c r="G397" s="144">
        <v>1.0891</v>
      </c>
      <c r="I397" s="144">
        <v>1</v>
      </c>
      <c r="J397" s="145">
        <f t="shared" si="47"/>
        <v>42373</v>
      </c>
      <c r="K397" s="144">
        <f t="shared" ca="1" si="48"/>
        <v>0.99935768030831329</v>
      </c>
      <c r="L397" s="144">
        <f t="shared" ca="1" si="48"/>
        <v>0.67728023490548717</v>
      </c>
      <c r="M397" s="144">
        <f t="shared" ca="1" si="48"/>
        <v>119.08607083868598</v>
      </c>
      <c r="N397" s="144">
        <f t="shared" ca="1" si="48"/>
        <v>8.8525417507799595</v>
      </c>
      <c r="O397" s="144">
        <f t="shared" ca="1" si="48"/>
        <v>73.10864378785098</v>
      </c>
      <c r="P397" s="144">
        <f t="shared" ca="1" si="48"/>
        <v>1</v>
      </c>
      <c r="Q397" s="144">
        <f t="shared" ca="1" si="48"/>
        <v>0.91759955955221129</v>
      </c>
    </row>
    <row r="398" spans="1:17" x14ac:dyDescent="0.25">
      <c r="A398" s="145">
        <v>42372</v>
      </c>
      <c r="B398" s="144">
        <v>1.0887</v>
      </c>
      <c r="C398" s="144">
        <v>80.673599999999993</v>
      </c>
      <c r="D398" s="144">
        <v>9.6029999999999998</v>
      </c>
      <c r="E398" s="144">
        <v>131.07</v>
      </c>
      <c r="F398" s="144">
        <v>0.73394999999999999</v>
      </c>
      <c r="G398" s="144">
        <v>1.0834999999999999</v>
      </c>
      <c r="I398" s="144">
        <v>1</v>
      </c>
      <c r="J398" s="145">
        <f t="shared" si="47"/>
        <v>42372</v>
      </c>
      <c r="K398" s="144">
        <f t="shared" ca="1" si="48"/>
        <v>0.99522366124735917</v>
      </c>
      <c r="L398" s="144">
        <f t="shared" ca="1" si="48"/>
        <v>0.67415265913474787</v>
      </c>
      <c r="M398" s="144">
        <f t="shared" ca="1" si="48"/>
        <v>120.39129236704326</v>
      </c>
      <c r="N398" s="144">
        <f t="shared" ca="1" si="48"/>
        <v>8.8206117387710119</v>
      </c>
      <c r="O398" s="144">
        <f t="shared" ca="1" si="48"/>
        <v>74.100854229815369</v>
      </c>
      <c r="P398" s="144">
        <f t="shared" ca="1" si="48"/>
        <v>1</v>
      </c>
      <c r="Q398" s="144">
        <f t="shared" ca="1" si="48"/>
        <v>0.91852668320014697</v>
      </c>
    </row>
    <row r="399" spans="1:17" x14ac:dyDescent="0.25">
      <c r="A399" s="145">
        <v>42371</v>
      </c>
      <c r="B399" s="144">
        <v>1.0887</v>
      </c>
      <c r="C399" s="144">
        <v>80.673599999999993</v>
      </c>
      <c r="D399" s="144">
        <v>9.6029999999999998</v>
      </c>
      <c r="E399" s="144">
        <v>131.07</v>
      </c>
      <c r="F399" s="144">
        <v>0.73394999999999999</v>
      </c>
      <c r="G399" s="144">
        <v>1.0834999999999999</v>
      </c>
      <c r="I399" s="144">
        <v>1</v>
      </c>
      <c r="J399" s="145">
        <f t="shared" si="47"/>
        <v>42371</v>
      </c>
      <c r="K399" s="144">
        <f t="shared" ca="1" si="48"/>
        <v>0.99522366124735917</v>
      </c>
      <c r="L399" s="144">
        <f t="shared" ca="1" si="48"/>
        <v>0.67415265913474787</v>
      </c>
      <c r="M399" s="144">
        <f t="shared" ca="1" si="48"/>
        <v>120.39129236704326</v>
      </c>
      <c r="N399" s="144">
        <f t="shared" ca="1" si="48"/>
        <v>8.8206117387710119</v>
      </c>
      <c r="O399" s="144">
        <f t="shared" ca="1" si="48"/>
        <v>74.100854229815369</v>
      </c>
      <c r="P399" s="144">
        <f t="shared" ca="1" si="48"/>
        <v>1</v>
      </c>
      <c r="Q399" s="144">
        <f t="shared" ca="1" si="48"/>
        <v>0.91852668320014697</v>
      </c>
    </row>
    <row r="400" spans="1:17" x14ac:dyDescent="0.25">
      <c r="A400" s="145">
        <v>42370</v>
      </c>
      <c r="B400" s="144">
        <v>1.0887</v>
      </c>
      <c r="C400" s="144">
        <v>80.673599999999993</v>
      </c>
      <c r="D400" s="144">
        <v>9.6029999999999998</v>
      </c>
      <c r="E400" s="144">
        <v>131.07</v>
      </c>
      <c r="F400" s="144">
        <v>0.73394999999999999</v>
      </c>
      <c r="G400" s="144">
        <v>1.0834999999999999</v>
      </c>
      <c r="I400" s="144">
        <v>1</v>
      </c>
      <c r="J400" s="145">
        <f t="shared" si="47"/>
        <v>42370</v>
      </c>
      <c r="K400" s="144">
        <f t="shared" ca="1" si="48"/>
        <v>0.99522366124735917</v>
      </c>
      <c r="L400" s="144">
        <f t="shared" ca="1" si="48"/>
        <v>0.67415265913474787</v>
      </c>
      <c r="M400" s="144">
        <f t="shared" ca="1" si="48"/>
        <v>120.39129236704326</v>
      </c>
      <c r="N400" s="144">
        <f t="shared" ca="1" si="48"/>
        <v>8.8206117387710119</v>
      </c>
      <c r="O400" s="144">
        <f t="shared" ca="1" si="48"/>
        <v>74.100854229815369</v>
      </c>
      <c r="P400" s="144">
        <f t="shared" ca="1" si="48"/>
        <v>1</v>
      </c>
      <c r="Q400" s="144">
        <f t="shared" ca="1" si="48"/>
        <v>0.91852668320014697</v>
      </c>
    </row>
    <row r="401" spans="1:17" x14ac:dyDescent="0.25">
      <c r="A401" s="145">
        <v>42369</v>
      </c>
      <c r="B401" s="144">
        <v>1.0887</v>
      </c>
      <c r="C401" s="144">
        <v>80.673599999999993</v>
      </c>
      <c r="D401" s="144">
        <v>9.6029999999999998</v>
      </c>
      <c r="E401" s="144">
        <v>131.07</v>
      </c>
      <c r="F401" s="144">
        <v>0.73394999999999999</v>
      </c>
      <c r="G401" s="144">
        <v>1.0834999999999999</v>
      </c>
      <c r="I401" s="144">
        <v>1</v>
      </c>
      <c r="J401" s="145">
        <f t="shared" si="47"/>
        <v>42369</v>
      </c>
      <c r="K401" s="144">
        <f t="shared" ca="1" si="48"/>
        <v>0.99522366124735917</v>
      </c>
      <c r="L401" s="144">
        <f t="shared" ca="1" si="48"/>
        <v>0.67415265913474787</v>
      </c>
      <c r="M401" s="144">
        <f t="shared" ca="1" si="48"/>
        <v>120.39129236704326</v>
      </c>
      <c r="N401" s="144">
        <f t="shared" ca="1" si="48"/>
        <v>8.8206117387710119</v>
      </c>
      <c r="O401" s="144">
        <f t="shared" ca="1" si="48"/>
        <v>74.100854229815369</v>
      </c>
      <c r="P401" s="144">
        <f t="shared" ca="1" si="48"/>
        <v>1</v>
      </c>
      <c r="Q401" s="144">
        <f t="shared" ca="1" si="48"/>
        <v>0.91852668320014697</v>
      </c>
    </row>
    <row r="402" spans="1:17" x14ac:dyDescent="0.25">
      <c r="A402" s="145">
        <v>42368</v>
      </c>
      <c r="B402" s="144">
        <v>1.0926</v>
      </c>
      <c r="C402" s="144">
        <v>79.754000000000005</v>
      </c>
      <c r="D402" s="144">
        <v>9.6159999999999997</v>
      </c>
      <c r="E402" s="144">
        <v>131.66</v>
      </c>
      <c r="F402" s="144">
        <v>0.73799000000000003</v>
      </c>
      <c r="G402" s="144">
        <v>1.0813999999999999</v>
      </c>
      <c r="I402" s="144">
        <v>1</v>
      </c>
      <c r="J402" s="145">
        <f t="shared" si="47"/>
        <v>42368</v>
      </c>
      <c r="K402" s="144">
        <f t="shared" ca="1" si="48"/>
        <v>0.98974922203917248</v>
      </c>
      <c r="L402" s="144">
        <f t="shared" ca="1" si="48"/>
        <v>0.6754438952956251</v>
      </c>
      <c r="M402" s="144">
        <f t="shared" ca="1" si="48"/>
        <v>120.50155592165477</v>
      </c>
      <c r="N402" s="144">
        <f t="shared" ca="1" si="48"/>
        <v>8.8010250777960817</v>
      </c>
      <c r="O402" s="144">
        <f t="shared" ca="1" si="48"/>
        <v>72.994691561413148</v>
      </c>
      <c r="P402" s="144">
        <f t="shared" ca="1" si="48"/>
        <v>1</v>
      </c>
      <c r="Q402" s="144">
        <f t="shared" ca="1" si="48"/>
        <v>0.91524803221673068</v>
      </c>
    </row>
    <row r="403" spans="1:17" x14ac:dyDescent="0.25">
      <c r="A403" s="145">
        <v>42367</v>
      </c>
      <c r="B403" s="144">
        <v>1.0952</v>
      </c>
      <c r="C403" s="144">
        <v>79.431899999999999</v>
      </c>
      <c r="D403" s="144">
        <v>9.5114999999999998</v>
      </c>
      <c r="E403" s="144">
        <v>131.88</v>
      </c>
      <c r="F403" s="144">
        <v>0.74004999999999999</v>
      </c>
      <c r="G403" s="144">
        <v>1.0846</v>
      </c>
      <c r="I403" s="144">
        <v>1</v>
      </c>
      <c r="J403" s="145">
        <f t="shared" si="47"/>
        <v>42367</v>
      </c>
      <c r="K403" s="144">
        <f t="shared" ca="1" si="48"/>
        <v>0.99032140248356471</v>
      </c>
      <c r="L403" s="144">
        <f t="shared" ca="1" si="48"/>
        <v>0.6757213294375457</v>
      </c>
      <c r="M403" s="144">
        <f t="shared" ca="1" si="48"/>
        <v>120.41636230825421</v>
      </c>
      <c r="N403" s="144">
        <f t="shared" ca="1" si="48"/>
        <v>8.6847151205259312</v>
      </c>
      <c r="O403" s="144">
        <f t="shared" ca="1" si="48"/>
        <v>72.527300949598242</v>
      </c>
      <c r="P403" s="144">
        <f t="shared" ca="1" si="48"/>
        <v>1</v>
      </c>
      <c r="Q403" s="144">
        <f t="shared" ca="1" si="48"/>
        <v>0.91307523739956176</v>
      </c>
    </row>
    <row r="404" spans="1:17" x14ac:dyDescent="0.25">
      <c r="A404" s="145">
        <v>42366</v>
      </c>
      <c r="B404" s="144">
        <v>1.0962000000000001</v>
      </c>
      <c r="C404" s="144">
        <v>78.866600000000005</v>
      </c>
      <c r="D404" s="144">
        <v>9.5380000000000003</v>
      </c>
      <c r="E404" s="144">
        <v>132.05000000000001</v>
      </c>
      <c r="F404" s="144">
        <v>0.73534999999999995</v>
      </c>
      <c r="G404" s="144">
        <v>1.0838000000000001</v>
      </c>
      <c r="I404" s="144">
        <v>1</v>
      </c>
      <c r="J404" s="145">
        <f t="shared" si="47"/>
        <v>42366</v>
      </c>
      <c r="K404" s="144">
        <f t="shared" ca="1" si="48"/>
        <v>0.9886881955847473</v>
      </c>
      <c r="L404" s="144">
        <f t="shared" ca="1" si="48"/>
        <v>0.67081736909323109</v>
      </c>
      <c r="M404" s="144">
        <f t="shared" ca="1" si="48"/>
        <v>120.46159459952564</v>
      </c>
      <c r="N404" s="144">
        <f t="shared" ca="1" si="48"/>
        <v>8.7009669768290454</v>
      </c>
      <c r="O404" s="144">
        <f t="shared" ca="1" si="48"/>
        <v>71.945447910965157</v>
      </c>
      <c r="P404" s="144">
        <f t="shared" ca="1" si="48"/>
        <v>1</v>
      </c>
      <c r="Q404" s="144">
        <f t="shared" ca="1" si="48"/>
        <v>0.91224229155263636</v>
      </c>
    </row>
    <row r="405" spans="1:17" x14ac:dyDescent="0.25">
      <c r="A405" s="145">
        <v>42365</v>
      </c>
      <c r="B405" s="144">
        <v>1.0947</v>
      </c>
      <c r="C405" s="144">
        <v>76.95</v>
      </c>
      <c r="D405" s="144">
        <v>9.5120000000000005</v>
      </c>
      <c r="E405" s="144">
        <v>131.83000000000001</v>
      </c>
      <c r="F405" s="144">
        <v>0.73419999999999996</v>
      </c>
      <c r="G405" s="144">
        <v>1.0806</v>
      </c>
      <c r="I405" s="144">
        <v>1</v>
      </c>
      <c r="J405" s="145">
        <f t="shared" si="47"/>
        <v>42365</v>
      </c>
      <c r="K405" s="144">
        <f t="shared" ref="K405:Q414" ca="1" si="49">OFFSET($A405,0,K$3)/OFFSET($A405,0,$P$3)</f>
        <v>0.98711975883803782</v>
      </c>
      <c r="L405" s="144">
        <f t="shared" ca="1" si="49"/>
        <v>0.67068603270302363</v>
      </c>
      <c r="M405" s="144">
        <f t="shared" ca="1" si="49"/>
        <v>120.42568740294145</v>
      </c>
      <c r="N405" s="144">
        <f t="shared" ca="1" si="49"/>
        <v>8.6891385767790261</v>
      </c>
      <c r="O405" s="144">
        <f t="shared" ca="1" si="49"/>
        <v>70.293231022197858</v>
      </c>
      <c r="P405" s="144">
        <f t="shared" ca="1" si="49"/>
        <v>1</v>
      </c>
      <c r="Q405" s="144">
        <f t="shared" ca="1" si="49"/>
        <v>0.91349228099022561</v>
      </c>
    </row>
    <row r="406" spans="1:17" x14ac:dyDescent="0.25">
      <c r="A406" s="145">
        <v>42364</v>
      </c>
      <c r="B406" s="144">
        <v>1.0947</v>
      </c>
      <c r="C406" s="144">
        <v>76.95</v>
      </c>
      <c r="D406" s="144">
        <v>9.5120000000000005</v>
      </c>
      <c r="E406" s="144">
        <v>131.83000000000001</v>
      </c>
      <c r="F406" s="144">
        <v>0.73419999999999996</v>
      </c>
      <c r="G406" s="144">
        <v>1.0806</v>
      </c>
      <c r="I406" s="144">
        <v>1</v>
      </c>
      <c r="J406" s="145">
        <f t="shared" si="47"/>
        <v>42364</v>
      </c>
      <c r="K406" s="144">
        <f t="shared" ca="1" si="49"/>
        <v>0.98711975883803782</v>
      </c>
      <c r="L406" s="144">
        <f t="shared" ca="1" si="49"/>
        <v>0.67068603270302363</v>
      </c>
      <c r="M406" s="144">
        <f t="shared" ca="1" si="49"/>
        <v>120.42568740294145</v>
      </c>
      <c r="N406" s="144">
        <f t="shared" ca="1" si="49"/>
        <v>8.6891385767790261</v>
      </c>
      <c r="O406" s="144">
        <f t="shared" ca="1" si="49"/>
        <v>70.293231022197858</v>
      </c>
      <c r="P406" s="144">
        <f t="shared" ca="1" si="49"/>
        <v>1</v>
      </c>
      <c r="Q406" s="144">
        <f t="shared" ca="1" si="49"/>
        <v>0.91349228099022561</v>
      </c>
    </row>
    <row r="407" spans="1:17" x14ac:dyDescent="0.25">
      <c r="A407" s="145">
        <v>42363</v>
      </c>
      <c r="B407" s="144">
        <v>1.0947</v>
      </c>
      <c r="C407" s="144">
        <v>76.95</v>
      </c>
      <c r="D407" s="144">
        <v>9.5120000000000005</v>
      </c>
      <c r="E407" s="144">
        <v>131.83000000000001</v>
      </c>
      <c r="F407" s="144">
        <v>0.73419999999999996</v>
      </c>
      <c r="G407" s="144">
        <v>1.0806</v>
      </c>
      <c r="I407" s="144">
        <v>1</v>
      </c>
      <c r="J407" s="145">
        <f t="shared" si="47"/>
        <v>42363</v>
      </c>
      <c r="K407" s="144">
        <f t="shared" ca="1" si="49"/>
        <v>0.98711975883803782</v>
      </c>
      <c r="L407" s="144">
        <f t="shared" ca="1" si="49"/>
        <v>0.67068603270302363</v>
      </c>
      <c r="M407" s="144">
        <f t="shared" ca="1" si="49"/>
        <v>120.42568740294145</v>
      </c>
      <c r="N407" s="144">
        <f t="shared" ca="1" si="49"/>
        <v>8.6891385767790261</v>
      </c>
      <c r="O407" s="144">
        <f t="shared" ca="1" si="49"/>
        <v>70.293231022197858</v>
      </c>
      <c r="P407" s="144">
        <f t="shared" ca="1" si="49"/>
        <v>1</v>
      </c>
      <c r="Q407" s="144">
        <f t="shared" ca="1" si="49"/>
        <v>0.91349228099022561</v>
      </c>
    </row>
    <row r="408" spans="1:17" x14ac:dyDescent="0.25">
      <c r="A408" s="145">
        <v>42362</v>
      </c>
      <c r="B408" s="144">
        <v>1.0947</v>
      </c>
      <c r="C408" s="144">
        <v>76.95</v>
      </c>
      <c r="D408" s="144">
        <v>9.5120000000000005</v>
      </c>
      <c r="E408" s="144">
        <v>131.83000000000001</v>
      </c>
      <c r="F408" s="144">
        <v>0.73419999999999996</v>
      </c>
      <c r="G408" s="144">
        <v>1.0806</v>
      </c>
      <c r="I408" s="144">
        <v>1</v>
      </c>
      <c r="J408" s="145">
        <f t="shared" si="47"/>
        <v>42362</v>
      </c>
      <c r="K408" s="144">
        <f t="shared" ca="1" si="49"/>
        <v>0.98711975883803782</v>
      </c>
      <c r="L408" s="144">
        <f t="shared" ca="1" si="49"/>
        <v>0.67068603270302363</v>
      </c>
      <c r="M408" s="144">
        <f t="shared" ca="1" si="49"/>
        <v>120.42568740294145</v>
      </c>
      <c r="N408" s="144">
        <f t="shared" ca="1" si="49"/>
        <v>8.6891385767790261</v>
      </c>
      <c r="O408" s="144">
        <f t="shared" ca="1" si="49"/>
        <v>70.293231022197858</v>
      </c>
      <c r="P408" s="144">
        <f t="shared" ca="1" si="49"/>
        <v>1</v>
      </c>
      <c r="Q408" s="144">
        <f t="shared" ca="1" si="49"/>
        <v>0.91349228099022561</v>
      </c>
    </row>
    <row r="409" spans="1:17" x14ac:dyDescent="0.25">
      <c r="A409" s="145">
        <v>42361</v>
      </c>
      <c r="B409" s="144">
        <v>1.0915999999999999</v>
      </c>
      <c r="C409" s="144">
        <v>77.132499999999993</v>
      </c>
      <c r="D409" s="144">
        <v>9.5269999999999992</v>
      </c>
      <c r="E409" s="144">
        <v>131.91999999999999</v>
      </c>
      <c r="F409" s="144">
        <v>0.73299999999999998</v>
      </c>
      <c r="G409" s="144">
        <v>1.0811999999999999</v>
      </c>
      <c r="I409" s="144">
        <v>1</v>
      </c>
      <c r="J409" s="145">
        <f t="shared" si="47"/>
        <v>42361</v>
      </c>
      <c r="K409" s="144">
        <f t="shared" ca="1" si="49"/>
        <v>0.9904727006229388</v>
      </c>
      <c r="L409" s="144">
        <f t="shared" ca="1" si="49"/>
        <v>0.67149138878710157</v>
      </c>
      <c r="M409" s="144">
        <f t="shared" ca="1" si="49"/>
        <v>120.850128252107</v>
      </c>
      <c r="N409" s="144">
        <f t="shared" ca="1" si="49"/>
        <v>8.7275558812751921</v>
      </c>
      <c r="O409" s="144">
        <f t="shared" ca="1" si="49"/>
        <v>70.660040307805062</v>
      </c>
      <c r="P409" s="144">
        <f t="shared" ca="1" si="49"/>
        <v>1</v>
      </c>
      <c r="Q409" s="144">
        <f t="shared" ca="1" si="49"/>
        <v>0.9160864785635765</v>
      </c>
    </row>
    <row r="410" spans="1:17" x14ac:dyDescent="0.25">
      <c r="A410" s="145">
        <v>42360</v>
      </c>
      <c r="B410" s="144">
        <v>1.0952</v>
      </c>
      <c r="C410" s="144">
        <v>77.858800000000002</v>
      </c>
      <c r="D410" s="144">
        <v>9.5429999999999993</v>
      </c>
      <c r="E410" s="144">
        <v>132.41999999999999</v>
      </c>
      <c r="F410" s="144">
        <v>0.73619999999999997</v>
      </c>
      <c r="G410" s="144">
        <v>1.0818000000000001</v>
      </c>
      <c r="I410" s="144">
        <v>1</v>
      </c>
      <c r="J410" s="145">
        <f t="shared" si="47"/>
        <v>42360</v>
      </c>
      <c r="K410" s="144">
        <f t="shared" ca="1" si="49"/>
        <v>0.98776479181884602</v>
      </c>
      <c r="L410" s="144">
        <f t="shared" ca="1" si="49"/>
        <v>0.67220598977355739</v>
      </c>
      <c r="M410" s="144">
        <f t="shared" ca="1" si="49"/>
        <v>120.90942293644996</v>
      </c>
      <c r="N410" s="144">
        <f t="shared" ca="1" si="49"/>
        <v>8.7134769905040166</v>
      </c>
      <c r="O410" s="144">
        <f t="shared" ca="1" si="49"/>
        <v>71.090942293645</v>
      </c>
      <c r="P410" s="144">
        <f t="shared" ca="1" si="49"/>
        <v>1</v>
      </c>
      <c r="Q410" s="144">
        <f t="shared" ca="1" si="49"/>
        <v>0.91307523739956176</v>
      </c>
    </row>
    <row r="411" spans="1:17" x14ac:dyDescent="0.25">
      <c r="A411" s="145">
        <v>42359</v>
      </c>
      <c r="B411" s="144">
        <v>1.087</v>
      </c>
      <c r="C411" s="144">
        <v>77.448800000000006</v>
      </c>
      <c r="D411" s="144">
        <v>9.5585000000000004</v>
      </c>
      <c r="E411" s="144">
        <v>131.93</v>
      </c>
      <c r="F411" s="144">
        <v>0.72985</v>
      </c>
      <c r="G411" s="144">
        <v>1.0804</v>
      </c>
      <c r="I411" s="144">
        <v>1</v>
      </c>
      <c r="J411" s="145">
        <f t="shared" si="47"/>
        <v>42359</v>
      </c>
      <c r="K411" s="144">
        <f t="shared" ca="1" si="49"/>
        <v>0.99392824287028525</v>
      </c>
      <c r="L411" s="144">
        <f t="shared" ca="1" si="49"/>
        <v>0.67143514259429626</v>
      </c>
      <c r="M411" s="144">
        <f t="shared" ca="1" si="49"/>
        <v>121.3707451701932</v>
      </c>
      <c r="N411" s="144">
        <f t="shared" ca="1" si="49"/>
        <v>8.7934682612695507</v>
      </c>
      <c r="O411" s="144">
        <f t="shared" ca="1" si="49"/>
        <v>71.250045998160076</v>
      </c>
      <c r="P411" s="144">
        <f t="shared" ca="1" si="49"/>
        <v>1</v>
      </c>
      <c r="Q411" s="144">
        <f t="shared" ca="1" si="49"/>
        <v>0.91996320147194111</v>
      </c>
    </row>
    <row r="412" spans="1:17" x14ac:dyDescent="0.25">
      <c r="A412" s="145">
        <v>42358</v>
      </c>
      <c r="B412" s="144">
        <v>1.0835999999999999</v>
      </c>
      <c r="C412" s="144">
        <v>77.100499999999997</v>
      </c>
      <c r="D412" s="144">
        <v>9.5</v>
      </c>
      <c r="E412" s="144">
        <v>131.6</v>
      </c>
      <c r="F412" s="144">
        <v>0.72665999999999997</v>
      </c>
      <c r="G412" s="144">
        <v>1.0768</v>
      </c>
      <c r="I412" s="144">
        <v>1</v>
      </c>
      <c r="J412" s="145">
        <f t="shared" si="47"/>
        <v>42358</v>
      </c>
      <c r="K412" s="144">
        <f t="shared" ca="1" si="49"/>
        <v>0.99372462163159847</v>
      </c>
      <c r="L412" s="144">
        <f t="shared" ca="1" si="49"/>
        <v>0.6705980066445183</v>
      </c>
      <c r="M412" s="144">
        <f t="shared" ca="1" si="49"/>
        <v>121.44702842377262</v>
      </c>
      <c r="N412" s="144">
        <f t="shared" ca="1" si="49"/>
        <v>8.7670727205610941</v>
      </c>
      <c r="O412" s="144">
        <f t="shared" ca="1" si="49"/>
        <v>71.152177925433747</v>
      </c>
      <c r="P412" s="144">
        <f t="shared" ca="1" si="49"/>
        <v>1</v>
      </c>
      <c r="Q412" s="144">
        <f t="shared" ca="1" si="49"/>
        <v>0.9228497600590625</v>
      </c>
    </row>
    <row r="413" spans="1:17" x14ac:dyDescent="0.25">
      <c r="A413" s="145">
        <v>42357</v>
      </c>
      <c r="B413" s="144">
        <v>1.0835999999999999</v>
      </c>
      <c r="C413" s="144">
        <v>77.100499999999997</v>
      </c>
      <c r="D413" s="144">
        <v>9.5</v>
      </c>
      <c r="E413" s="144">
        <v>131.6</v>
      </c>
      <c r="F413" s="144">
        <v>0.72665999999999997</v>
      </c>
      <c r="G413" s="144">
        <v>1.0768</v>
      </c>
      <c r="I413" s="144">
        <v>1</v>
      </c>
      <c r="J413" s="145">
        <f t="shared" si="47"/>
        <v>42357</v>
      </c>
      <c r="K413" s="144">
        <f t="shared" ca="1" si="49"/>
        <v>0.99372462163159847</v>
      </c>
      <c r="L413" s="144">
        <f t="shared" ca="1" si="49"/>
        <v>0.6705980066445183</v>
      </c>
      <c r="M413" s="144">
        <f t="shared" ca="1" si="49"/>
        <v>121.44702842377262</v>
      </c>
      <c r="N413" s="144">
        <f t="shared" ca="1" si="49"/>
        <v>8.7670727205610941</v>
      </c>
      <c r="O413" s="144">
        <f t="shared" ca="1" si="49"/>
        <v>71.152177925433747</v>
      </c>
      <c r="P413" s="144">
        <f t="shared" ca="1" si="49"/>
        <v>1</v>
      </c>
      <c r="Q413" s="144">
        <f t="shared" ca="1" si="49"/>
        <v>0.9228497600590625</v>
      </c>
    </row>
    <row r="414" spans="1:17" x14ac:dyDescent="0.25">
      <c r="A414" s="145">
        <v>42356</v>
      </c>
      <c r="B414" s="144">
        <v>1.0835999999999999</v>
      </c>
      <c r="C414" s="144">
        <v>77.100499999999997</v>
      </c>
      <c r="D414" s="144">
        <v>9.5</v>
      </c>
      <c r="E414" s="144">
        <v>131.6</v>
      </c>
      <c r="F414" s="144">
        <v>0.72665999999999997</v>
      </c>
      <c r="G414" s="144">
        <v>1.0768</v>
      </c>
      <c r="I414" s="144">
        <v>1</v>
      </c>
      <c r="J414" s="145">
        <f t="shared" si="47"/>
        <v>42356</v>
      </c>
      <c r="K414" s="144">
        <f t="shared" ca="1" si="49"/>
        <v>0.99372462163159847</v>
      </c>
      <c r="L414" s="144">
        <f t="shared" ca="1" si="49"/>
        <v>0.6705980066445183</v>
      </c>
      <c r="M414" s="144">
        <f t="shared" ca="1" si="49"/>
        <v>121.44702842377262</v>
      </c>
      <c r="N414" s="144">
        <f t="shared" ca="1" si="49"/>
        <v>8.7670727205610941</v>
      </c>
      <c r="O414" s="144">
        <f t="shared" ca="1" si="49"/>
        <v>71.152177925433747</v>
      </c>
      <c r="P414" s="144">
        <f t="shared" ca="1" si="49"/>
        <v>1</v>
      </c>
      <c r="Q414" s="144">
        <f t="shared" ca="1" si="49"/>
        <v>0.9228497600590625</v>
      </c>
    </row>
    <row r="415" spans="1:17" x14ac:dyDescent="0.25">
      <c r="A415" s="145">
        <v>42355</v>
      </c>
      <c r="B415" s="144">
        <v>1.0841000000000001</v>
      </c>
      <c r="C415" s="144">
        <v>76.502300000000005</v>
      </c>
      <c r="D415" s="144">
        <v>9.5109999999999992</v>
      </c>
      <c r="E415" s="144">
        <v>132.82</v>
      </c>
      <c r="F415" s="144">
        <v>0.72660000000000002</v>
      </c>
      <c r="G415" s="144">
        <v>1.0807</v>
      </c>
      <c r="I415" s="144">
        <v>1</v>
      </c>
      <c r="J415" s="145">
        <f t="shared" si="47"/>
        <v>42355</v>
      </c>
      <c r="K415" s="144">
        <f t="shared" ref="K415:Q424" ca="1" si="50">OFFSET($A415,0,K$3)/OFFSET($A415,0,$P$3)</f>
        <v>0.99686375795590809</v>
      </c>
      <c r="L415" s="144">
        <f t="shared" ca="1" si="50"/>
        <v>0.67023337330504562</v>
      </c>
      <c r="M415" s="144">
        <f t="shared" ca="1" si="50"/>
        <v>122.51637302831841</v>
      </c>
      <c r="N415" s="144">
        <f t="shared" ca="1" si="50"/>
        <v>8.7731759062817076</v>
      </c>
      <c r="O415" s="144">
        <f t="shared" ca="1" si="50"/>
        <v>70.567567567567565</v>
      </c>
      <c r="P415" s="144">
        <f t="shared" ca="1" si="50"/>
        <v>1</v>
      </c>
      <c r="Q415" s="144">
        <f t="shared" ca="1" si="50"/>
        <v>0.92242413061525685</v>
      </c>
    </row>
    <row r="416" spans="1:17" x14ac:dyDescent="0.25">
      <c r="A416" s="145">
        <v>42354</v>
      </c>
      <c r="B416" s="144">
        <v>1.0932999999999999</v>
      </c>
      <c r="C416" s="144">
        <v>76.868899999999996</v>
      </c>
      <c r="D416" s="144">
        <v>9.5555000000000003</v>
      </c>
      <c r="E416" s="144">
        <v>133.18</v>
      </c>
      <c r="F416" s="144">
        <v>0.72829999999999995</v>
      </c>
      <c r="G416" s="144">
        <v>1.0824</v>
      </c>
      <c r="I416" s="144">
        <v>1</v>
      </c>
      <c r="J416" s="145">
        <f t="shared" si="47"/>
        <v>42354</v>
      </c>
      <c r="K416" s="144">
        <f t="shared" ca="1" si="50"/>
        <v>0.99003018384706865</v>
      </c>
      <c r="L416" s="144">
        <f t="shared" ca="1" si="50"/>
        <v>0.66614835818165186</v>
      </c>
      <c r="M416" s="144">
        <f t="shared" ca="1" si="50"/>
        <v>121.81468947224002</v>
      </c>
      <c r="N416" s="144">
        <f t="shared" ca="1" si="50"/>
        <v>8.7400530503978793</v>
      </c>
      <c r="O416" s="144">
        <f t="shared" ca="1" si="50"/>
        <v>70.309064300740872</v>
      </c>
      <c r="P416" s="144">
        <f t="shared" ca="1" si="50"/>
        <v>1</v>
      </c>
      <c r="Q416" s="144">
        <f t="shared" ca="1" si="50"/>
        <v>0.91466203237903598</v>
      </c>
    </row>
    <row r="417" spans="1:17" x14ac:dyDescent="0.25">
      <c r="A417" s="145">
        <v>42353</v>
      </c>
      <c r="B417" s="144">
        <v>1.099</v>
      </c>
      <c r="C417" s="144">
        <v>77.492000000000004</v>
      </c>
      <c r="D417" s="144">
        <v>9.4945000000000004</v>
      </c>
      <c r="E417" s="144">
        <v>132.97</v>
      </c>
      <c r="F417" s="144">
        <v>0.72519999999999996</v>
      </c>
      <c r="G417" s="144">
        <v>1.0831</v>
      </c>
      <c r="I417" s="144">
        <v>1</v>
      </c>
      <c r="J417" s="145">
        <f t="shared" si="47"/>
        <v>42353</v>
      </c>
      <c r="K417" s="144">
        <f t="shared" ca="1" si="50"/>
        <v>0.98553230209281162</v>
      </c>
      <c r="L417" s="144">
        <f t="shared" ca="1" si="50"/>
        <v>0.65987261146496812</v>
      </c>
      <c r="M417" s="144">
        <f t="shared" ca="1" si="50"/>
        <v>120.99181073703367</v>
      </c>
      <c r="N417" s="144">
        <f t="shared" ca="1" si="50"/>
        <v>8.6392174704276616</v>
      </c>
      <c r="O417" s="144">
        <f t="shared" ca="1" si="50"/>
        <v>70.511373976342128</v>
      </c>
      <c r="P417" s="144">
        <f t="shared" ca="1" si="50"/>
        <v>1</v>
      </c>
      <c r="Q417" s="144">
        <f t="shared" ca="1" si="50"/>
        <v>0.90991810737033674</v>
      </c>
    </row>
    <row r="418" spans="1:17" x14ac:dyDescent="0.25">
      <c r="A418" s="145">
        <v>42352</v>
      </c>
      <c r="B418" s="144">
        <v>1.0983000000000001</v>
      </c>
      <c r="C418" s="144">
        <v>77.9268</v>
      </c>
      <c r="D418" s="144">
        <v>9.5694999999999997</v>
      </c>
      <c r="E418" s="144">
        <v>132.54</v>
      </c>
      <c r="F418" s="144">
        <v>0.72599999999999998</v>
      </c>
      <c r="G418" s="144">
        <v>1.0770999999999999</v>
      </c>
      <c r="I418" s="144">
        <v>1</v>
      </c>
      <c r="J418" s="145">
        <f t="shared" si="47"/>
        <v>42352</v>
      </c>
      <c r="K418" s="144">
        <f t="shared" ca="1" si="50"/>
        <v>0.98069744150050064</v>
      </c>
      <c r="L418" s="144">
        <f t="shared" ca="1" si="50"/>
        <v>0.66102157880360557</v>
      </c>
      <c r="M418" s="144">
        <f t="shared" ca="1" si="50"/>
        <v>120.67741054356732</v>
      </c>
      <c r="N418" s="144">
        <f t="shared" ca="1" si="50"/>
        <v>8.7130110170263126</v>
      </c>
      <c r="O418" s="144">
        <f t="shared" ca="1" si="50"/>
        <v>70.952198852772469</v>
      </c>
      <c r="P418" s="144">
        <f t="shared" ca="1" si="50"/>
        <v>1</v>
      </c>
      <c r="Q418" s="144">
        <f t="shared" ca="1" si="50"/>
        <v>0.91049804242920873</v>
      </c>
    </row>
    <row r="419" spans="1:17" x14ac:dyDescent="0.25">
      <c r="A419" s="145">
        <v>42351</v>
      </c>
      <c r="B419" s="144">
        <v>1.095</v>
      </c>
      <c r="C419" s="144">
        <v>76.328000000000003</v>
      </c>
      <c r="D419" s="144">
        <v>9.5385000000000009</v>
      </c>
      <c r="E419" s="144">
        <v>133.02000000000001</v>
      </c>
      <c r="F419" s="144">
        <v>0.72240000000000004</v>
      </c>
      <c r="G419" s="144">
        <v>1.0819000000000001</v>
      </c>
      <c r="I419" s="144">
        <v>1</v>
      </c>
      <c r="J419" s="145">
        <f t="shared" si="47"/>
        <v>42351</v>
      </c>
      <c r="K419" s="144">
        <f t="shared" ca="1" si="50"/>
        <v>0.98803652968036537</v>
      </c>
      <c r="L419" s="144">
        <f t="shared" ca="1" si="50"/>
        <v>0.65972602739726038</v>
      </c>
      <c r="M419" s="144">
        <f t="shared" ca="1" si="50"/>
        <v>121.47945205479454</v>
      </c>
      <c r="N419" s="144">
        <f t="shared" ca="1" si="50"/>
        <v>8.7109589041095905</v>
      </c>
      <c r="O419" s="144">
        <f t="shared" ca="1" si="50"/>
        <v>69.705936073059362</v>
      </c>
      <c r="P419" s="144">
        <f t="shared" ca="1" si="50"/>
        <v>1</v>
      </c>
      <c r="Q419" s="144">
        <f t="shared" ca="1" si="50"/>
        <v>0.91324200913242015</v>
      </c>
    </row>
    <row r="420" spans="1:17" x14ac:dyDescent="0.25">
      <c r="A420" s="145">
        <v>42350</v>
      </c>
      <c r="B420" s="144">
        <v>1.095</v>
      </c>
      <c r="C420" s="144">
        <v>76.328000000000003</v>
      </c>
      <c r="D420" s="144">
        <v>9.5385000000000009</v>
      </c>
      <c r="E420" s="144">
        <v>133.02000000000001</v>
      </c>
      <c r="F420" s="144">
        <v>0.72240000000000004</v>
      </c>
      <c r="G420" s="144">
        <v>1.0819000000000001</v>
      </c>
      <c r="I420" s="144">
        <v>1</v>
      </c>
      <c r="J420" s="145">
        <f t="shared" si="47"/>
        <v>42350</v>
      </c>
      <c r="K420" s="144">
        <f t="shared" ca="1" si="50"/>
        <v>0.98803652968036537</v>
      </c>
      <c r="L420" s="144">
        <f t="shared" ca="1" si="50"/>
        <v>0.65972602739726038</v>
      </c>
      <c r="M420" s="144">
        <f t="shared" ca="1" si="50"/>
        <v>121.47945205479454</v>
      </c>
      <c r="N420" s="144">
        <f t="shared" ca="1" si="50"/>
        <v>8.7109589041095905</v>
      </c>
      <c r="O420" s="144">
        <f t="shared" ca="1" si="50"/>
        <v>69.705936073059362</v>
      </c>
      <c r="P420" s="144">
        <f t="shared" ca="1" si="50"/>
        <v>1</v>
      </c>
      <c r="Q420" s="144">
        <f t="shared" ca="1" si="50"/>
        <v>0.91324200913242015</v>
      </c>
    </row>
    <row r="421" spans="1:17" x14ac:dyDescent="0.25">
      <c r="A421" s="145">
        <v>42349</v>
      </c>
      <c r="B421" s="144">
        <v>1.095</v>
      </c>
      <c r="C421" s="144">
        <v>76.328000000000003</v>
      </c>
      <c r="D421" s="144">
        <v>9.5385000000000009</v>
      </c>
      <c r="E421" s="144">
        <v>133.02000000000001</v>
      </c>
      <c r="F421" s="144">
        <v>0.72240000000000004</v>
      </c>
      <c r="G421" s="144">
        <v>1.0819000000000001</v>
      </c>
      <c r="I421" s="144">
        <v>1</v>
      </c>
      <c r="J421" s="145">
        <f t="shared" si="47"/>
        <v>42349</v>
      </c>
      <c r="K421" s="144">
        <f t="shared" ca="1" si="50"/>
        <v>0.98803652968036537</v>
      </c>
      <c r="L421" s="144">
        <f t="shared" ca="1" si="50"/>
        <v>0.65972602739726038</v>
      </c>
      <c r="M421" s="144">
        <f t="shared" ca="1" si="50"/>
        <v>121.47945205479454</v>
      </c>
      <c r="N421" s="144">
        <f t="shared" ca="1" si="50"/>
        <v>8.7109589041095905</v>
      </c>
      <c r="O421" s="144">
        <f t="shared" ca="1" si="50"/>
        <v>69.705936073059362</v>
      </c>
      <c r="P421" s="144">
        <f t="shared" ca="1" si="50"/>
        <v>1</v>
      </c>
      <c r="Q421" s="144">
        <f t="shared" ca="1" si="50"/>
        <v>0.91324200913242015</v>
      </c>
    </row>
    <row r="422" spans="1:17" x14ac:dyDescent="0.25">
      <c r="A422" s="145">
        <v>42348</v>
      </c>
      <c r="B422" s="144">
        <v>1.0943000000000001</v>
      </c>
      <c r="C422" s="144">
        <v>75.388499999999993</v>
      </c>
      <c r="D422" s="144">
        <v>9.4369999999999994</v>
      </c>
      <c r="E422" s="144">
        <v>132.97</v>
      </c>
      <c r="F422" s="144">
        <v>0.72350000000000003</v>
      </c>
      <c r="G422" s="144">
        <v>1.0806</v>
      </c>
      <c r="I422" s="144">
        <v>1</v>
      </c>
      <c r="J422" s="145">
        <f t="shared" si="47"/>
        <v>42348</v>
      </c>
      <c r="K422" s="144">
        <f t="shared" ca="1" si="50"/>
        <v>0.98748058119345694</v>
      </c>
      <c r="L422" s="144">
        <f t="shared" ca="1" si="50"/>
        <v>0.66115324865210634</v>
      </c>
      <c r="M422" s="144">
        <f t="shared" ca="1" si="50"/>
        <v>121.51146851868774</v>
      </c>
      <c r="N422" s="144">
        <f t="shared" ca="1" si="50"/>
        <v>8.6237777574705277</v>
      </c>
      <c r="O422" s="144">
        <f t="shared" ca="1" si="50"/>
        <v>68.891985744311427</v>
      </c>
      <c r="P422" s="144">
        <f t="shared" ca="1" si="50"/>
        <v>1</v>
      </c>
      <c r="Q422" s="144">
        <f t="shared" ca="1" si="50"/>
        <v>0.91382619025861278</v>
      </c>
    </row>
    <row r="423" spans="1:17" x14ac:dyDescent="0.25">
      <c r="A423" s="145">
        <v>42347</v>
      </c>
      <c r="B423" s="144">
        <v>1.0941000000000001</v>
      </c>
      <c r="C423" s="144">
        <v>75.944299999999998</v>
      </c>
      <c r="D423" s="144">
        <v>9.5370000000000008</v>
      </c>
      <c r="E423" s="144">
        <v>134.04</v>
      </c>
      <c r="F423" s="144">
        <v>0.72509999999999997</v>
      </c>
      <c r="G423" s="144">
        <v>1.083</v>
      </c>
      <c r="I423" s="144">
        <v>1</v>
      </c>
      <c r="J423" s="145">
        <f t="shared" si="47"/>
        <v>42347</v>
      </c>
      <c r="K423" s="144">
        <f t="shared" ca="1" si="50"/>
        <v>0.98985467507540437</v>
      </c>
      <c r="L423" s="144">
        <f t="shared" ca="1" si="50"/>
        <v>0.66273649574993143</v>
      </c>
      <c r="M423" s="144">
        <f t="shared" ca="1" si="50"/>
        <v>122.51165341376472</v>
      </c>
      <c r="N423" s="144">
        <f t="shared" ca="1" si="50"/>
        <v>8.7167534960241291</v>
      </c>
      <c r="O423" s="144">
        <f t="shared" ca="1" si="50"/>
        <v>69.412576546933551</v>
      </c>
      <c r="P423" s="144">
        <f t="shared" ca="1" si="50"/>
        <v>1</v>
      </c>
      <c r="Q423" s="144">
        <f t="shared" ca="1" si="50"/>
        <v>0.91399323645005026</v>
      </c>
    </row>
    <row r="424" spans="1:17" x14ac:dyDescent="0.25">
      <c r="A424" s="145">
        <v>42346</v>
      </c>
      <c r="B424" s="144">
        <v>1.0874999999999999</v>
      </c>
      <c r="C424" s="144">
        <v>75.92</v>
      </c>
      <c r="D424" s="144">
        <v>9.5675000000000008</v>
      </c>
      <c r="E424" s="144">
        <v>133.63999999999999</v>
      </c>
      <c r="F424" s="144">
        <v>0.72709999999999997</v>
      </c>
      <c r="G424" s="144">
        <v>1.0820000000000001</v>
      </c>
      <c r="I424" s="144">
        <v>1</v>
      </c>
      <c r="J424" s="145">
        <f t="shared" si="47"/>
        <v>42346</v>
      </c>
      <c r="K424" s="144">
        <f t="shared" ca="1" si="50"/>
        <v>0.99494252873563238</v>
      </c>
      <c r="L424" s="144">
        <f t="shared" ca="1" si="50"/>
        <v>0.66859770114942529</v>
      </c>
      <c r="M424" s="144">
        <f t="shared" ca="1" si="50"/>
        <v>122.88735632183908</v>
      </c>
      <c r="N424" s="144">
        <f t="shared" ca="1" si="50"/>
        <v>8.7977011494252881</v>
      </c>
      <c r="O424" s="144">
        <f t="shared" ca="1" si="50"/>
        <v>69.811494252873572</v>
      </c>
      <c r="P424" s="144">
        <f t="shared" ca="1" si="50"/>
        <v>1</v>
      </c>
      <c r="Q424" s="144">
        <f t="shared" ca="1" si="50"/>
        <v>0.91954022988505757</v>
      </c>
    </row>
    <row r="425" spans="1:17" x14ac:dyDescent="0.25">
      <c r="A425" s="145">
        <v>42345</v>
      </c>
      <c r="B425" s="144">
        <v>1.0809</v>
      </c>
      <c r="C425" s="144">
        <v>74.630600000000001</v>
      </c>
      <c r="D425" s="144">
        <v>9.3264999999999993</v>
      </c>
      <c r="E425" s="144">
        <v>133.4</v>
      </c>
      <c r="F425" s="144">
        <v>0.7177</v>
      </c>
      <c r="G425" s="144">
        <v>1.083</v>
      </c>
      <c r="I425" s="144">
        <v>1</v>
      </c>
      <c r="J425" s="145">
        <f t="shared" si="47"/>
        <v>42345</v>
      </c>
      <c r="K425" s="144">
        <f t="shared" ref="K425:Q434" ca="1" si="51">OFFSET($A425,0,K$3)/OFFSET($A425,0,$P$3)</f>
        <v>1.0019428254232583</v>
      </c>
      <c r="L425" s="144">
        <f t="shared" ca="1" si="51"/>
        <v>0.66398371727264316</v>
      </c>
      <c r="M425" s="144">
        <f t="shared" ca="1" si="51"/>
        <v>123.41567212508096</v>
      </c>
      <c r="N425" s="144">
        <f t="shared" ca="1" si="51"/>
        <v>8.6284577666759184</v>
      </c>
      <c r="O425" s="144">
        <f t="shared" ca="1" si="51"/>
        <v>69.044870015727639</v>
      </c>
      <c r="P425" s="144">
        <f t="shared" ca="1" si="51"/>
        <v>1</v>
      </c>
      <c r="Q425" s="144">
        <f t="shared" ca="1" si="51"/>
        <v>0.92515496345637893</v>
      </c>
    </row>
    <row r="426" spans="1:17" x14ac:dyDescent="0.25">
      <c r="A426" s="145">
        <v>42344</v>
      </c>
      <c r="B426" s="144">
        <v>1.0902000000000001</v>
      </c>
      <c r="C426" s="144">
        <v>73.610900000000001</v>
      </c>
      <c r="D426" s="144">
        <v>9.2494999999999994</v>
      </c>
      <c r="E426" s="144">
        <v>134.08000000000001</v>
      </c>
      <c r="F426" s="144">
        <v>0.72009999999999996</v>
      </c>
      <c r="G426" s="144">
        <v>1.0882000000000001</v>
      </c>
      <c r="I426" s="144">
        <v>1</v>
      </c>
      <c r="J426" s="145">
        <f t="shared" si="47"/>
        <v>42344</v>
      </c>
      <c r="K426" s="144">
        <f t="shared" ca="1" si="51"/>
        <v>0.99816547422491286</v>
      </c>
      <c r="L426" s="144">
        <f t="shared" ca="1" si="51"/>
        <v>0.6605210053201247</v>
      </c>
      <c r="M426" s="144">
        <f t="shared" ca="1" si="51"/>
        <v>122.98660796184187</v>
      </c>
      <c r="N426" s="144">
        <f t="shared" ca="1" si="51"/>
        <v>8.4842230783342494</v>
      </c>
      <c r="O426" s="144">
        <f t="shared" ca="1" si="51"/>
        <v>67.52054668868098</v>
      </c>
      <c r="P426" s="144">
        <f t="shared" ca="1" si="51"/>
        <v>1</v>
      </c>
      <c r="Q426" s="144">
        <f t="shared" ca="1" si="51"/>
        <v>0.91726288754356999</v>
      </c>
    </row>
    <row r="427" spans="1:17" x14ac:dyDescent="0.25">
      <c r="A427" s="145">
        <v>42343</v>
      </c>
      <c r="B427" s="144">
        <v>1.0902000000000001</v>
      </c>
      <c r="C427" s="144">
        <v>73.610900000000001</v>
      </c>
      <c r="D427" s="144">
        <v>9.2494999999999994</v>
      </c>
      <c r="E427" s="144">
        <v>134.08000000000001</v>
      </c>
      <c r="F427" s="144">
        <v>0.72009999999999996</v>
      </c>
      <c r="G427" s="144">
        <v>1.0882000000000001</v>
      </c>
      <c r="I427" s="144">
        <v>1</v>
      </c>
      <c r="J427" s="145">
        <f t="shared" si="47"/>
        <v>42343</v>
      </c>
      <c r="K427" s="144">
        <f t="shared" ca="1" si="51"/>
        <v>0.99816547422491286</v>
      </c>
      <c r="L427" s="144">
        <f t="shared" ca="1" si="51"/>
        <v>0.6605210053201247</v>
      </c>
      <c r="M427" s="144">
        <f t="shared" ca="1" si="51"/>
        <v>122.98660796184187</v>
      </c>
      <c r="N427" s="144">
        <f t="shared" ca="1" si="51"/>
        <v>8.4842230783342494</v>
      </c>
      <c r="O427" s="144">
        <f t="shared" ca="1" si="51"/>
        <v>67.52054668868098</v>
      </c>
      <c r="P427" s="144">
        <f t="shared" ca="1" si="51"/>
        <v>1</v>
      </c>
      <c r="Q427" s="144">
        <f t="shared" ca="1" si="51"/>
        <v>0.91726288754356999</v>
      </c>
    </row>
    <row r="428" spans="1:17" x14ac:dyDescent="0.25">
      <c r="A428" s="145">
        <v>42342</v>
      </c>
      <c r="B428" s="144">
        <v>1.0902000000000001</v>
      </c>
      <c r="C428" s="144">
        <v>73.610900000000001</v>
      </c>
      <c r="D428" s="144">
        <v>9.2494999999999994</v>
      </c>
      <c r="E428" s="144">
        <v>134.08000000000001</v>
      </c>
      <c r="F428" s="144">
        <v>0.72009999999999996</v>
      </c>
      <c r="G428" s="144">
        <v>1.0882000000000001</v>
      </c>
      <c r="I428" s="144">
        <v>1</v>
      </c>
      <c r="J428" s="145">
        <f t="shared" si="47"/>
        <v>42342</v>
      </c>
      <c r="K428" s="144">
        <f t="shared" ca="1" si="51"/>
        <v>0.99816547422491286</v>
      </c>
      <c r="L428" s="144">
        <f t="shared" ca="1" si="51"/>
        <v>0.6605210053201247</v>
      </c>
      <c r="M428" s="144">
        <f t="shared" ca="1" si="51"/>
        <v>122.98660796184187</v>
      </c>
      <c r="N428" s="144">
        <f t="shared" ca="1" si="51"/>
        <v>8.4842230783342494</v>
      </c>
      <c r="O428" s="144">
        <f t="shared" ca="1" si="51"/>
        <v>67.52054668868098</v>
      </c>
      <c r="P428" s="144">
        <f t="shared" ca="1" si="51"/>
        <v>1</v>
      </c>
      <c r="Q428" s="144">
        <f t="shared" ca="1" si="51"/>
        <v>0.91726288754356999</v>
      </c>
    </row>
    <row r="429" spans="1:17" x14ac:dyDescent="0.25">
      <c r="A429" s="145">
        <v>42341</v>
      </c>
      <c r="B429" s="144">
        <v>1.0670999999999999</v>
      </c>
      <c r="C429" s="144">
        <v>72.265199999999993</v>
      </c>
      <c r="D429" s="144">
        <v>9.1739999999999995</v>
      </c>
      <c r="E429" s="144">
        <v>131.58000000000001</v>
      </c>
      <c r="F429" s="144">
        <v>0.71220000000000006</v>
      </c>
      <c r="G429" s="144">
        <v>1.0840000000000001</v>
      </c>
      <c r="I429" s="144">
        <v>1</v>
      </c>
      <c r="J429" s="145">
        <f t="shared" si="47"/>
        <v>42341</v>
      </c>
      <c r="K429" s="144">
        <f t="shared" ca="1" si="51"/>
        <v>1.0158373160903384</v>
      </c>
      <c r="L429" s="144">
        <f t="shared" ca="1" si="51"/>
        <v>0.66741636210289579</v>
      </c>
      <c r="M429" s="144">
        <f t="shared" ca="1" si="51"/>
        <v>123.30615687377005</v>
      </c>
      <c r="N429" s="144">
        <f t="shared" ca="1" si="51"/>
        <v>8.5971324149564232</v>
      </c>
      <c r="O429" s="144">
        <f t="shared" ca="1" si="51"/>
        <v>67.721113297722795</v>
      </c>
      <c r="P429" s="144">
        <f t="shared" ca="1" si="51"/>
        <v>1</v>
      </c>
      <c r="Q429" s="144">
        <f t="shared" ca="1" si="51"/>
        <v>0.93711929528629001</v>
      </c>
    </row>
    <row r="430" spans="1:17" x14ac:dyDescent="0.25">
      <c r="A430" s="145">
        <v>42340</v>
      </c>
      <c r="B430" s="144">
        <v>1.0611999999999999</v>
      </c>
      <c r="C430" s="144">
        <v>71.058899999999994</v>
      </c>
      <c r="D430" s="144">
        <v>9.1404999999999994</v>
      </c>
      <c r="E430" s="144">
        <v>130.69999999999999</v>
      </c>
      <c r="F430" s="144">
        <v>0.70589999999999997</v>
      </c>
      <c r="G430" s="144">
        <v>1.0880000000000001</v>
      </c>
      <c r="I430" s="144">
        <v>1</v>
      </c>
      <c r="J430" s="145">
        <f t="shared" si="47"/>
        <v>42340</v>
      </c>
      <c r="K430" s="144">
        <f t="shared" ca="1" si="51"/>
        <v>1.0252544289483605</v>
      </c>
      <c r="L430" s="144">
        <f t="shared" ca="1" si="51"/>
        <v>0.66519035054655107</v>
      </c>
      <c r="M430" s="144">
        <f t="shared" ca="1" si="51"/>
        <v>123.16245759517527</v>
      </c>
      <c r="N430" s="144">
        <f t="shared" ca="1" si="51"/>
        <v>8.6133622314361098</v>
      </c>
      <c r="O430" s="144">
        <f t="shared" ca="1" si="51"/>
        <v>66.960893328307577</v>
      </c>
      <c r="P430" s="144">
        <f t="shared" ca="1" si="51"/>
        <v>1</v>
      </c>
      <c r="Q430" s="144">
        <f t="shared" ca="1" si="51"/>
        <v>0.94232943837165484</v>
      </c>
    </row>
    <row r="431" spans="1:17" x14ac:dyDescent="0.25">
      <c r="A431" s="145">
        <v>42339</v>
      </c>
      <c r="B431" s="144">
        <v>1.06</v>
      </c>
      <c r="C431" s="144">
        <v>70.713999999999999</v>
      </c>
      <c r="D431" s="144">
        <v>9.2014999999999993</v>
      </c>
      <c r="E431" s="144">
        <v>130.57</v>
      </c>
      <c r="F431" s="144">
        <v>0.7036</v>
      </c>
      <c r="G431" s="144">
        <v>1.0908</v>
      </c>
      <c r="I431" s="144">
        <v>1</v>
      </c>
      <c r="J431" s="145">
        <f t="shared" si="47"/>
        <v>42339</v>
      </c>
      <c r="K431" s="144">
        <f t="shared" ca="1" si="51"/>
        <v>1.0290566037735849</v>
      </c>
      <c r="L431" s="144">
        <f t="shared" ca="1" si="51"/>
        <v>0.6637735849056603</v>
      </c>
      <c r="M431" s="144">
        <f t="shared" ca="1" si="51"/>
        <v>123.17924528301886</v>
      </c>
      <c r="N431" s="144">
        <f t="shared" ca="1" si="51"/>
        <v>8.6806603773584889</v>
      </c>
      <c r="O431" s="144">
        <f t="shared" ca="1" si="51"/>
        <v>66.711320754716979</v>
      </c>
      <c r="P431" s="144">
        <f t="shared" ca="1" si="51"/>
        <v>1</v>
      </c>
      <c r="Q431" s="144">
        <f t="shared" ca="1" si="51"/>
        <v>0.94339622641509424</v>
      </c>
    </row>
    <row r="432" spans="1:17" x14ac:dyDescent="0.25">
      <c r="A432" s="145">
        <v>42338</v>
      </c>
      <c r="B432" s="144">
        <v>1.0579000000000001</v>
      </c>
      <c r="C432" s="144">
        <v>69.985399999999998</v>
      </c>
      <c r="D432" s="144">
        <v>9.1935000000000002</v>
      </c>
      <c r="E432" s="144">
        <v>130.22</v>
      </c>
      <c r="F432" s="144">
        <v>0.70479999999999998</v>
      </c>
      <c r="G432" s="144">
        <v>1.0903</v>
      </c>
      <c r="I432" s="144">
        <v>1</v>
      </c>
      <c r="J432" s="145">
        <f t="shared" si="47"/>
        <v>42338</v>
      </c>
      <c r="K432" s="144">
        <f t="shared" ca="1" si="51"/>
        <v>1.0306267132999338</v>
      </c>
      <c r="L432" s="144">
        <f t="shared" ca="1" si="51"/>
        <v>0.66622554116646182</v>
      </c>
      <c r="M432" s="144">
        <f t="shared" ca="1" si="51"/>
        <v>123.09291993572171</v>
      </c>
      <c r="N432" s="144">
        <f t="shared" ca="1" si="51"/>
        <v>8.6903298988562234</v>
      </c>
      <c r="O432" s="144">
        <f t="shared" ca="1" si="51"/>
        <v>66.155024104357679</v>
      </c>
      <c r="P432" s="144">
        <f t="shared" ca="1" si="51"/>
        <v>1</v>
      </c>
      <c r="Q432" s="144">
        <f t="shared" ca="1" si="51"/>
        <v>0.94526892901030335</v>
      </c>
    </row>
    <row r="433" spans="1:17" x14ac:dyDescent="0.25">
      <c r="A433" s="145">
        <v>42337</v>
      </c>
      <c r="B433" s="144">
        <v>1.0580000000000001</v>
      </c>
      <c r="C433" s="144">
        <v>69.994500000000002</v>
      </c>
      <c r="D433" s="144">
        <v>9.1884999999999994</v>
      </c>
      <c r="E433" s="144">
        <v>129.75</v>
      </c>
      <c r="F433" s="144">
        <v>0.70289999999999997</v>
      </c>
      <c r="G433" s="144">
        <v>1.0900000000000001</v>
      </c>
      <c r="I433" s="144">
        <v>1</v>
      </c>
      <c r="J433" s="145">
        <f t="shared" si="47"/>
        <v>42337</v>
      </c>
      <c r="K433" s="144">
        <f t="shared" ca="1" si="51"/>
        <v>1.0302457466918715</v>
      </c>
      <c r="L433" s="144">
        <f t="shared" ca="1" si="51"/>
        <v>0.66436672967863886</v>
      </c>
      <c r="M433" s="144">
        <f t="shared" ca="1" si="51"/>
        <v>122.63705103969754</v>
      </c>
      <c r="N433" s="144">
        <f t="shared" ca="1" si="51"/>
        <v>8.6847826086956506</v>
      </c>
      <c r="O433" s="144">
        <f t="shared" ca="1" si="51"/>
        <v>66.157372400756145</v>
      </c>
      <c r="P433" s="144">
        <f t="shared" ca="1" si="51"/>
        <v>1</v>
      </c>
      <c r="Q433" s="144">
        <f t="shared" ca="1" si="51"/>
        <v>0.94517958412098291</v>
      </c>
    </row>
    <row r="434" spans="1:17" x14ac:dyDescent="0.25">
      <c r="A434" s="145">
        <v>42336</v>
      </c>
      <c r="B434" s="144">
        <v>1.0580000000000001</v>
      </c>
      <c r="C434" s="144">
        <v>69.994500000000002</v>
      </c>
      <c r="D434" s="144">
        <v>9.1884999999999994</v>
      </c>
      <c r="E434" s="144">
        <v>129.75</v>
      </c>
      <c r="F434" s="144">
        <v>0.70289999999999997</v>
      </c>
      <c r="G434" s="144">
        <v>1.0900000000000001</v>
      </c>
      <c r="I434" s="144">
        <v>1</v>
      </c>
      <c r="J434" s="145">
        <f t="shared" si="47"/>
        <v>42336</v>
      </c>
      <c r="K434" s="144">
        <f t="shared" ca="1" si="51"/>
        <v>1.0302457466918715</v>
      </c>
      <c r="L434" s="144">
        <f t="shared" ca="1" si="51"/>
        <v>0.66436672967863886</v>
      </c>
      <c r="M434" s="144">
        <f t="shared" ca="1" si="51"/>
        <v>122.63705103969754</v>
      </c>
      <c r="N434" s="144">
        <f t="shared" ca="1" si="51"/>
        <v>8.6847826086956506</v>
      </c>
      <c r="O434" s="144">
        <f t="shared" ca="1" si="51"/>
        <v>66.157372400756145</v>
      </c>
      <c r="P434" s="144">
        <f t="shared" ca="1" si="51"/>
        <v>1</v>
      </c>
      <c r="Q434" s="144">
        <f t="shared" ca="1" si="51"/>
        <v>0.94517958412098291</v>
      </c>
    </row>
    <row r="435" spans="1:17" x14ac:dyDescent="0.25">
      <c r="A435" s="145">
        <v>42335</v>
      </c>
      <c r="B435" s="144">
        <v>1.0580000000000001</v>
      </c>
      <c r="C435" s="144">
        <v>69.994500000000002</v>
      </c>
      <c r="D435" s="144">
        <v>9.1884999999999994</v>
      </c>
      <c r="E435" s="144">
        <v>129.75</v>
      </c>
      <c r="F435" s="144">
        <v>0.70289999999999997</v>
      </c>
      <c r="G435" s="144">
        <v>1.0900000000000001</v>
      </c>
      <c r="I435" s="144">
        <v>1</v>
      </c>
      <c r="J435" s="145">
        <f t="shared" si="47"/>
        <v>42335</v>
      </c>
      <c r="K435" s="144">
        <f t="shared" ref="K435:Q444" ca="1" si="52">OFFSET($A435,0,K$3)/OFFSET($A435,0,$P$3)</f>
        <v>1.0302457466918715</v>
      </c>
      <c r="L435" s="144">
        <f t="shared" ca="1" si="52"/>
        <v>0.66436672967863886</v>
      </c>
      <c r="M435" s="144">
        <f t="shared" ca="1" si="52"/>
        <v>122.63705103969754</v>
      </c>
      <c r="N435" s="144">
        <f t="shared" ca="1" si="52"/>
        <v>8.6847826086956506</v>
      </c>
      <c r="O435" s="144">
        <f t="shared" ca="1" si="52"/>
        <v>66.157372400756145</v>
      </c>
      <c r="P435" s="144">
        <f t="shared" ca="1" si="52"/>
        <v>1</v>
      </c>
      <c r="Q435" s="144">
        <f t="shared" ca="1" si="52"/>
        <v>0.94517958412098291</v>
      </c>
    </row>
    <row r="436" spans="1:17" x14ac:dyDescent="0.25">
      <c r="A436" s="145">
        <v>42334</v>
      </c>
      <c r="B436" s="144">
        <v>1.0611999999999999</v>
      </c>
      <c r="C436" s="144">
        <v>69.953699999999998</v>
      </c>
      <c r="D436" s="144">
        <v>9.1929999999999996</v>
      </c>
      <c r="E436" s="144">
        <v>130.06</v>
      </c>
      <c r="F436" s="144">
        <v>0.70279999999999998</v>
      </c>
      <c r="G436" s="144">
        <v>1.0868</v>
      </c>
      <c r="I436" s="144">
        <v>1</v>
      </c>
      <c r="J436" s="145">
        <f t="shared" si="47"/>
        <v>42334</v>
      </c>
      <c r="K436" s="144">
        <f t="shared" ca="1" si="52"/>
        <v>1.0241236336223145</v>
      </c>
      <c r="L436" s="144">
        <f t="shared" ca="1" si="52"/>
        <v>0.66226912928759896</v>
      </c>
      <c r="M436" s="144">
        <f t="shared" ca="1" si="52"/>
        <v>122.55936675461743</v>
      </c>
      <c r="N436" s="144">
        <f t="shared" ca="1" si="52"/>
        <v>8.6628345269506219</v>
      </c>
      <c r="O436" s="144">
        <f t="shared" ca="1" si="52"/>
        <v>65.91943083301922</v>
      </c>
      <c r="P436" s="144">
        <f t="shared" ca="1" si="52"/>
        <v>1</v>
      </c>
      <c r="Q436" s="144">
        <f t="shared" ca="1" si="52"/>
        <v>0.94232943837165484</v>
      </c>
    </row>
    <row r="437" spans="1:17" x14ac:dyDescent="0.25">
      <c r="A437" s="145">
        <v>42333</v>
      </c>
      <c r="B437" s="144">
        <v>1.0586</v>
      </c>
      <c r="C437" s="144">
        <v>69.733900000000006</v>
      </c>
      <c r="D437" s="144">
        <v>9.1809999999999992</v>
      </c>
      <c r="E437" s="144">
        <v>129.94</v>
      </c>
      <c r="F437" s="144">
        <v>0.70174999999999998</v>
      </c>
      <c r="G437" s="144">
        <v>1.0820000000000001</v>
      </c>
      <c r="I437" s="144">
        <v>1</v>
      </c>
      <c r="J437" s="145">
        <f t="shared" si="47"/>
        <v>42333</v>
      </c>
      <c r="K437" s="144">
        <f t="shared" ca="1" si="52"/>
        <v>1.0221046665407143</v>
      </c>
      <c r="L437" s="144">
        <f t="shared" ca="1" si="52"/>
        <v>0.66290383525410923</v>
      </c>
      <c r="M437" s="144">
        <f t="shared" ca="1" si="52"/>
        <v>122.74702437181183</v>
      </c>
      <c r="N437" s="144">
        <f t="shared" ca="1" si="52"/>
        <v>8.6727753636878884</v>
      </c>
      <c r="O437" s="144">
        <f t="shared" ca="1" si="52"/>
        <v>65.873701114679776</v>
      </c>
      <c r="P437" s="144">
        <f t="shared" ca="1" si="52"/>
        <v>1</v>
      </c>
      <c r="Q437" s="144">
        <f t="shared" ca="1" si="52"/>
        <v>0.94464386926128852</v>
      </c>
    </row>
    <row r="438" spans="1:17" x14ac:dyDescent="0.25">
      <c r="A438" s="145">
        <v>42332</v>
      </c>
      <c r="B438" s="144">
        <v>1.0650999999999999</v>
      </c>
      <c r="C438" s="144">
        <v>70.446700000000007</v>
      </c>
      <c r="D438" s="144">
        <v>9.2089999999999996</v>
      </c>
      <c r="E438" s="144">
        <v>130.52000000000001</v>
      </c>
      <c r="F438" s="144">
        <v>0.70620000000000005</v>
      </c>
      <c r="G438" s="144">
        <v>1.0831999999999999</v>
      </c>
      <c r="I438" s="144">
        <v>1</v>
      </c>
      <c r="J438" s="145">
        <f t="shared" si="47"/>
        <v>42332</v>
      </c>
      <c r="K438" s="144">
        <f t="shared" ca="1" si="52"/>
        <v>1.0169937095108441</v>
      </c>
      <c r="L438" s="144">
        <f t="shared" ca="1" si="52"/>
        <v>0.66303633461646805</v>
      </c>
      <c r="M438" s="144">
        <f t="shared" ca="1" si="52"/>
        <v>122.54248427377712</v>
      </c>
      <c r="N438" s="144">
        <f t="shared" ca="1" si="52"/>
        <v>8.6461365130034746</v>
      </c>
      <c r="O438" s="144">
        <f t="shared" ca="1" si="52"/>
        <v>66.140925734672805</v>
      </c>
      <c r="P438" s="144">
        <f t="shared" ca="1" si="52"/>
        <v>1</v>
      </c>
      <c r="Q438" s="144">
        <f t="shared" ca="1" si="52"/>
        <v>0.9388789784996715</v>
      </c>
    </row>
    <row r="439" spans="1:17" x14ac:dyDescent="0.25">
      <c r="A439" s="145">
        <v>42331</v>
      </c>
      <c r="B439" s="144">
        <v>1.0630999999999999</v>
      </c>
      <c r="C439" s="144">
        <v>69.638199999999998</v>
      </c>
      <c r="D439" s="144">
        <v>9.1754999999999995</v>
      </c>
      <c r="E439" s="144">
        <v>130.91999999999999</v>
      </c>
      <c r="F439" s="144">
        <v>0.70250000000000001</v>
      </c>
      <c r="G439" s="144">
        <v>1.0848</v>
      </c>
      <c r="I439" s="144">
        <v>1</v>
      </c>
      <c r="J439" s="145">
        <f t="shared" si="47"/>
        <v>42331</v>
      </c>
      <c r="K439" s="144">
        <f t="shared" ca="1" si="52"/>
        <v>1.0204120026338068</v>
      </c>
      <c r="L439" s="144">
        <f t="shared" ca="1" si="52"/>
        <v>0.66080331107139501</v>
      </c>
      <c r="M439" s="144">
        <f t="shared" ca="1" si="52"/>
        <v>123.14928040635876</v>
      </c>
      <c r="N439" s="144">
        <f t="shared" ca="1" si="52"/>
        <v>8.6308907910826829</v>
      </c>
      <c r="O439" s="144">
        <f t="shared" ca="1" si="52"/>
        <v>65.504844323205717</v>
      </c>
      <c r="P439" s="144">
        <f t="shared" ca="1" si="52"/>
        <v>1</v>
      </c>
      <c r="Q439" s="144">
        <f t="shared" ca="1" si="52"/>
        <v>0.94064528266390746</v>
      </c>
    </row>
    <row r="440" spans="1:17" x14ac:dyDescent="0.25">
      <c r="A440" s="145">
        <v>42330</v>
      </c>
      <c r="B440" s="144">
        <v>1.0688</v>
      </c>
      <c r="C440" s="144">
        <v>69.3309</v>
      </c>
      <c r="D440" s="144">
        <v>9.2035</v>
      </c>
      <c r="E440" s="144">
        <v>131.28</v>
      </c>
      <c r="F440" s="144">
        <v>0.70099999999999996</v>
      </c>
      <c r="G440" s="144">
        <v>1.0844</v>
      </c>
      <c r="I440" s="144">
        <v>1</v>
      </c>
      <c r="J440" s="145">
        <f t="shared" si="47"/>
        <v>42330</v>
      </c>
      <c r="K440" s="144">
        <f t="shared" ca="1" si="52"/>
        <v>1.0145958083832336</v>
      </c>
      <c r="L440" s="144">
        <f t="shared" ca="1" si="52"/>
        <v>0.65587574850299402</v>
      </c>
      <c r="M440" s="144">
        <f t="shared" ca="1" si="52"/>
        <v>122.82934131736528</v>
      </c>
      <c r="N440" s="144">
        <f t="shared" ca="1" si="52"/>
        <v>8.6110591317365266</v>
      </c>
      <c r="O440" s="144">
        <f t="shared" ca="1" si="52"/>
        <v>64.867982784431135</v>
      </c>
      <c r="P440" s="144">
        <f t="shared" ca="1" si="52"/>
        <v>1</v>
      </c>
      <c r="Q440" s="144">
        <f t="shared" ca="1" si="52"/>
        <v>0.93562874251497008</v>
      </c>
    </row>
    <row r="441" spans="1:17" x14ac:dyDescent="0.25">
      <c r="A441" s="145">
        <v>42329</v>
      </c>
      <c r="B441" s="144">
        <v>1.0688</v>
      </c>
      <c r="C441" s="144">
        <v>69.3309</v>
      </c>
      <c r="D441" s="144">
        <v>9.2035</v>
      </c>
      <c r="E441" s="144">
        <v>131.28</v>
      </c>
      <c r="F441" s="144">
        <v>0.70099999999999996</v>
      </c>
      <c r="G441" s="144">
        <v>1.0844</v>
      </c>
      <c r="I441" s="144">
        <v>1</v>
      </c>
      <c r="J441" s="145">
        <f t="shared" si="47"/>
        <v>42329</v>
      </c>
      <c r="K441" s="144">
        <f t="shared" ca="1" si="52"/>
        <v>1.0145958083832336</v>
      </c>
      <c r="L441" s="144">
        <f t="shared" ca="1" si="52"/>
        <v>0.65587574850299402</v>
      </c>
      <c r="M441" s="144">
        <f t="shared" ca="1" si="52"/>
        <v>122.82934131736528</v>
      </c>
      <c r="N441" s="144">
        <f t="shared" ca="1" si="52"/>
        <v>8.6110591317365266</v>
      </c>
      <c r="O441" s="144">
        <f t="shared" ca="1" si="52"/>
        <v>64.867982784431135</v>
      </c>
      <c r="P441" s="144">
        <f t="shared" ca="1" si="52"/>
        <v>1</v>
      </c>
      <c r="Q441" s="144">
        <f t="shared" ca="1" si="52"/>
        <v>0.93562874251497008</v>
      </c>
    </row>
    <row r="442" spans="1:17" x14ac:dyDescent="0.25">
      <c r="A442" s="145">
        <v>42328</v>
      </c>
      <c r="B442" s="144">
        <v>1.0688</v>
      </c>
      <c r="C442" s="144">
        <v>69.3309</v>
      </c>
      <c r="D442" s="144">
        <v>9.2035</v>
      </c>
      <c r="E442" s="144">
        <v>131.28</v>
      </c>
      <c r="F442" s="144">
        <v>0.70099999999999996</v>
      </c>
      <c r="G442" s="144">
        <v>1.0844</v>
      </c>
      <c r="I442" s="144">
        <v>1</v>
      </c>
      <c r="J442" s="145">
        <f t="shared" si="47"/>
        <v>42328</v>
      </c>
      <c r="K442" s="144">
        <f t="shared" ca="1" si="52"/>
        <v>1.0145958083832336</v>
      </c>
      <c r="L442" s="144">
        <f t="shared" ca="1" si="52"/>
        <v>0.65587574850299402</v>
      </c>
      <c r="M442" s="144">
        <f t="shared" ca="1" si="52"/>
        <v>122.82934131736528</v>
      </c>
      <c r="N442" s="144">
        <f t="shared" ca="1" si="52"/>
        <v>8.6110591317365266</v>
      </c>
      <c r="O442" s="144">
        <f t="shared" ca="1" si="52"/>
        <v>64.867982784431135</v>
      </c>
      <c r="P442" s="144">
        <f t="shared" ca="1" si="52"/>
        <v>1</v>
      </c>
      <c r="Q442" s="144">
        <f t="shared" ca="1" si="52"/>
        <v>0.93562874251497008</v>
      </c>
    </row>
    <row r="443" spans="1:17" x14ac:dyDescent="0.25">
      <c r="A443" s="145">
        <v>42327</v>
      </c>
      <c r="B443" s="144">
        <v>1.0687</v>
      </c>
      <c r="C443" s="144">
        <v>69.408600000000007</v>
      </c>
      <c r="D443" s="144">
        <v>9.2555999999999994</v>
      </c>
      <c r="E443" s="144">
        <v>131.6</v>
      </c>
      <c r="F443" s="144">
        <v>0.69979999999999998</v>
      </c>
      <c r="G443" s="144">
        <v>1.0892999999999999</v>
      </c>
      <c r="I443" s="144">
        <v>1</v>
      </c>
      <c r="J443" s="145">
        <f t="shared" si="47"/>
        <v>42327</v>
      </c>
      <c r="K443" s="144">
        <f t="shared" ca="1" si="52"/>
        <v>1.0192757555909049</v>
      </c>
      <c r="L443" s="144">
        <f t="shared" ca="1" si="52"/>
        <v>0.6548142603162721</v>
      </c>
      <c r="M443" s="144">
        <f t="shared" ca="1" si="52"/>
        <v>123.14026387199401</v>
      </c>
      <c r="N443" s="144">
        <f t="shared" ca="1" si="52"/>
        <v>8.6606157013193599</v>
      </c>
      <c r="O443" s="144">
        <f t="shared" ca="1" si="52"/>
        <v>64.946757743052316</v>
      </c>
      <c r="P443" s="144">
        <f t="shared" ca="1" si="52"/>
        <v>1</v>
      </c>
      <c r="Q443" s="144">
        <f t="shared" ca="1" si="52"/>
        <v>0.93571629082062324</v>
      </c>
    </row>
    <row r="444" spans="1:17" x14ac:dyDescent="0.25">
      <c r="A444" s="145">
        <v>42326</v>
      </c>
      <c r="B444" s="144">
        <v>1.0666</v>
      </c>
      <c r="C444" s="144">
        <v>69.369600000000005</v>
      </c>
      <c r="D444" s="144">
        <v>9.2334999999999994</v>
      </c>
      <c r="E444" s="144">
        <v>131.65</v>
      </c>
      <c r="F444" s="144">
        <v>0.70089999999999997</v>
      </c>
      <c r="G444" s="144">
        <v>1.0838000000000001</v>
      </c>
      <c r="I444" s="144">
        <v>1</v>
      </c>
      <c r="J444" s="145">
        <f t="shared" si="47"/>
        <v>42326</v>
      </c>
      <c r="K444" s="144">
        <f t="shared" ca="1" si="52"/>
        <v>1.0161260078754923</v>
      </c>
      <c r="L444" s="144">
        <f t="shared" ca="1" si="52"/>
        <v>0.65713482092630782</v>
      </c>
      <c r="M444" s="144">
        <f t="shared" ca="1" si="52"/>
        <v>123.42958934933434</v>
      </c>
      <c r="N444" s="144">
        <f t="shared" ca="1" si="52"/>
        <v>8.6569473092068243</v>
      </c>
      <c r="O444" s="144">
        <f t="shared" ca="1" si="52"/>
        <v>65.038064879054943</v>
      </c>
      <c r="P444" s="144">
        <f t="shared" ca="1" si="52"/>
        <v>1</v>
      </c>
      <c r="Q444" s="144">
        <f t="shared" ca="1" si="52"/>
        <v>0.93755859741233827</v>
      </c>
    </row>
    <row r="445" spans="1:17" x14ac:dyDescent="0.25">
      <c r="A445" s="145">
        <v>42325</v>
      </c>
      <c r="B445" s="144">
        <v>1.0669999999999999</v>
      </c>
      <c r="C445" s="144">
        <v>69.870999999999995</v>
      </c>
      <c r="D445" s="144">
        <v>9.2370000000000001</v>
      </c>
      <c r="E445" s="144">
        <v>131.49</v>
      </c>
      <c r="F445" s="144">
        <v>0.70169999999999999</v>
      </c>
      <c r="G445" s="144">
        <v>1.0806</v>
      </c>
      <c r="I445" s="144">
        <v>1</v>
      </c>
      <c r="J445" s="145">
        <f t="shared" si="47"/>
        <v>42325</v>
      </c>
      <c r="K445" s="144">
        <f t="shared" ref="K445:Q454" ca="1" si="53">OFFSET($A445,0,K$3)/OFFSET($A445,0,$P$3)</f>
        <v>1.0127460168697282</v>
      </c>
      <c r="L445" s="144">
        <f t="shared" ca="1" si="53"/>
        <v>0.65763823805060917</v>
      </c>
      <c r="M445" s="144">
        <f t="shared" ca="1" si="53"/>
        <v>123.23336457357077</v>
      </c>
      <c r="N445" s="144">
        <f t="shared" ca="1" si="53"/>
        <v>8.6569821930646675</v>
      </c>
      <c r="O445" s="144">
        <f t="shared" ca="1" si="53"/>
        <v>65.483598875351447</v>
      </c>
      <c r="P445" s="144">
        <f t="shared" ca="1" si="53"/>
        <v>1</v>
      </c>
      <c r="Q445" s="144">
        <f t="shared" ca="1" si="53"/>
        <v>0.93720712277413309</v>
      </c>
    </row>
    <row r="446" spans="1:17" x14ac:dyDescent="0.25">
      <c r="A446" s="145">
        <v>42324</v>
      </c>
      <c r="B446" s="144">
        <v>1.0723</v>
      </c>
      <c r="C446" s="144">
        <v>70.784999999999997</v>
      </c>
      <c r="D446" s="144">
        <v>9.3049999999999997</v>
      </c>
      <c r="E446" s="144">
        <v>132.01</v>
      </c>
      <c r="F446" s="144">
        <v>0.70579999999999998</v>
      </c>
      <c r="G446" s="144">
        <v>1.0790999999999999</v>
      </c>
      <c r="I446" s="144">
        <v>1</v>
      </c>
      <c r="J446" s="145">
        <f t="shared" si="47"/>
        <v>42324</v>
      </c>
      <c r="K446" s="144">
        <f t="shared" ca="1" si="53"/>
        <v>1.0063415089060896</v>
      </c>
      <c r="L446" s="144">
        <f t="shared" ca="1" si="53"/>
        <v>0.65821132145854699</v>
      </c>
      <c r="M446" s="144">
        <f t="shared" ca="1" si="53"/>
        <v>123.10920451366221</v>
      </c>
      <c r="N446" s="144">
        <f t="shared" ca="1" si="53"/>
        <v>8.6776088781124674</v>
      </c>
      <c r="O446" s="144">
        <f t="shared" ca="1" si="53"/>
        <v>66.01230998787652</v>
      </c>
      <c r="P446" s="144">
        <f t="shared" ca="1" si="53"/>
        <v>1</v>
      </c>
      <c r="Q446" s="144">
        <f t="shared" ca="1" si="53"/>
        <v>0.93257483913084027</v>
      </c>
    </row>
    <row r="447" spans="1:17" x14ac:dyDescent="0.25">
      <c r="A447" s="145">
        <v>42323</v>
      </c>
      <c r="B447" s="144">
        <v>1.0764</v>
      </c>
      <c r="C447" s="144">
        <v>71.714299999999994</v>
      </c>
      <c r="D447" s="144">
        <v>9.3320000000000007</v>
      </c>
      <c r="E447" s="144">
        <v>132.04</v>
      </c>
      <c r="F447" s="144">
        <v>0.70704999999999996</v>
      </c>
      <c r="G447" s="144">
        <v>1.0786</v>
      </c>
      <c r="I447" s="144">
        <v>1</v>
      </c>
      <c r="J447" s="145">
        <f t="shared" si="47"/>
        <v>42323</v>
      </c>
      <c r="K447" s="144">
        <f t="shared" ca="1" si="53"/>
        <v>1.0020438498699369</v>
      </c>
      <c r="L447" s="144">
        <f t="shared" ca="1" si="53"/>
        <v>0.65686547751765134</v>
      </c>
      <c r="M447" s="144">
        <f t="shared" ca="1" si="53"/>
        <v>122.6681531029357</v>
      </c>
      <c r="N447" s="144">
        <f t="shared" ca="1" si="53"/>
        <v>8.6696395392047574</v>
      </c>
      <c r="O447" s="144">
        <f t="shared" ca="1" si="53"/>
        <v>66.624210330732069</v>
      </c>
      <c r="P447" s="144">
        <f t="shared" ca="1" si="53"/>
        <v>1</v>
      </c>
      <c r="Q447" s="144">
        <f t="shared" ca="1" si="53"/>
        <v>0.92902266815310297</v>
      </c>
    </row>
    <row r="448" spans="1:17" x14ac:dyDescent="0.25">
      <c r="A448" s="145">
        <v>42322</v>
      </c>
      <c r="B448" s="144">
        <v>1.0764</v>
      </c>
      <c r="C448" s="144">
        <v>71.714299999999994</v>
      </c>
      <c r="D448" s="144">
        <v>9.3320000000000007</v>
      </c>
      <c r="E448" s="144">
        <v>132.04</v>
      </c>
      <c r="F448" s="144">
        <v>0.70704999999999996</v>
      </c>
      <c r="G448" s="144">
        <v>1.0786</v>
      </c>
      <c r="I448" s="144">
        <v>1</v>
      </c>
      <c r="J448" s="145">
        <f t="shared" si="47"/>
        <v>42322</v>
      </c>
      <c r="K448" s="144">
        <f t="shared" ca="1" si="53"/>
        <v>1.0020438498699369</v>
      </c>
      <c r="L448" s="144">
        <f t="shared" ca="1" si="53"/>
        <v>0.65686547751765134</v>
      </c>
      <c r="M448" s="144">
        <f t="shared" ca="1" si="53"/>
        <v>122.6681531029357</v>
      </c>
      <c r="N448" s="144">
        <f t="shared" ca="1" si="53"/>
        <v>8.6696395392047574</v>
      </c>
      <c r="O448" s="144">
        <f t="shared" ca="1" si="53"/>
        <v>66.624210330732069</v>
      </c>
      <c r="P448" s="144">
        <f t="shared" ca="1" si="53"/>
        <v>1</v>
      </c>
      <c r="Q448" s="144">
        <f t="shared" ca="1" si="53"/>
        <v>0.92902266815310297</v>
      </c>
    </row>
    <row r="449" spans="1:17" x14ac:dyDescent="0.25">
      <c r="A449" s="145">
        <v>42321</v>
      </c>
      <c r="B449" s="144">
        <v>1.0764</v>
      </c>
      <c r="C449" s="144">
        <v>71.714299999999994</v>
      </c>
      <c r="D449" s="144">
        <v>9.3320000000000007</v>
      </c>
      <c r="E449" s="144">
        <v>132.04</v>
      </c>
      <c r="F449" s="144">
        <v>0.70704999999999996</v>
      </c>
      <c r="G449" s="144">
        <v>1.0786</v>
      </c>
      <c r="I449" s="144">
        <v>1</v>
      </c>
      <c r="J449" s="145">
        <f t="shared" si="47"/>
        <v>42321</v>
      </c>
      <c r="K449" s="144">
        <f t="shared" ca="1" si="53"/>
        <v>1.0020438498699369</v>
      </c>
      <c r="L449" s="144">
        <f t="shared" ca="1" si="53"/>
        <v>0.65686547751765134</v>
      </c>
      <c r="M449" s="144">
        <f t="shared" ca="1" si="53"/>
        <v>122.6681531029357</v>
      </c>
      <c r="N449" s="144">
        <f t="shared" ca="1" si="53"/>
        <v>8.6696395392047574</v>
      </c>
      <c r="O449" s="144">
        <f t="shared" ca="1" si="53"/>
        <v>66.624210330732069</v>
      </c>
      <c r="P449" s="144">
        <f t="shared" ca="1" si="53"/>
        <v>1</v>
      </c>
      <c r="Q449" s="144">
        <f t="shared" ca="1" si="53"/>
        <v>0.92902266815310297</v>
      </c>
    </row>
    <row r="450" spans="1:17" x14ac:dyDescent="0.25">
      <c r="A450" s="145">
        <v>42320</v>
      </c>
      <c r="B450" s="144">
        <v>1.0726</v>
      </c>
      <c r="C450" s="144">
        <v>70.923000000000002</v>
      </c>
      <c r="D450" s="144">
        <v>9.3239999999999998</v>
      </c>
      <c r="E450" s="144">
        <v>131.91999999999999</v>
      </c>
      <c r="F450" s="144">
        <v>0.70640000000000003</v>
      </c>
      <c r="G450" s="144">
        <v>1.0769</v>
      </c>
      <c r="I450" s="144">
        <v>1</v>
      </c>
      <c r="J450" s="145">
        <f t="shared" si="47"/>
        <v>42320</v>
      </c>
      <c r="K450" s="144">
        <f t="shared" ca="1" si="53"/>
        <v>1.0040089502144323</v>
      </c>
      <c r="L450" s="144">
        <f t="shared" ca="1" si="53"/>
        <v>0.65858661197091184</v>
      </c>
      <c r="M450" s="144">
        <f t="shared" ca="1" si="53"/>
        <v>122.9908633227671</v>
      </c>
      <c r="N450" s="144">
        <f t="shared" ca="1" si="53"/>
        <v>8.6928957672944254</v>
      </c>
      <c r="O450" s="144">
        <f t="shared" ca="1" si="53"/>
        <v>66.122506060041019</v>
      </c>
      <c r="P450" s="144">
        <f t="shared" ca="1" si="53"/>
        <v>1</v>
      </c>
      <c r="Q450" s="144">
        <f t="shared" ca="1" si="53"/>
        <v>0.93231400335633041</v>
      </c>
    </row>
    <row r="451" spans="1:17" x14ac:dyDescent="0.25">
      <c r="A451" s="145">
        <v>42319</v>
      </c>
      <c r="B451" s="144">
        <v>1.0716000000000001</v>
      </c>
      <c r="C451" s="144">
        <v>69.085999999999999</v>
      </c>
      <c r="D451" s="144">
        <v>9.2230000000000008</v>
      </c>
      <c r="E451" s="144">
        <v>131.9</v>
      </c>
      <c r="F451" s="144">
        <v>0.70599999999999996</v>
      </c>
      <c r="G451" s="144">
        <v>1.0783</v>
      </c>
      <c r="I451" s="144">
        <v>1</v>
      </c>
      <c r="J451" s="145">
        <f t="shared" si="47"/>
        <v>42319</v>
      </c>
      <c r="K451" s="144">
        <f t="shared" ca="1" si="53"/>
        <v>1.0062523329600597</v>
      </c>
      <c r="L451" s="144">
        <f t="shared" ca="1" si="53"/>
        <v>0.65882792086599462</v>
      </c>
      <c r="M451" s="144">
        <f t="shared" ca="1" si="53"/>
        <v>123.08697275102649</v>
      </c>
      <c r="N451" s="144">
        <f t="shared" ca="1" si="53"/>
        <v>8.6067562523329606</v>
      </c>
      <c r="O451" s="144">
        <f t="shared" ca="1" si="53"/>
        <v>64.469951474430744</v>
      </c>
      <c r="P451" s="144">
        <f t="shared" ca="1" si="53"/>
        <v>1</v>
      </c>
      <c r="Q451" s="144">
        <f t="shared" ca="1" si="53"/>
        <v>0.93318402388951094</v>
      </c>
    </row>
    <row r="452" spans="1:17" x14ac:dyDescent="0.25">
      <c r="A452" s="145">
        <v>42318</v>
      </c>
      <c r="B452" s="144">
        <v>1.0710999999999999</v>
      </c>
      <c r="C452" s="144">
        <v>69.054199999999994</v>
      </c>
      <c r="D452" s="144">
        <v>9.2765000000000004</v>
      </c>
      <c r="E452" s="144">
        <v>131.97999999999999</v>
      </c>
      <c r="F452" s="144">
        <v>0.70840000000000003</v>
      </c>
      <c r="G452" s="144">
        <v>1.0765</v>
      </c>
      <c r="I452" s="144">
        <v>1</v>
      </c>
      <c r="J452" s="145">
        <f t="shared" si="47"/>
        <v>42318</v>
      </c>
      <c r="K452" s="144">
        <f t="shared" ca="1" si="53"/>
        <v>1.0050415460741295</v>
      </c>
      <c r="L452" s="144">
        <f t="shared" ca="1" si="53"/>
        <v>0.66137615535430871</v>
      </c>
      <c r="M452" s="144">
        <f t="shared" ca="1" si="53"/>
        <v>123.21912053029595</v>
      </c>
      <c r="N452" s="144">
        <f t="shared" ca="1" si="53"/>
        <v>8.6607226216039592</v>
      </c>
      <c r="O452" s="144">
        <f t="shared" ca="1" si="53"/>
        <v>64.470357576323408</v>
      </c>
      <c r="P452" s="144">
        <f t="shared" ca="1" si="53"/>
        <v>1</v>
      </c>
      <c r="Q452" s="144">
        <f t="shared" ca="1" si="53"/>
        <v>0.9336196433572963</v>
      </c>
    </row>
    <row r="453" spans="1:17" x14ac:dyDescent="0.25">
      <c r="A453" s="145">
        <v>42317</v>
      </c>
      <c r="B453" s="144">
        <v>1.0775999999999999</v>
      </c>
      <c r="C453" s="144">
        <v>69.467699999999994</v>
      </c>
      <c r="D453" s="144">
        <v>9.2874999999999996</v>
      </c>
      <c r="E453" s="144">
        <v>133.08000000000001</v>
      </c>
      <c r="F453" s="144">
        <v>0.71409999999999996</v>
      </c>
      <c r="G453" s="144">
        <v>1.0814999999999999</v>
      </c>
      <c r="I453" s="144">
        <v>1</v>
      </c>
      <c r="J453" s="145">
        <f t="shared" ref="J453:J516" si="54">A453</f>
        <v>42317</v>
      </c>
      <c r="K453" s="144">
        <f t="shared" ca="1" si="53"/>
        <v>1.0036191536748329</v>
      </c>
      <c r="L453" s="144">
        <f t="shared" ca="1" si="53"/>
        <v>0.66267631774313296</v>
      </c>
      <c r="M453" s="144">
        <f t="shared" ca="1" si="53"/>
        <v>123.49665924276172</v>
      </c>
      <c r="N453" s="144">
        <f t="shared" ca="1" si="53"/>
        <v>8.6186896807720874</v>
      </c>
      <c r="O453" s="144">
        <f t="shared" ca="1" si="53"/>
        <v>64.465200445434306</v>
      </c>
      <c r="P453" s="144">
        <f t="shared" ca="1" si="53"/>
        <v>1</v>
      </c>
      <c r="Q453" s="144">
        <f t="shared" ca="1" si="53"/>
        <v>0.92798812175204171</v>
      </c>
    </row>
    <row r="454" spans="1:17" x14ac:dyDescent="0.25">
      <c r="A454" s="145">
        <v>42316</v>
      </c>
      <c r="B454" s="144">
        <v>1.0864</v>
      </c>
      <c r="C454" s="144">
        <v>69.290599999999998</v>
      </c>
      <c r="D454" s="144">
        <v>9.2714999999999996</v>
      </c>
      <c r="E454" s="144">
        <v>132.41</v>
      </c>
      <c r="F454" s="144">
        <v>0.71765000000000001</v>
      </c>
      <c r="G454" s="144">
        <v>1.083</v>
      </c>
      <c r="I454" s="144">
        <v>1</v>
      </c>
      <c r="J454" s="145">
        <f t="shared" si="54"/>
        <v>42316</v>
      </c>
      <c r="K454" s="144">
        <f t="shared" ca="1" si="53"/>
        <v>0.99687039764359342</v>
      </c>
      <c r="L454" s="144">
        <f t="shared" ca="1" si="53"/>
        <v>0.6605762150220913</v>
      </c>
      <c r="M454" s="144">
        <f t="shared" ca="1" si="53"/>
        <v>121.87960235640648</v>
      </c>
      <c r="N454" s="144">
        <f t="shared" ca="1" si="53"/>
        <v>8.5341494845360817</v>
      </c>
      <c r="O454" s="144">
        <f t="shared" ca="1" si="53"/>
        <v>63.780007363770245</v>
      </c>
      <c r="P454" s="144">
        <f t="shared" ca="1" si="53"/>
        <v>1</v>
      </c>
      <c r="Q454" s="144">
        <f t="shared" ca="1" si="53"/>
        <v>0.92047128129602351</v>
      </c>
    </row>
    <row r="455" spans="1:17" x14ac:dyDescent="0.25">
      <c r="A455" s="145">
        <v>42315</v>
      </c>
      <c r="B455" s="144">
        <v>1.0864</v>
      </c>
      <c r="C455" s="144">
        <v>69.290599999999998</v>
      </c>
      <c r="D455" s="144">
        <v>9.2714999999999996</v>
      </c>
      <c r="E455" s="144">
        <v>132.41</v>
      </c>
      <c r="F455" s="144">
        <v>0.71765000000000001</v>
      </c>
      <c r="G455" s="144">
        <v>1.083</v>
      </c>
      <c r="I455" s="144">
        <v>1</v>
      </c>
      <c r="J455" s="145">
        <f t="shared" si="54"/>
        <v>42315</v>
      </c>
      <c r="K455" s="144">
        <f t="shared" ref="K455:Q464" ca="1" si="55">OFFSET($A455,0,K$3)/OFFSET($A455,0,$P$3)</f>
        <v>0.99687039764359342</v>
      </c>
      <c r="L455" s="144">
        <f t="shared" ca="1" si="55"/>
        <v>0.6605762150220913</v>
      </c>
      <c r="M455" s="144">
        <f t="shared" ca="1" si="55"/>
        <v>121.87960235640648</v>
      </c>
      <c r="N455" s="144">
        <f t="shared" ca="1" si="55"/>
        <v>8.5341494845360817</v>
      </c>
      <c r="O455" s="144">
        <f t="shared" ca="1" si="55"/>
        <v>63.780007363770245</v>
      </c>
      <c r="P455" s="144">
        <f t="shared" ca="1" si="55"/>
        <v>1</v>
      </c>
      <c r="Q455" s="144">
        <f t="shared" ca="1" si="55"/>
        <v>0.92047128129602351</v>
      </c>
    </row>
    <row r="456" spans="1:17" x14ac:dyDescent="0.25">
      <c r="A456" s="145">
        <v>42314</v>
      </c>
      <c r="B456" s="144">
        <v>1.0864</v>
      </c>
      <c r="C456" s="144">
        <v>69.290599999999998</v>
      </c>
      <c r="D456" s="144">
        <v>9.2714999999999996</v>
      </c>
      <c r="E456" s="144">
        <v>132.41</v>
      </c>
      <c r="F456" s="144">
        <v>0.71765000000000001</v>
      </c>
      <c r="G456" s="144">
        <v>1.083</v>
      </c>
      <c r="I456" s="144">
        <v>1</v>
      </c>
      <c r="J456" s="145">
        <f t="shared" si="54"/>
        <v>42314</v>
      </c>
      <c r="K456" s="144">
        <f t="shared" ca="1" si="55"/>
        <v>0.99687039764359342</v>
      </c>
      <c r="L456" s="144">
        <f t="shared" ca="1" si="55"/>
        <v>0.6605762150220913</v>
      </c>
      <c r="M456" s="144">
        <f t="shared" ca="1" si="55"/>
        <v>121.87960235640648</v>
      </c>
      <c r="N456" s="144">
        <f t="shared" ca="1" si="55"/>
        <v>8.5341494845360817</v>
      </c>
      <c r="O456" s="144">
        <f t="shared" ca="1" si="55"/>
        <v>63.780007363770245</v>
      </c>
      <c r="P456" s="144">
        <f t="shared" ca="1" si="55"/>
        <v>1</v>
      </c>
      <c r="Q456" s="144">
        <f t="shared" ca="1" si="55"/>
        <v>0.92047128129602351</v>
      </c>
    </row>
    <row r="457" spans="1:17" x14ac:dyDescent="0.25">
      <c r="A457" s="145">
        <v>42313</v>
      </c>
      <c r="B457" s="144">
        <v>1.0883</v>
      </c>
      <c r="C457" s="144">
        <v>68.865399999999994</v>
      </c>
      <c r="D457" s="144">
        <v>9.3064999999999998</v>
      </c>
      <c r="E457" s="144">
        <v>132.65</v>
      </c>
      <c r="F457" s="144">
        <v>0.71260000000000001</v>
      </c>
      <c r="G457" s="144">
        <v>1.0832999999999999</v>
      </c>
      <c r="I457" s="144">
        <v>1</v>
      </c>
      <c r="J457" s="145">
        <f t="shared" si="54"/>
        <v>42313</v>
      </c>
      <c r="K457" s="144">
        <f t="shared" ca="1" si="55"/>
        <v>0.99540567858127349</v>
      </c>
      <c r="L457" s="144">
        <f t="shared" ca="1" si="55"/>
        <v>0.65478268859689426</v>
      </c>
      <c r="M457" s="144">
        <f t="shared" ca="1" si="55"/>
        <v>121.88734723881282</v>
      </c>
      <c r="N457" s="144">
        <f t="shared" ca="1" si="55"/>
        <v>8.5514104566755478</v>
      </c>
      <c r="O457" s="144">
        <f t="shared" ca="1" si="55"/>
        <v>63.277956445832942</v>
      </c>
      <c r="P457" s="144">
        <f t="shared" ca="1" si="55"/>
        <v>1</v>
      </c>
      <c r="Q457" s="144">
        <f t="shared" ca="1" si="55"/>
        <v>0.91886428374529083</v>
      </c>
    </row>
    <row r="458" spans="1:17" x14ac:dyDescent="0.25">
      <c r="A458" s="145">
        <v>42312</v>
      </c>
      <c r="B458" s="144">
        <v>1.0934999999999999</v>
      </c>
      <c r="C458" s="144">
        <v>68.398399999999995</v>
      </c>
      <c r="D458" s="144">
        <v>9.3275000000000006</v>
      </c>
      <c r="E458" s="144">
        <v>132.44999999999999</v>
      </c>
      <c r="F458" s="144">
        <v>0.70940000000000003</v>
      </c>
      <c r="G458" s="144">
        <v>1.0812999999999999</v>
      </c>
      <c r="I458" s="144">
        <v>1</v>
      </c>
      <c r="J458" s="145">
        <f t="shared" si="54"/>
        <v>42312</v>
      </c>
      <c r="K458" s="144">
        <f t="shared" ca="1" si="55"/>
        <v>0.98884316415180618</v>
      </c>
      <c r="L458" s="144">
        <f t="shared" ca="1" si="55"/>
        <v>0.64874256973022415</v>
      </c>
      <c r="M458" s="144">
        <f t="shared" ca="1" si="55"/>
        <v>121.12482853223594</v>
      </c>
      <c r="N458" s="144">
        <f t="shared" ca="1" si="55"/>
        <v>8.5299497027892102</v>
      </c>
      <c r="O458" s="144">
        <f t="shared" ca="1" si="55"/>
        <v>62.549977137631458</v>
      </c>
      <c r="P458" s="144">
        <f t="shared" ca="1" si="55"/>
        <v>1</v>
      </c>
      <c r="Q458" s="144">
        <f t="shared" ca="1" si="55"/>
        <v>0.91449474165523559</v>
      </c>
    </row>
    <row r="459" spans="1:17" x14ac:dyDescent="0.25">
      <c r="A459" s="145">
        <v>42311</v>
      </c>
      <c r="B459" s="144">
        <v>1.0975999999999999</v>
      </c>
      <c r="C459" s="144">
        <v>69.544499999999999</v>
      </c>
      <c r="D459" s="144">
        <v>9.3409999999999993</v>
      </c>
      <c r="E459" s="144">
        <v>132.65</v>
      </c>
      <c r="F459" s="144">
        <v>0.71314999999999995</v>
      </c>
      <c r="G459" s="144">
        <v>1.0869</v>
      </c>
      <c r="I459" s="144">
        <v>1</v>
      </c>
      <c r="J459" s="145">
        <f t="shared" si="54"/>
        <v>42311</v>
      </c>
      <c r="K459" s="144">
        <f t="shared" ca="1" si="55"/>
        <v>0.99025145772594758</v>
      </c>
      <c r="L459" s="144">
        <f t="shared" ca="1" si="55"/>
        <v>0.64973578717201164</v>
      </c>
      <c r="M459" s="144">
        <f t="shared" ca="1" si="55"/>
        <v>120.85459183673471</v>
      </c>
      <c r="N459" s="144">
        <f t="shared" ca="1" si="55"/>
        <v>8.510386297376094</v>
      </c>
      <c r="O459" s="144">
        <f t="shared" ca="1" si="55"/>
        <v>63.360513848396508</v>
      </c>
      <c r="P459" s="144">
        <f t="shared" ca="1" si="55"/>
        <v>1</v>
      </c>
      <c r="Q459" s="144">
        <f t="shared" ca="1" si="55"/>
        <v>0.91107871720116629</v>
      </c>
    </row>
    <row r="460" spans="1:17" x14ac:dyDescent="0.25">
      <c r="A460" s="145">
        <v>42310</v>
      </c>
      <c r="B460" s="144">
        <v>1.1032</v>
      </c>
      <c r="C460" s="144">
        <v>70.726200000000006</v>
      </c>
      <c r="D460" s="144">
        <v>9.3369999999999997</v>
      </c>
      <c r="E460" s="144">
        <v>133.02000000000001</v>
      </c>
      <c r="F460" s="144">
        <v>0.71319999999999995</v>
      </c>
      <c r="G460" s="144">
        <v>1.0885</v>
      </c>
      <c r="I460" s="144">
        <v>1</v>
      </c>
      <c r="J460" s="145">
        <f t="shared" si="54"/>
        <v>42310</v>
      </c>
      <c r="K460" s="144">
        <f t="shared" ca="1" si="55"/>
        <v>0.98667512690355341</v>
      </c>
      <c r="L460" s="144">
        <f t="shared" ca="1" si="55"/>
        <v>0.64648295866569971</v>
      </c>
      <c r="M460" s="144">
        <f t="shared" ca="1" si="55"/>
        <v>120.57650471356057</v>
      </c>
      <c r="N460" s="144">
        <f t="shared" ca="1" si="55"/>
        <v>8.4635605511240026</v>
      </c>
      <c r="O460" s="144">
        <f t="shared" ca="1" si="55"/>
        <v>64.110043509789705</v>
      </c>
      <c r="P460" s="144">
        <f t="shared" ca="1" si="55"/>
        <v>1</v>
      </c>
      <c r="Q460" s="144">
        <f t="shared" ca="1" si="55"/>
        <v>0.90645395213923141</v>
      </c>
    </row>
    <row r="461" spans="1:17" x14ac:dyDescent="0.25">
      <c r="A461" s="145">
        <v>42309</v>
      </c>
      <c r="B461" s="144">
        <v>1.1016999999999999</v>
      </c>
      <c r="C461" s="144">
        <v>70.569000000000003</v>
      </c>
      <c r="D461" s="144">
        <v>9.3930000000000007</v>
      </c>
      <c r="E461" s="144">
        <v>132.88</v>
      </c>
      <c r="F461" s="144">
        <v>0.71819999999999995</v>
      </c>
      <c r="G461" s="144">
        <v>1.0900000000000001</v>
      </c>
      <c r="I461" s="144">
        <v>1</v>
      </c>
      <c r="J461" s="145">
        <f t="shared" si="54"/>
        <v>42309</v>
      </c>
      <c r="K461" s="144">
        <f t="shared" ca="1" si="55"/>
        <v>0.98938004901515852</v>
      </c>
      <c r="L461" s="144">
        <f t="shared" ca="1" si="55"/>
        <v>0.65190160660796947</v>
      </c>
      <c r="M461" s="144">
        <f t="shared" ca="1" si="55"/>
        <v>120.61359716801307</v>
      </c>
      <c r="N461" s="144">
        <f t="shared" ca="1" si="55"/>
        <v>8.5259144957792508</v>
      </c>
      <c r="O461" s="144">
        <f t="shared" ca="1" si="55"/>
        <v>64.054642824725434</v>
      </c>
      <c r="P461" s="144">
        <f t="shared" ca="1" si="55"/>
        <v>1</v>
      </c>
      <c r="Q461" s="144">
        <f t="shared" ca="1" si="55"/>
        <v>0.90768811836253072</v>
      </c>
    </row>
    <row r="462" spans="1:17" x14ac:dyDescent="0.25">
      <c r="A462" s="145">
        <v>42308</v>
      </c>
      <c r="B462" s="144">
        <v>1.1016999999999999</v>
      </c>
      <c r="C462" s="144">
        <v>70.569000000000003</v>
      </c>
      <c r="D462" s="144">
        <v>9.3930000000000007</v>
      </c>
      <c r="E462" s="144">
        <v>132.88</v>
      </c>
      <c r="F462" s="144">
        <v>0.71819999999999995</v>
      </c>
      <c r="G462" s="144">
        <v>1.0900000000000001</v>
      </c>
      <c r="I462" s="144">
        <v>1</v>
      </c>
      <c r="J462" s="145">
        <f t="shared" si="54"/>
        <v>42308</v>
      </c>
      <c r="K462" s="144">
        <f t="shared" ca="1" si="55"/>
        <v>0.98938004901515852</v>
      </c>
      <c r="L462" s="144">
        <f t="shared" ca="1" si="55"/>
        <v>0.65190160660796947</v>
      </c>
      <c r="M462" s="144">
        <f t="shared" ca="1" si="55"/>
        <v>120.61359716801307</v>
      </c>
      <c r="N462" s="144">
        <f t="shared" ca="1" si="55"/>
        <v>8.5259144957792508</v>
      </c>
      <c r="O462" s="144">
        <f t="shared" ca="1" si="55"/>
        <v>64.054642824725434</v>
      </c>
      <c r="P462" s="144">
        <f t="shared" ca="1" si="55"/>
        <v>1</v>
      </c>
      <c r="Q462" s="144">
        <f t="shared" ca="1" si="55"/>
        <v>0.90768811836253072</v>
      </c>
    </row>
    <row r="463" spans="1:17" x14ac:dyDescent="0.25">
      <c r="A463" s="145">
        <v>42307</v>
      </c>
      <c r="B463" s="144">
        <v>1.1016999999999999</v>
      </c>
      <c r="C463" s="144">
        <v>70.569000000000003</v>
      </c>
      <c r="D463" s="144">
        <v>9.3930000000000007</v>
      </c>
      <c r="E463" s="144">
        <v>132.88</v>
      </c>
      <c r="F463" s="144">
        <v>0.71819999999999995</v>
      </c>
      <c r="G463" s="144">
        <v>1.0900000000000001</v>
      </c>
      <c r="I463" s="144">
        <v>1</v>
      </c>
      <c r="J463" s="145">
        <f t="shared" si="54"/>
        <v>42307</v>
      </c>
      <c r="K463" s="144">
        <f t="shared" ca="1" si="55"/>
        <v>0.98938004901515852</v>
      </c>
      <c r="L463" s="144">
        <f t="shared" ca="1" si="55"/>
        <v>0.65190160660796947</v>
      </c>
      <c r="M463" s="144">
        <f t="shared" ca="1" si="55"/>
        <v>120.61359716801307</v>
      </c>
      <c r="N463" s="144">
        <f t="shared" ca="1" si="55"/>
        <v>8.5259144957792508</v>
      </c>
      <c r="O463" s="144">
        <f t="shared" ca="1" si="55"/>
        <v>64.054642824725434</v>
      </c>
      <c r="P463" s="144">
        <f t="shared" ca="1" si="55"/>
        <v>1</v>
      </c>
      <c r="Q463" s="144">
        <f t="shared" ca="1" si="55"/>
        <v>0.90768811836253072</v>
      </c>
    </row>
    <row r="464" spans="1:17" x14ac:dyDescent="0.25">
      <c r="A464" s="145">
        <v>42306</v>
      </c>
      <c r="B464" s="144">
        <v>1.093</v>
      </c>
      <c r="C464" s="144">
        <v>70.0745</v>
      </c>
      <c r="D464" s="144">
        <v>9.3670000000000009</v>
      </c>
      <c r="E464" s="144">
        <v>132.30000000000001</v>
      </c>
      <c r="F464" s="144">
        <v>0.7167</v>
      </c>
      <c r="G464" s="144">
        <v>1.0851</v>
      </c>
      <c r="I464" s="144">
        <v>1</v>
      </c>
      <c r="J464" s="145">
        <f t="shared" si="54"/>
        <v>42306</v>
      </c>
      <c r="K464" s="144">
        <f t="shared" ca="1" si="55"/>
        <v>0.99277218664226896</v>
      </c>
      <c r="L464" s="144">
        <f t="shared" ca="1" si="55"/>
        <v>0.65571820677035686</v>
      </c>
      <c r="M464" s="144">
        <f t="shared" ca="1" si="55"/>
        <v>121.04300091491309</v>
      </c>
      <c r="N464" s="144">
        <f t="shared" ca="1" si="55"/>
        <v>8.5699908508691678</v>
      </c>
      <c r="O464" s="144">
        <f t="shared" ca="1" si="55"/>
        <v>64.112076852698991</v>
      </c>
      <c r="P464" s="144">
        <f t="shared" ca="1" si="55"/>
        <v>1</v>
      </c>
      <c r="Q464" s="144">
        <f t="shared" ca="1" si="55"/>
        <v>0.91491308325709064</v>
      </c>
    </row>
    <row r="465" spans="1:17" x14ac:dyDescent="0.25">
      <c r="A465" s="145">
        <v>42305</v>
      </c>
      <c r="B465" s="144">
        <v>1.1085</v>
      </c>
      <c r="C465" s="144">
        <v>71.275000000000006</v>
      </c>
      <c r="D465" s="144">
        <v>9.42</v>
      </c>
      <c r="E465" s="144">
        <v>133.38</v>
      </c>
      <c r="F465" s="144">
        <v>0.7248</v>
      </c>
      <c r="G465" s="144">
        <v>1.0899000000000001</v>
      </c>
      <c r="I465" s="144">
        <v>1</v>
      </c>
      <c r="J465" s="145">
        <f t="shared" si="54"/>
        <v>42305</v>
      </c>
      <c r="K465" s="144">
        <f t="shared" ref="K465:Q474" ca="1" si="56">OFFSET($A465,0,K$3)/OFFSET($A465,0,$P$3)</f>
        <v>0.98322056833558868</v>
      </c>
      <c r="L465" s="144">
        <f t="shared" ca="1" si="56"/>
        <v>0.65385656292286876</v>
      </c>
      <c r="M465" s="144">
        <f t="shared" ca="1" si="56"/>
        <v>120.32476319350472</v>
      </c>
      <c r="N465" s="144">
        <f t="shared" ca="1" si="56"/>
        <v>8.497970230040595</v>
      </c>
      <c r="O465" s="144">
        <f t="shared" ca="1" si="56"/>
        <v>64.298601714027967</v>
      </c>
      <c r="P465" s="144">
        <f t="shared" ca="1" si="56"/>
        <v>1</v>
      </c>
      <c r="Q465" s="144">
        <f t="shared" ca="1" si="56"/>
        <v>0.90211998195760035</v>
      </c>
    </row>
    <row r="466" spans="1:17" x14ac:dyDescent="0.25">
      <c r="A466" s="145">
        <v>42304</v>
      </c>
      <c r="B466" s="144">
        <v>1.1061000000000001</v>
      </c>
      <c r="C466" s="144">
        <v>71.612099999999998</v>
      </c>
      <c r="D466" s="144">
        <v>9.3629999999999995</v>
      </c>
      <c r="E466" s="144">
        <v>133.06</v>
      </c>
      <c r="F466" s="144">
        <v>0.72140000000000004</v>
      </c>
      <c r="G466" s="144">
        <v>1.0880000000000001</v>
      </c>
      <c r="I466" s="144">
        <v>1</v>
      </c>
      <c r="J466" s="145">
        <f t="shared" si="54"/>
        <v>42304</v>
      </c>
      <c r="K466" s="144">
        <f t="shared" ca="1" si="56"/>
        <v>0.98363619925865653</v>
      </c>
      <c r="L466" s="144">
        <f t="shared" ca="1" si="56"/>
        <v>0.65220142844227469</v>
      </c>
      <c r="M466" s="144">
        <f t="shared" ca="1" si="56"/>
        <v>120.29653738360003</v>
      </c>
      <c r="N466" s="144">
        <f t="shared" ca="1" si="56"/>
        <v>8.4648765934363972</v>
      </c>
      <c r="O466" s="144">
        <f t="shared" ca="1" si="56"/>
        <v>64.742880390561425</v>
      </c>
      <c r="P466" s="144">
        <f t="shared" ca="1" si="56"/>
        <v>1</v>
      </c>
      <c r="Q466" s="144">
        <f t="shared" ca="1" si="56"/>
        <v>0.90407738902450041</v>
      </c>
    </row>
    <row r="467" spans="1:17" x14ac:dyDescent="0.25">
      <c r="A467" s="145">
        <v>42303</v>
      </c>
      <c r="B467" s="144">
        <v>1.1011</v>
      </c>
      <c r="C467" s="144">
        <v>68.802999999999997</v>
      </c>
      <c r="D467" s="144">
        <v>9.2260000000000009</v>
      </c>
      <c r="E467" s="144">
        <v>133.26</v>
      </c>
      <c r="F467" s="144">
        <v>0.71840000000000004</v>
      </c>
      <c r="G467" s="144">
        <v>1.0823</v>
      </c>
      <c r="I467" s="144">
        <v>1</v>
      </c>
      <c r="J467" s="145">
        <f t="shared" si="54"/>
        <v>42303</v>
      </c>
      <c r="K467" s="144">
        <f t="shared" ca="1" si="56"/>
        <v>0.98292616474434658</v>
      </c>
      <c r="L467" s="144">
        <f t="shared" ca="1" si="56"/>
        <v>0.65243847062028881</v>
      </c>
      <c r="M467" s="144">
        <f t="shared" ca="1" si="56"/>
        <v>121.0244301153392</v>
      </c>
      <c r="N467" s="144">
        <f t="shared" ca="1" si="56"/>
        <v>8.3788938334392888</v>
      </c>
      <c r="O467" s="144">
        <f t="shared" ca="1" si="56"/>
        <v>62.485696122059757</v>
      </c>
      <c r="P467" s="144">
        <f t="shared" ca="1" si="56"/>
        <v>1</v>
      </c>
      <c r="Q467" s="144">
        <f t="shared" ca="1" si="56"/>
        <v>0.90818272636454456</v>
      </c>
    </row>
    <row r="468" spans="1:17" x14ac:dyDescent="0.25">
      <c r="A468" s="145">
        <v>42302</v>
      </c>
      <c r="B468" s="144">
        <v>1.1084000000000001</v>
      </c>
      <c r="C468" s="144">
        <v>68.588200000000001</v>
      </c>
      <c r="D468" s="144">
        <v>9.2524999999999995</v>
      </c>
      <c r="E468" s="144">
        <v>133.80000000000001</v>
      </c>
      <c r="F468" s="144">
        <v>0.71955000000000002</v>
      </c>
      <c r="G468" s="144">
        <v>1.0792999999999999</v>
      </c>
      <c r="I468" s="144">
        <v>1</v>
      </c>
      <c r="J468" s="145">
        <f t="shared" si="54"/>
        <v>42302</v>
      </c>
      <c r="K468" s="144">
        <f t="shared" ca="1" si="56"/>
        <v>0.97374594009382887</v>
      </c>
      <c r="L468" s="144">
        <f t="shared" ca="1" si="56"/>
        <v>0.64917899675207502</v>
      </c>
      <c r="M468" s="144">
        <f t="shared" ca="1" si="56"/>
        <v>120.71454348610611</v>
      </c>
      <c r="N468" s="144">
        <f t="shared" ca="1" si="56"/>
        <v>8.347618188379645</v>
      </c>
      <c r="O468" s="144">
        <f t="shared" ca="1" si="56"/>
        <v>61.880368098159508</v>
      </c>
      <c r="P468" s="144">
        <f t="shared" ca="1" si="56"/>
        <v>1</v>
      </c>
      <c r="Q468" s="144">
        <f t="shared" ca="1" si="56"/>
        <v>0.90220137134608436</v>
      </c>
    </row>
    <row r="469" spans="1:17" x14ac:dyDescent="0.25">
      <c r="A469" s="145">
        <v>42301</v>
      </c>
      <c r="B469" s="144">
        <v>1.1084000000000001</v>
      </c>
      <c r="C469" s="144">
        <v>68.588200000000001</v>
      </c>
      <c r="D469" s="144">
        <v>9.2524999999999995</v>
      </c>
      <c r="E469" s="144">
        <v>133.80000000000001</v>
      </c>
      <c r="F469" s="144">
        <v>0.71955000000000002</v>
      </c>
      <c r="G469" s="144">
        <v>1.0792999999999999</v>
      </c>
      <c r="I469" s="144">
        <v>1</v>
      </c>
      <c r="J469" s="145">
        <f t="shared" si="54"/>
        <v>42301</v>
      </c>
      <c r="K469" s="144">
        <f t="shared" ca="1" si="56"/>
        <v>0.97374594009382887</v>
      </c>
      <c r="L469" s="144">
        <f t="shared" ca="1" si="56"/>
        <v>0.64917899675207502</v>
      </c>
      <c r="M469" s="144">
        <f t="shared" ca="1" si="56"/>
        <v>120.71454348610611</v>
      </c>
      <c r="N469" s="144">
        <f t="shared" ca="1" si="56"/>
        <v>8.347618188379645</v>
      </c>
      <c r="O469" s="144">
        <f t="shared" ca="1" si="56"/>
        <v>61.880368098159508</v>
      </c>
      <c r="P469" s="144">
        <f t="shared" ca="1" si="56"/>
        <v>1</v>
      </c>
      <c r="Q469" s="144">
        <f t="shared" ca="1" si="56"/>
        <v>0.90220137134608436</v>
      </c>
    </row>
    <row r="470" spans="1:17" x14ac:dyDescent="0.25">
      <c r="A470" s="145">
        <v>42300</v>
      </c>
      <c r="B470" s="144">
        <v>1.1084000000000001</v>
      </c>
      <c r="C470" s="144">
        <v>68.588200000000001</v>
      </c>
      <c r="D470" s="144">
        <v>9.2524999999999995</v>
      </c>
      <c r="E470" s="144">
        <v>133.80000000000001</v>
      </c>
      <c r="F470" s="144">
        <v>0.71955000000000002</v>
      </c>
      <c r="G470" s="144">
        <v>1.0792999999999999</v>
      </c>
      <c r="I470" s="144">
        <v>1</v>
      </c>
      <c r="J470" s="145">
        <f t="shared" si="54"/>
        <v>42300</v>
      </c>
      <c r="K470" s="144">
        <f t="shared" ca="1" si="56"/>
        <v>0.97374594009382887</v>
      </c>
      <c r="L470" s="144">
        <f t="shared" ca="1" si="56"/>
        <v>0.64917899675207502</v>
      </c>
      <c r="M470" s="144">
        <f t="shared" ca="1" si="56"/>
        <v>120.71454348610611</v>
      </c>
      <c r="N470" s="144">
        <f t="shared" ca="1" si="56"/>
        <v>8.347618188379645</v>
      </c>
      <c r="O470" s="144">
        <f t="shared" ca="1" si="56"/>
        <v>61.880368098159508</v>
      </c>
      <c r="P470" s="144">
        <f t="shared" ca="1" si="56"/>
        <v>1</v>
      </c>
      <c r="Q470" s="144">
        <f t="shared" ca="1" si="56"/>
        <v>0.90220137134608436</v>
      </c>
    </row>
    <row r="471" spans="1:17" x14ac:dyDescent="0.25">
      <c r="A471" s="145">
        <v>42299</v>
      </c>
      <c r="B471" s="144">
        <v>1.1313</v>
      </c>
      <c r="C471" s="144">
        <v>70.752499999999998</v>
      </c>
      <c r="D471" s="144">
        <v>9.2739999999999991</v>
      </c>
      <c r="E471" s="144">
        <v>135.49</v>
      </c>
      <c r="F471" s="144">
        <v>0.73140000000000005</v>
      </c>
      <c r="G471" s="144">
        <v>1.0886</v>
      </c>
      <c r="I471" s="144">
        <v>1</v>
      </c>
      <c r="J471" s="145">
        <f t="shared" si="54"/>
        <v>42299</v>
      </c>
      <c r="K471" s="144">
        <f t="shared" ca="1" si="56"/>
        <v>0.96225581189781673</v>
      </c>
      <c r="L471" s="144">
        <f t="shared" ca="1" si="56"/>
        <v>0.64651286130999741</v>
      </c>
      <c r="M471" s="144">
        <f t="shared" ca="1" si="56"/>
        <v>119.76487227083886</v>
      </c>
      <c r="N471" s="144">
        <f t="shared" ca="1" si="56"/>
        <v>8.1976487227083883</v>
      </c>
      <c r="O471" s="144">
        <f t="shared" ca="1" si="56"/>
        <v>62.540882170953772</v>
      </c>
      <c r="P471" s="144">
        <f t="shared" ca="1" si="56"/>
        <v>1</v>
      </c>
      <c r="Q471" s="144">
        <f t="shared" ca="1" si="56"/>
        <v>0.88393883143286489</v>
      </c>
    </row>
    <row r="472" spans="1:17" x14ac:dyDescent="0.25">
      <c r="A472" s="145">
        <v>42298</v>
      </c>
      <c r="B472" s="144">
        <v>1.1354</v>
      </c>
      <c r="C472" s="144">
        <v>71.340500000000006</v>
      </c>
      <c r="D472" s="144">
        <v>9.2624999999999993</v>
      </c>
      <c r="E472" s="144">
        <v>136.30000000000001</v>
      </c>
      <c r="F472" s="144">
        <v>0.7349</v>
      </c>
      <c r="G472" s="144">
        <v>1.0864</v>
      </c>
      <c r="I472" s="144">
        <v>1</v>
      </c>
      <c r="J472" s="145">
        <f t="shared" si="54"/>
        <v>42298</v>
      </c>
      <c r="K472" s="144">
        <f t="shared" ca="1" si="56"/>
        <v>0.95684340320591865</v>
      </c>
      <c r="L472" s="144">
        <f t="shared" ca="1" si="56"/>
        <v>0.64726087722388592</v>
      </c>
      <c r="M472" s="144">
        <f t="shared" ca="1" si="56"/>
        <v>120.04579883741414</v>
      </c>
      <c r="N472" s="144">
        <f t="shared" ca="1" si="56"/>
        <v>8.1579179143914029</v>
      </c>
      <c r="O472" s="144">
        <f t="shared" ca="1" si="56"/>
        <v>62.832922318125775</v>
      </c>
      <c r="P472" s="144">
        <f t="shared" ca="1" si="56"/>
        <v>1</v>
      </c>
      <c r="Q472" s="144">
        <f t="shared" ca="1" si="56"/>
        <v>0.88074687334859969</v>
      </c>
    </row>
    <row r="473" spans="1:17" x14ac:dyDescent="0.25">
      <c r="A473" s="145">
        <v>42297</v>
      </c>
      <c r="B473" s="144">
        <v>1.1373</v>
      </c>
      <c r="C473" s="144">
        <v>70.608999999999995</v>
      </c>
      <c r="D473" s="144">
        <v>9.2355</v>
      </c>
      <c r="E473" s="144">
        <v>136.16</v>
      </c>
      <c r="F473" s="144">
        <v>0.73519999999999996</v>
      </c>
      <c r="G473" s="144">
        <v>1.0823</v>
      </c>
      <c r="I473" s="144">
        <v>1</v>
      </c>
      <c r="J473" s="145">
        <f t="shared" si="54"/>
        <v>42297</v>
      </c>
      <c r="K473" s="144">
        <f t="shared" ca="1" si="56"/>
        <v>0.95163984876461805</v>
      </c>
      <c r="L473" s="144">
        <f t="shared" ca="1" si="56"/>
        <v>0.64644333069550686</v>
      </c>
      <c r="M473" s="144">
        <f t="shared" ca="1" si="56"/>
        <v>119.7221489492658</v>
      </c>
      <c r="N473" s="144">
        <f t="shared" ca="1" si="56"/>
        <v>8.1205486678976531</v>
      </c>
      <c r="O473" s="144">
        <f t="shared" ca="1" si="56"/>
        <v>62.084762155983469</v>
      </c>
      <c r="P473" s="144">
        <f t="shared" ca="1" si="56"/>
        <v>1</v>
      </c>
      <c r="Q473" s="144">
        <f t="shared" ca="1" si="56"/>
        <v>0.8792754770069463</v>
      </c>
    </row>
    <row r="474" spans="1:17" x14ac:dyDescent="0.25">
      <c r="A474" s="145">
        <v>42296</v>
      </c>
      <c r="B474" s="144">
        <v>1.1333</v>
      </c>
      <c r="C474" s="144">
        <v>70.398399999999995</v>
      </c>
      <c r="D474" s="144">
        <v>9.1850000000000005</v>
      </c>
      <c r="E474" s="144">
        <v>135.29</v>
      </c>
      <c r="F474" s="144">
        <v>0.73170000000000002</v>
      </c>
      <c r="G474" s="144">
        <v>1.0833999999999999</v>
      </c>
      <c r="I474" s="144">
        <v>1</v>
      </c>
      <c r="J474" s="145">
        <f t="shared" si="54"/>
        <v>42296</v>
      </c>
      <c r="K474" s="144">
        <f t="shared" ca="1" si="56"/>
        <v>0.9559692932145063</v>
      </c>
      <c r="L474" s="144">
        <f t="shared" ca="1" si="56"/>
        <v>0.64563663637165802</v>
      </c>
      <c r="M474" s="144">
        <f t="shared" ca="1" si="56"/>
        <v>119.3770405011912</v>
      </c>
      <c r="N474" s="144">
        <f t="shared" ca="1" si="56"/>
        <v>8.1046501367687291</v>
      </c>
      <c r="O474" s="144">
        <f t="shared" ca="1" si="56"/>
        <v>62.118062295949876</v>
      </c>
      <c r="P474" s="144">
        <f t="shared" ca="1" si="56"/>
        <v>1</v>
      </c>
      <c r="Q474" s="144">
        <f t="shared" ca="1" si="56"/>
        <v>0.8823788934968676</v>
      </c>
    </row>
    <row r="475" spans="1:17" x14ac:dyDescent="0.25">
      <c r="A475" s="145">
        <v>42295</v>
      </c>
      <c r="B475" s="144">
        <v>1.1359999999999999</v>
      </c>
      <c r="C475" s="144">
        <v>70.263999999999996</v>
      </c>
      <c r="D475" s="144">
        <v>9.2004999999999999</v>
      </c>
      <c r="E475" s="144">
        <v>135.25</v>
      </c>
      <c r="F475" s="144">
        <v>0.73560000000000003</v>
      </c>
      <c r="G475" s="144">
        <v>1.0809</v>
      </c>
      <c r="I475" s="144">
        <v>1</v>
      </c>
      <c r="J475" s="145">
        <f t="shared" si="54"/>
        <v>42295</v>
      </c>
      <c r="K475" s="144">
        <f t="shared" ref="K475:Q484" ca="1" si="57">OFFSET($A475,0,K$3)/OFFSET($A475,0,$P$3)</f>
        <v>0.95149647887323952</v>
      </c>
      <c r="L475" s="144">
        <f t="shared" ca="1" si="57"/>
        <v>0.64753521126760571</v>
      </c>
      <c r="M475" s="144">
        <f t="shared" ca="1" si="57"/>
        <v>119.05809859154931</v>
      </c>
      <c r="N475" s="144">
        <f t="shared" ca="1" si="57"/>
        <v>8.0990316901408459</v>
      </c>
      <c r="O475" s="144">
        <f t="shared" ca="1" si="57"/>
        <v>61.852112676056343</v>
      </c>
      <c r="P475" s="144">
        <f t="shared" ca="1" si="57"/>
        <v>1</v>
      </c>
      <c r="Q475" s="144">
        <f t="shared" ca="1" si="57"/>
        <v>0.88028169014084512</v>
      </c>
    </row>
    <row r="476" spans="1:17" x14ac:dyDescent="0.25">
      <c r="A476" s="145">
        <v>42294</v>
      </c>
      <c r="B476" s="144">
        <v>1.1359999999999999</v>
      </c>
      <c r="C476" s="144">
        <v>70.263999999999996</v>
      </c>
      <c r="D476" s="144">
        <v>9.2004999999999999</v>
      </c>
      <c r="E476" s="144">
        <v>135.25</v>
      </c>
      <c r="F476" s="144">
        <v>0.73560000000000003</v>
      </c>
      <c r="G476" s="144">
        <v>1.0809</v>
      </c>
      <c r="I476" s="144">
        <v>1</v>
      </c>
      <c r="J476" s="145">
        <f t="shared" si="54"/>
        <v>42294</v>
      </c>
      <c r="K476" s="144">
        <f t="shared" ca="1" si="57"/>
        <v>0.95149647887323952</v>
      </c>
      <c r="L476" s="144">
        <f t="shared" ca="1" si="57"/>
        <v>0.64753521126760571</v>
      </c>
      <c r="M476" s="144">
        <f t="shared" ca="1" si="57"/>
        <v>119.05809859154931</v>
      </c>
      <c r="N476" s="144">
        <f t="shared" ca="1" si="57"/>
        <v>8.0990316901408459</v>
      </c>
      <c r="O476" s="144">
        <f t="shared" ca="1" si="57"/>
        <v>61.852112676056343</v>
      </c>
      <c r="P476" s="144">
        <f t="shared" ca="1" si="57"/>
        <v>1</v>
      </c>
      <c r="Q476" s="144">
        <f t="shared" ca="1" si="57"/>
        <v>0.88028169014084512</v>
      </c>
    </row>
    <row r="477" spans="1:17" x14ac:dyDescent="0.25">
      <c r="A477" s="145">
        <v>42293</v>
      </c>
      <c r="B477" s="144">
        <v>1.1359999999999999</v>
      </c>
      <c r="C477" s="144">
        <v>70.263999999999996</v>
      </c>
      <c r="D477" s="144">
        <v>9.2004999999999999</v>
      </c>
      <c r="E477" s="144">
        <v>135.25</v>
      </c>
      <c r="F477" s="144">
        <v>0.73560000000000003</v>
      </c>
      <c r="G477" s="144">
        <v>1.0809</v>
      </c>
      <c r="I477" s="144">
        <v>1</v>
      </c>
      <c r="J477" s="145">
        <f t="shared" si="54"/>
        <v>42293</v>
      </c>
      <c r="K477" s="144">
        <f t="shared" ca="1" si="57"/>
        <v>0.95149647887323952</v>
      </c>
      <c r="L477" s="144">
        <f t="shared" ca="1" si="57"/>
        <v>0.64753521126760571</v>
      </c>
      <c r="M477" s="144">
        <f t="shared" ca="1" si="57"/>
        <v>119.05809859154931</v>
      </c>
      <c r="N477" s="144">
        <f t="shared" ca="1" si="57"/>
        <v>8.0990316901408459</v>
      </c>
      <c r="O477" s="144">
        <f t="shared" ca="1" si="57"/>
        <v>61.852112676056343</v>
      </c>
      <c r="P477" s="144">
        <f t="shared" ca="1" si="57"/>
        <v>1</v>
      </c>
      <c r="Q477" s="144">
        <f t="shared" ca="1" si="57"/>
        <v>0.88028169014084512</v>
      </c>
    </row>
    <row r="478" spans="1:17" x14ac:dyDescent="0.25">
      <c r="A478" s="145">
        <v>42292</v>
      </c>
      <c r="B478" s="144">
        <v>1.1438999999999999</v>
      </c>
      <c r="C478" s="144">
        <v>71.073499999999996</v>
      </c>
      <c r="D478" s="144">
        <v>9.2170000000000005</v>
      </c>
      <c r="E478" s="144">
        <v>135.22999999999999</v>
      </c>
      <c r="F478" s="144">
        <v>0.73970000000000002</v>
      </c>
      <c r="G478" s="144">
        <v>1.0872999999999999</v>
      </c>
      <c r="I478" s="144">
        <v>1</v>
      </c>
      <c r="J478" s="145">
        <f t="shared" si="54"/>
        <v>42292</v>
      </c>
      <c r="K478" s="144">
        <f t="shared" ca="1" si="57"/>
        <v>0.95052015036279391</v>
      </c>
      <c r="L478" s="144">
        <f t="shared" ca="1" si="57"/>
        <v>0.64664743421627768</v>
      </c>
      <c r="M478" s="144">
        <f t="shared" ca="1" si="57"/>
        <v>118.21837573214442</v>
      </c>
      <c r="N478" s="144">
        <f t="shared" ca="1" si="57"/>
        <v>8.0575225107089796</v>
      </c>
      <c r="O478" s="144">
        <f t="shared" ca="1" si="57"/>
        <v>62.132616487455195</v>
      </c>
      <c r="P478" s="144">
        <f t="shared" ca="1" si="57"/>
        <v>1</v>
      </c>
      <c r="Q478" s="144">
        <f t="shared" ca="1" si="57"/>
        <v>0.87420229041000097</v>
      </c>
    </row>
    <row r="479" spans="1:17" x14ac:dyDescent="0.25">
      <c r="A479" s="145">
        <v>42291</v>
      </c>
      <c r="B479" s="144">
        <v>1.141</v>
      </c>
      <c r="C479" s="144">
        <v>71.974999999999994</v>
      </c>
      <c r="D479" s="144">
        <v>9.24</v>
      </c>
      <c r="E479" s="144">
        <v>136.47999999999999</v>
      </c>
      <c r="F479" s="144">
        <v>0.74180000000000001</v>
      </c>
      <c r="G479" s="144">
        <v>1.0901000000000001</v>
      </c>
      <c r="I479" s="144">
        <v>1</v>
      </c>
      <c r="J479" s="145">
        <f t="shared" si="54"/>
        <v>42291</v>
      </c>
      <c r="K479" s="144">
        <f t="shared" ca="1" si="57"/>
        <v>0.95539000876424196</v>
      </c>
      <c r="L479" s="144">
        <f t="shared" ca="1" si="57"/>
        <v>0.65013146362839613</v>
      </c>
      <c r="M479" s="144">
        <f t="shared" ca="1" si="57"/>
        <v>119.61437335670463</v>
      </c>
      <c r="N479" s="144">
        <f t="shared" ca="1" si="57"/>
        <v>8.0981595092024534</v>
      </c>
      <c r="O479" s="144">
        <f t="shared" ca="1" si="57"/>
        <v>63.080631025416295</v>
      </c>
      <c r="P479" s="144">
        <f t="shared" ca="1" si="57"/>
        <v>1</v>
      </c>
      <c r="Q479" s="144">
        <f t="shared" ca="1" si="57"/>
        <v>0.87642418930762489</v>
      </c>
    </row>
    <row r="480" spans="1:17" x14ac:dyDescent="0.25">
      <c r="A480" s="145">
        <v>42290</v>
      </c>
      <c r="B480" s="144">
        <v>1.1374</v>
      </c>
      <c r="C480" s="144">
        <v>71.408500000000004</v>
      </c>
      <c r="D480" s="144">
        <v>9.2690000000000001</v>
      </c>
      <c r="E480" s="144">
        <v>136.16</v>
      </c>
      <c r="F480" s="144">
        <v>0.748</v>
      </c>
      <c r="G480" s="144">
        <v>1.091</v>
      </c>
      <c r="I480" s="144">
        <v>1</v>
      </c>
      <c r="J480" s="145">
        <f t="shared" si="54"/>
        <v>42290</v>
      </c>
      <c r="K480" s="144">
        <f t="shared" ca="1" si="57"/>
        <v>0.95920520485317395</v>
      </c>
      <c r="L480" s="144">
        <f t="shared" ca="1" si="57"/>
        <v>0.65764023210831724</v>
      </c>
      <c r="M480" s="144">
        <f t="shared" ca="1" si="57"/>
        <v>119.71162299982416</v>
      </c>
      <c r="N480" s="144">
        <f t="shared" ca="1" si="57"/>
        <v>8.1492878494812739</v>
      </c>
      <c r="O480" s="144">
        <f t="shared" ca="1" si="57"/>
        <v>62.782222612976973</v>
      </c>
      <c r="P480" s="144">
        <f t="shared" ca="1" si="57"/>
        <v>1</v>
      </c>
      <c r="Q480" s="144">
        <f t="shared" ca="1" si="57"/>
        <v>0.87919817126780375</v>
      </c>
    </row>
    <row r="481" spans="1:17" x14ac:dyDescent="0.25">
      <c r="A481" s="145">
        <v>42289</v>
      </c>
      <c r="B481" s="144">
        <v>1.1373</v>
      </c>
      <c r="C481" s="144">
        <v>69.482200000000006</v>
      </c>
      <c r="D481" s="144">
        <v>9.1579999999999995</v>
      </c>
      <c r="E481" s="144">
        <v>136.61000000000001</v>
      </c>
      <c r="F481" s="144">
        <v>0.74009999999999998</v>
      </c>
      <c r="G481" s="144">
        <v>1.0928</v>
      </c>
      <c r="I481" s="144">
        <v>1</v>
      </c>
      <c r="J481" s="145">
        <f t="shared" si="54"/>
        <v>42289</v>
      </c>
      <c r="K481" s="144">
        <f t="shared" ca="1" si="57"/>
        <v>0.96087224127319093</v>
      </c>
      <c r="L481" s="144">
        <f t="shared" ca="1" si="57"/>
        <v>0.65075178053284088</v>
      </c>
      <c r="M481" s="144">
        <f t="shared" ca="1" si="57"/>
        <v>120.11782291391894</v>
      </c>
      <c r="N481" s="144">
        <f t="shared" ca="1" si="57"/>
        <v>8.0524048184296131</v>
      </c>
      <c r="O481" s="144">
        <f t="shared" ca="1" si="57"/>
        <v>61.093994548492049</v>
      </c>
      <c r="P481" s="144">
        <f t="shared" ca="1" si="57"/>
        <v>1</v>
      </c>
      <c r="Q481" s="144">
        <f t="shared" ca="1" si="57"/>
        <v>0.8792754770069463</v>
      </c>
    </row>
    <row r="482" spans="1:17" x14ac:dyDescent="0.25">
      <c r="A482" s="145">
        <v>42288</v>
      </c>
      <c r="B482" s="144">
        <v>1.1362000000000001</v>
      </c>
      <c r="C482" s="144">
        <v>69.364000000000004</v>
      </c>
      <c r="D482" s="144">
        <v>9.1895000000000007</v>
      </c>
      <c r="E482" s="144">
        <v>136.65</v>
      </c>
      <c r="F482" s="144">
        <v>0.74070000000000003</v>
      </c>
      <c r="G482" s="144">
        <v>1.0919000000000001</v>
      </c>
      <c r="I482" s="144">
        <v>1</v>
      </c>
      <c r="J482" s="145">
        <f t="shared" si="54"/>
        <v>42288</v>
      </c>
      <c r="K482" s="144">
        <f t="shared" ca="1" si="57"/>
        <v>0.96101038549551132</v>
      </c>
      <c r="L482" s="144">
        <f t="shared" ca="1" si="57"/>
        <v>0.65190987502200315</v>
      </c>
      <c r="M482" s="144">
        <f t="shared" ca="1" si="57"/>
        <v>120.26931878190459</v>
      </c>
      <c r="N482" s="144">
        <f t="shared" ca="1" si="57"/>
        <v>8.0879246611512059</v>
      </c>
      <c r="O482" s="144">
        <f t="shared" ca="1" si="57"/>
        <v>61.049111071994368</v>
      </c>
      <c r="P482" s="144">
        <f t="shared" ca="1" si="57"/>
        <v>1</v>
      </c>
      <c r="Q482" s="144">
        <f t="shared" ca="1" si="57"/>
        <v>0.88012673825030796</v>
      </c>
    </row>
    <row r="483" spans="1:17" x14ac:dyDescent="0.25">
      <c r="A483" s="145">
        <v>42287</v>
      </c>
      <c r="B483" s="144">
        <v>1.1362000000000001</v>
      </c>
      <c r="C483" s="144">
        <v>69.364000000000004</v>
      </c>
      <c r="D483" s="144">
        <v>9.1895000000000007</v>
      </c>
      <c r="E483" s="144">
        <v>136.65</v>
      </c>
      <c r="F483" s="144">
        <v>0.74070000000000003</v>
      </c>
      <c r="G483" s="144">
        <v>1.0919000000000001</v>
      </c>
      <c r="I483" s="144">
        <v>1</v>
      </c>
      <c r="J483" s="145">
        <f t="shared" si="54"/>
        <v>42287</v>
      </c>
      <c r="K483" s="144">
        <f t="shared" ca="1" si="57"/>
        <v>0.96101038549551132</v>
      </c>
      <c r="L483" s="144">
        <f t="shared" ca="1" si="57"/>
        <v>0.65190987502200315</v>
      </c>
      <c r="M483" s="144">
        <f t="shared" ca="1" si="57"/>
        <v>120.26931878190459</v>
      </c>
      <c r="N483" s="144">
        <f t="shared" ca="1" si="57"/>
        <v>8.0879246611512059</v>
      </c>
      <c r="O483" s="144">
        <f t="shared" ca="1" si="57"/>
        <v>61.049111071994368</v>
      </c>
      <c r="P483" s="144">
        <f t="shared" ca="1" si="57"/>
        <v>1</v>
      </c>
      <c r="Q483" s="144">
        <f t="shared" ca="1" si="57"/>
        <v>0.88012673825030796</v>
      </c>
    </row>
    <row r="484" spans="1:17" x14ac:dyDescent="0.25">
      <c r="A484" s="145">
        <v>42286</v>
      </c>
      <c r="B484" s="144">
        <v>1.1362000000000001</v>
      </c>
      <c r="C484" s="144">
        <v>69.364000000000004</v>
      </c>
      <c r="D484" s="144">
        <v>9.1895000000000007</v>
      </c>
      <c r="E484" s="144">
        <v>136.65</v>
      </c>
      <c r="F484" s="144">
        <v>0.74070000000000003</v>
      </c>
      <c r="G484" s="144">
        <v>1.0919000000000001</v>
      </c>
      <c r="I484" s="144">
        <v>1</v>
      </c>
      <c r="J484" s="145">
        <f t="shared" si="54"/>
        <v>42286</v>
      </c>
      <c r="K484" s="144">
        <f t="shared" ca="1" si="57"/>
        <v>0.96101038549551132</v>
      </c>
      <c r="L484" s="144">
        <f t="shared" ca="1" si="57"/>
        <v>0.65190987502200315</v>
      </c>
      <c r="M484" s="144">
        <f t="shared" ca="1" si="57"/>
        <v>120.26931878190459</v>
      </c>
      <c r="N484" s="144">
        <f t="shared" ca="1" si="57"/>
        <v>8.0879246611512059</v>
      </c>
      <c r="O484" s="144">
        <f t="shared" ca="1" si="57"/>
        <v>61.049111071994368</v>
      </c>
      <c r="P484" s="144">
        <f t="shared" ca="1" si="57"/>
        <v>1</v>
      </c>
      <c r="Q484" s="144">
        <f t="shared" ca="1" si="57"/>
        <v>0.88012673825030796</v>
      </c>
    </row>
    <row r="485" spans="1:17" x14ac:dyDescent="0.25">
      <c r="A485" s="145">
        <v>42285</v>
      </c>
      <c r="B485" s="144">
        <v>1.1254</v>
      </c>
      <c r="C485" s="144">
        <v>70.330399999999997</v>
      </c>
      <c r="D485" s="144">
        <v>9.2185000000000006</v>
      </c>
      <c r="E485" s="144">
        <v>134.91999999999999</v>
      </c>
      <c r="F485" s="144">
        <v>0.73660000000000003</v>
      </c>
      <c r="G485" s="144">
        <v>1.0934999999999999</v>
      </c>
      <c r="I485" s="144">
        <v>1</v>
      </c>
      <c r="J485" s="145">
        <f t="shared" si="54"/>
        <v>42285</v>
      </c>
      <c r="K485" s="144">
        <f t="shared" ref="K485:Q494" ca="1" si="58">OFFSET($A485,0,K$3)/OFFSET($A485,0,$P$3)</f>
        <v>0.97165452283632481</v>
      </c>
      <c r="L485" s="144">
        <f t="shared" ca="1" si="58"/>
        <v>0.6545228363248623</v>
      </c>
      <c r="M485" s="144">
        <f t="shared" ca="1" si="58"/>
        <v>119.88626266216455</v>
      </c>
      <c r="N485" s="144">
        <f t="shared" ca="1" si="58"/>
        <v>8.1913097565310125</v>
      </c>
      <c r="O485" s="144">
        <f t="shared" ca="1" si="58"/>
        <v>62.493691132041938</v>
      </c>
      <c r="P485" s="144">
        <f t="shared" ca="1" si="58"/>
        <v>1</v>
      </c>
      <c r="Q485" s="144">
        <f t="shared" ca="1" si="58"/>
        <v>0.88857295183934604</v>
      </c>
    </row>
    <row r="486" spans="1:17" x14ac:dyDescent="0.25">
      <c r="A486" s="145">
        <v>42284</v>
      </c>
      <c r="B486" s="144">
        <v>1.1266</v>
      </c>
      <c r="C486" s="144">
        <v>69.956100000000006</v>
      </c>
      <c r="D486" s="144">
        <v>9.2579999999999991</v>
      </c>
      <c r="E486" s="144">
        <v>135.30000000000001</v>
      </c>
      <c r="F486" s="144">
        <v>0.73580000000000001</v>
      </c>
      <c r="G486" s="144">
        <v>1.0882000000000001</v>
      </c>
      <c r="I486" s="144">
        <v>1</v>
      </c>
      <c r="J486" s="145">
        <f t="shared" si="54"/>
        <v>42284</v>
      </c>
      <c r="K486" s="144">
        <f t="shared" ca="1" si="58"/>
        <v>0.9659151429078644</v>
      </c>
      <c r="L486" s="144">
        <f t="shared" ca="1" si="58"/>
        <v>0.65311556896857803</v>
      </c>
      <c r="M486" s="144">
        <f t="shared" ca="1" si="58"/>
        <v>120.09586366057164</v>
      </c>
      <c r="N486" s="144">
        <f t="shared" ca="1" si="58"/>
        <v>8.217646014557074</v>
      </c>
      <c r="O486" s="144">
        <f t="shared" ca="1" si="58"/>
        <v>62.094887271436185</v>
      </c>
      <c r="P486" s="144">
        <f t="shared" ca="1" si="58"/>
        <v>1</v>
      </c>
      <c r="Q486" s="144">
        <f t="shared" ca="1" si="58"/>
        <v>0.88762648677436529</v>
      </c>
    </row>
    <row r="487" spans="1:17" x14ac:dyDescent="0.25">
      <c r="A487" s="145">
        <v>42283</v>
      </c>
      <c r="B487" s="144">
        <v>1.1224000000000001</v>
      </c>
      <c r="C487" s="144">
        <v>72.687200000000004</v>
      </c>
      <c r="D487" s="144">
        <v>9.3765000000000001</v>
      </c>
      <c r="E487" s="144">
        <v>135.07</v>
      </c>
      <c r="F487" s="144">
        <v>0.7399</v>
      </c>
      <c r="G487" s="144">
        <v>1.0935999999999999</v>
      </c>
      <c r="I487" s="144">
        <v>1</v>
      </c>
      <c r="J487" s="145">
        <f t="shared" si="54"/>
        <v>42283</v>
      </c>
      <c r="K487" s="144">
        <f t="shared" ca="1" si="58"/>
        <v>0.97434069850320726</v>
      </c>
      <c r="L487" s="144">
        <f t="shared" ca="1" si="58"/>
        <v>0.6592124019957234</v>
      </c>
      <c r="M487" s="144">
        <f t="shared" ca="1" si="58"/>
        <v>120.34034212401994</v>
      </c>
      <c r="N487" s="144">
        <f t="shared" ca="1" si="58"/>
        <v>8.3539736279401282</v>
      </c>
      <c r="O487" s="144">
        <f t="shared" ca="1" si="58"/>
        <v>64.760513186029939</v>
      </c>
      <c r="P487" s="144">
        <f t="shared" ca="1" si="58"/>
        <v>1</v>
      </c>
      <c r="Q487" s="144">
        <f t="shared" ca="1" si="58"/>
        <v>0.89094796863863146</v>
      </c>
    </row>
    <row r="488" spans="1:17" x14ac:dyDescent="0.25">
      <c r="A488" s="145">
        <v>42282</v>
      </c>
      <c r="B488" s="144">
        <v>1.1235999999999999</v>
      </c>
      <c r="C488" s="144">
        <v>73.155000000000001</v>
      </c>
      <c r="D488" s="144">
        <v>9.3870000000000005</v>
      </c>
      <c r="E488" s="144">
        <v>135.07</v>
      </c>
      <c r="F488" s="144">
        <v>0.74019999999999997</v>
      </c>
      <c r="G488" s="144">
        <v>1.0938000000000001</v>
      </c>
      <c r="I488" s="144">
        <v>1</v>
      </c>
      <c r="J488" s="145">
        <f t="shared" si="54"/>
        <v>42282</v>
      </c>
      <c r="K488" s="144">
        <f t="shared" ca="1" si="58"/>
        <v>0.97347810608757579</v>
      </c>
      <c r="L488" s="144">
        <f t="shared" ca="1" si="58"/>
        <v>0.65877536489854038</v>
      </c>
      <c r="M488" s="144">
        <f t="shared" ca="1" si="58"/>
        <v>120.21181915272339</v>
      </c>
      <c r="N488" s="144">
        <f t="shared" ca="1" si="58"/>
        <v>8.3543965824136706</v>
      </c>
      <c r="O488" s="144">
        <f t="shared" ca="1" si="58"/>
        <v>65.107689569241728</v>
      </c>
      <c r="P488" s="144">
        <f t="shared" ca="1" si="58"/>
        <v>1</v>
      </c>
      <c r="Q488" s="144">
        <f t="shared" ca="1" si="58"/>
        <v>0.88999644001423994</v>
      </c>
    </row>
    <row r="489" spans="1:17" x14ac:dyDescent="0.25">
      <c r="A489" s="145">
        <v>42281</v>
      </c>
      <c r="B489" s="144">
        <v>1.1160000000000001</v>
      </c>
      <c r="C489" s="144">
        <v>74.085800000000006</v>
      </c>
      <c r="D489" s="144">
        <v>9.4124999999999996</v>
      </c>
      <c r="E489" s="144">
        <v>134.24</v>
      </c>
      <c r="F489" s="144">
        <v>0.73580000000000001</v>
      </c>
      <c r="G489" s="144">
        <v>1.0923</v>
      </c>
      <c r="I489" s="144">
        <v>1</v>
      </c>
      <c r="J489" s="145">
        <f t="shared" si="54"/>
        <v>42281</v>
      </c>
      <c r="K489" s="144">
        <f t="shared" ca="1" si="58"/>
        <v>0.97876344086021505</v>
      </c>
      <c r="L489" s="144">
        <f t="shared" ca="1" si="58"/>
        <v>0.65931899641577052</v>
      </c>
      <c r="M489" s="144">
        <f t="shared" ca="1" si="58"/>
        <v>120.28673835125447</v>
      </c>
      <c r="N489" s="144">
        <f t="shared" ca="1" si="58"/>
        <v>8.4341397849462361</v>
      </c>
      <c r="O489" s="144">
        <f t="shared" ca="1" si="58"/>
        <v>66.385125448028674</v>
      </c>
      <c r="P489" s="144">
        <f t="shared" ca="1" si="58"/>
        <v>1</v>
      </c>
      <c r="Q489" s="144">
        <f t="shared" ca="1" si="58"/>
        <v>0.8960573476702508</v>
      </c>
    </row>
    <row r="490" spans="1:17" x14ac:dyDescent="0.25">
      <c r="A490" s="145">
        <v>42280</v>
      </c>
      <c r="B490" s="144">
        <v>1.1160000000000001</v>
      </c>
      <c r="C490" s="144">
        <v>74.085800000000006</v>
      </c>
      <c r="D490" s="144">
        <v>9.4124999999999996</v>
      </c>
      <c r="E490" s="144">
        <v>134.24</v>
      </c>
      <c r="F490" s="144">
        <v>0.73580000000000001</v>
      </c>
      <c r="G490" s="144">
        <v>1.0923</v>
      </c>
      <c r="I490" s="144">
        <v>1</v>
      </c>
      <c r="J490" s="145">
        <f t="shared" si="54"/>
        <v>42280</v>
      </c>
      <c r="K490" s="144">
        <f t="shared" ca="1" si="58"/>
        <v>0.97876344086021505</v>
      </c>
      <c r="L490" s="144">
        <f t="shared" ca="1" si="58"/>
        <v>0.65931899641577052</v>
      </c>
      <c r="M490" s="144">
        <f t="shared" ca="1" si="58"/>
        <v>120.28673835125447</v>
      </c>
      <c r="N490" s="144">
        <f t="shared" ca="1" si="58"/>
        <v>8.4341397849462361</v>
      </c>
      <c r="O490" s="144">
        <f t="shared" ca="1" si="58"/>
        <v>66.385125448028674</v>
      </c>
      <c r="P490" s="144">
        <f t="shared" ca="1" si="58"/>
        <v>1</v>
      </c>
      <c r="Q490" s="144">
        <f t="shared" ca="1" si="58"/>
        <v>0.8960573476702508</v>
      </c>
    </row>
    <row r="491" spans="1:17" x14ac:dyDescent="0.25">
      <c r="A491" s="145">
        <v>42279</v>
      </c>
      <c r="B491" s="144">
        <v>1.1160000000000001</v>
      </c>
      <c r="C491" s="144">
        <v>74.085800000000006</v>
      </c>
      <c r="D491" s="144">
        <v>9.4124999999999996</v>
      </c>
      <c r="E491" s="144">
        <v>134.24</v>
      </c>
      <c r="F491" s="144">
        <v>0.73580000000000001</v>
      </c>
      <c r="G491" s="144">
        <v>1.0923</v>
      </c>
      <c r="I491" s="144">
        <v>1</v>
      </c>
      <c r="J491" s="145">
        <f t="shared" si="54"/>
        <v>42279</v>
      </c>
      <c r="K491" s="144">
        <f t="shared" ca="1" si="58"/>
        <v>0.97876344086021505</v>
      </c>
      <c r="L491" s="144">
        <f t="shared" ca="1" si="58"/>
        <v>0.65931899641577052</v>
      </c>
      <c r="M491" s="144">
        <f t="shared" ca="1" si="58"/>
        <v>120.28673835125447</v>
      </c>
      <c r="N491" s="144">
        <f t="shared" ca="1" si="58"/>
        <v>8.4341397849462361</v>
      </c>
      <c r="O491" s="144">
        <f t="shared" ca="1" si="58"/>
        <v>66.385125448028674</v>
      </c>
      <c r="P491" s="144">
        <f t="shared" ca="1" si="58"/>
        <v>1</v>
      </c>
      <c r="Q491" s="144">
        <f t="shared" ca="1" si="58"/>
        <v>0.8960573476702508</v>
      </c>
    </row>
    <row r="492" spans="1:17" x14ac:dyDescent="0.25">
      <c r="A492" s="145">
        <v>42278</v>
      </c>
      <c r="B492" s="144">
        <v>1.1153</v>
      </c>
      <c r="C492" s="144">
        <v>73.0745</v>
      </c>
      <c r="D492" s="144">
        <v>9.4565000000000001</v>
      </c>
      <c r="E492" s="144">
        <v>133.56</v>
      </c>
      <c r="F492" s="144">
        <v>0.73670000000000002</v>
      </c>
      <c r="G492" s="144">
        <v>1.0903</v>
      </c>
      <c r="I492" s="144">
        <v>1</v>
      </c>
      <c r="J492" s="145">
        <f t="shared" si="54"/>
        <v>42278</v>
      </c>
      <c r="K492" s="144">
        <f t="shared" ca="1" si="58"/>
        <v>0.97758450641083128</v>
      </c>
      <c r="L492" s="144">
        <f t="shared" ca="1" si="58"/>
        <v>0.66053976508562728</v>
      </c>
      <c r="M492" s="144">
        <f t="shared" ca="1" si="58"/>
        <v>119.75253295077559</v>
      </c>
      <c r="N492" s="144">
        <f t="shared" ca="1" si="58"/>
        <v>8.4788846050390028</v>
      </c>
      <c r="O492" s="144">
        <f t="shared" ca="1" si="58"/>
        <v>65.520039451268715</v>
      </c>
      <c r="P492" s="144">
        <f t="shared" ca="1" si="58"/>
        <v>1</v>
      </c>
      <c r="Q492" s="144">
        <f t="shared" ca="1" si="58"/>
        <v>0.89661974356675334</v>
      </c>
    </row>
    <row r="493" spans="1:17" x14ac:dyDescent="0.25">
      <c r="A493" s="145">
        <v>42277</v>
      </c>
      <c r="B493" s="144">
        <v>1.1203000000000001</v>
      </c>
      <c r="C493" s="144">
        <v>73.241600000000005</v>
      </c>
      <c r="D493" s="144">
        <v>9.5244999999999997</v>
      </c>
      <c r="E493" s="144">
        <v>134.69</v>
      </c>
      <c r="F493" s="144">
        <v>0.73850000000000005</v>
      </c>
      <c r="G493" s="144">
        <v>1.0914999999999999</v>
      </c>
      <c r="I493" s="144">
        <v>1</v>
      </c>
      <c r="J493" s="145">
        <f t="shared" si="54"/>
        <v>42277</v>
      </c>
      <c r="K493" s="144">
        <f t="shared" ca="1" si="58"/>
        <v>0.97429260019637587</v>
      </c>
      <c r="L493" s="144">
        <f t="shared" ca="1" si="58"/>
        <v>0.65919842899223424</v>
      </c>
      <c r="M493" s="144">
        <f t="shared" ca="1" si="58"/>
        <v>120.22672498437917</v>
      </c>
      <c r="N493" s="144">
        <f t="shared" ca="1" si="58"/>
        <v>8.501740605195037</v>
      </c>
      <c r="O493" s="144">
        <f t="shared" ca="1" si="58"/>
        <v>65.376774078371866</v>
      </c>
      <c r="P493" s="144">
        <f t="shared" ca="1" si="58"/>
        <v>1</v>
      </c>
      <c r="Q493" s="144">
        <f t="shared" ca="1" si="58"/>
        <v>0.89261804873694539</v>
      </c>
    </row>
    <row r="494" spans="1:17" x14ac:dyDescent="0.25">
      <c r="A494" s="145">
        <v>42276</v>
      </c>
      <c r="B494" s="144">
        <v>1.1204000000000001</v>
      </c>
      <c r="C494" s="144">
        <v>73.456699999999998</v>
      </c>
      <c r="D494" s="144">
        <v>9.5220000000000002</v>
      </c>
      <c r="E494" s="144">
        <v>134.38</v>
      </c>
      <c r="F494" s="144">
        <v>0.73909999999999998</v>
      </c>
      <c r="G494" s="144">
        <v>1.0901000000000001</v>
      </c>
      <c r="I494" s="144">
        <v>1</v>
      </c>
      <c r="J494" s="145">
        <f t="shared" si="54"/>
        <v>42276</v>
      </c>
      <c r="K494" s="144">
        <f t="shared" ca="1" si="58"/>
        <v>0.97295608711174586</v>
      </c>
      <c r="L494" s="144">
        <f t="shared" ca="1" si="58"/>
        <v>0.65967511602998918</v>
      </c>
      <c r="M494" s="144">
        <f t="shared" ca="1" si="58"/>
        <v>119.93930739021776</v>
      </c>
      <c r="N494" s="144">
        <f t="shared" ca="1" si="58"/>
        <v>8.4987504462691899</v>
      </c>
      <c r="O494" s="144">
        <f t="shared" ca="1" si="58"/>
        <v>65.562923955730085</v>
      </c>
      <c r="P494" s="144">
        <f t="shared" ca="1" si="58"/>
        <v>1</v>
      </c>
      <c r="Q494" s="144">
        <f t="shared" ca="1" si="58"/>
        <v>0.89253837915030343</v>
      </c>
    </row>
    <row r="495" spans="1:17" x14ac:dyDescent="0.25">
      <c r="A495" s="145">
        <v>42275</v>
      </c>
      <c r="B495" s="144">
        <v>1.117</v>
      </c>
      <c r="C495" s="144">
        <v>73.373699999999999</v>
      </c>
      <c r="D495" s="144">
        <v>9.5820000000000007</v>
      </c>
      <c r="E495" s="144">
        <v>134.13</v>
      </c>
      <c r="F495" s="144">
        <v>0.73519999999999996</v>
      </c>
      <c r="G495" s="144">
        <v>1.0941000000000001</v>
      </c>
      <c r="I495" s="144">
        <v>1</v>
      </c>
      <c r="J495" s="145">
        <f t="shared" si="54"/>
        <v>42275</v>
      </c>
      <c r="K495" s="144">
        <f t="shared" ref="K495:Q504" ca="1" si="59">OFFSET($A495,0,K$3)/OFFSET($A495,0,$P$3)</f>
        <v>0.97949865711727846</v>
      </c>
      <c r="L495" s="144">
        <f t="shared" ca="1" si="59"/>
        <v>0.65819158460161142</v>
      </c>
      <c r="M495" s="144">
        <f t="shared" ca="1" si="59"/>
        <v>120.08057296329453</v>
      </c>
      <c r="N495" s="144">
        <f t="shared" ca="1" si="59"/>
        <v>8.5783348254252463</v>
      </c>
      <c r="O495" s="144">
        <f t="shared" ca="1" si="59"/>
        <v>65.688182632050129</v>
      </c>
      <c r="P495" s="144">
        <f t="shared" ca="1" si="59"/>
        <v>1</v>
      </c>
      <c r="Q495" s="144">
        <f t="shared" ca="1" si="59"/>
        <v>0.89525514771709935</v>
      </c>
    </row>
    <row r="496" spans="1:17" x14ac:dyDescent="0.25">
      <c r="A496" s="145">
        <v>42274</v>
      </c>
      <c r="B496" s="144">
        <v>1.1151</v>
      </c>
      <c r="C496" s="144">
        <v>73.2</v>
      </c>
      <c r="D496" s="144">
        <v>9.5129999999999999</v>
      </c>
      <c r="E496" s="144">
        <v>134.91999999999999</v>
      </c>
      <c r="F496" s="144">
        <v>0.73475000000000001</v>
      </c>
      <c r="G496" s="144">
        <v>1.0922000000000001</v>
      </c>
      <c r="I496" s="144">
        <v>1</v>
      </c>
      <c r="J496" s="145">
        <f t="shared" si="54"/>
        <v>42274</v>
      </c>
      <c r="K496" s="144">
        <f t="shared" ca="1" si="59"/>
        <v>0.97946372522643721</v>
      </c>
      <c r="L496" s="144">
        <f t="shared" ca="1" si="59"/>
        <v>0.65890951484171822</v>
      </c>
      <c r="M496" s="144">
        <f t="shared" ca="1" si="59"/>
        <v>120.99363285803963</v>
      </c>
      <c r="N496" s="144">
        <f t="shared" ca="1" si="59"/>
        <v>8.5310734463276834</v>
      </c>
      <c r="O496" s="144">
        <f t="shared" ca="1" si="59"/>
        <v>65.644336830777519</v>
      </c>
      <c r="P496" s="144">
        <f t="shared" ca="1" si="59"/>
        <v>1</v>
      </c>
      <c r="Q496" s="144">
        <f t="shared" ca="1" si="59"/>
        <v>0.89678055779750698</v>
      </c>
    </row>
    <row r="497" spans="1:17" x14ac:dyDescent="0.25">
      <c r="A497" s="145">
        <v>42273</v>
      </c>
      <c r="B497" s="144">
        <v>1.1151</v>
      </c>
      <c r="C497" s="144">
        <v>73.2</v>
      </c>
      <c r="D497" s="144">
        <v>9.5129999999999999</v>
      </c>
      <c r="E497" s="144">
        <v>134.91999999999999</v>
      </c>
      <c r="F497" s="144">
        <v>0.73475000000000001</v>
      </c>
      <c r="G497" s="144">
        <v>1.0922000000000001</v>
      </c>
      <c r="I497" s="144">
        <v>1</v>
      </c>
      <c r="J497" s="145">
        <f t="shared" si="54"/>
        <v>42273</v>
      </c>
      <c r="K497" s="144">
        <f t="shared" ca="1" si="59"/>
        <v>0.97946372522643721</v>
      </c>
      <c r="L497" s="144">
        <f t="shared" ca="1" si="59"/>
        <v>0.65890951484171822</v>
      </c>
      <c r="M497" s="144">
        <f t="shared" ca="1" si="59"/>
        <v>120.99363285803963</v>
      </c>
      <c r="N497" s="144">
        <f t="shared" ca="1" si="59"/>
        <v>8.5310734463276834</v>
      </c>
      <c r="O497" s="144">
        <f t="shared" ca="1" si="59"/>
        <v>65.644336830777519</v>
      </c>
      <c r="P497" s="144">
        <f t="shared" ca="1" si="59"/>
        <v>1</v>
      </c>
      <c r="Q497" s="144">
        <f t="shared" ca="1" si="59"/>
        <v>0.89678055779750698</v>
      </c>
    </row>
    <row r="498" spans="1:17" x14ac:dyDescent="0.25">
      <c r="A498" s="145">
        <v>42272</v>
      </c>
      <c r="B498" s="144">
        <v>1.1151</v>
      </c>
      <c r="C498" s="144">
        <v>73.2</v>
      </c>
      <c r="D498" s="144">
        <v>9.5129999999999999</v>
      </c>
      <c r="E498" s="144">
        <v>134.91999999999999</v>
      </c>
      <c r="F498" s="144">
        <v>0.73475000000000001</v>
      </c>
      <c r="G498" s="144">
        <v>1.0922000000000001</v>
      </c>
      <c r="I498" s="144">
        <v>1</v>
      </c>
      <c r="J498" s="145">
        <f t="shared" si="54"/>
        <v>42272</v>
      </c>
      <c r="K498" s="144">
        <f t="shared" ca="1" si="59"/>
        <v>0.97946372522643721</v>
      </c>
      <c r="L498" s="144">
        <f t="shared" ca="1" si="59"/>
        <v>0.65890951484171822</v>
      </c>
      <c r="M498" s="144">
        <f t="shared" ca="1" si="59"/>
        <v>120.99363285803963</v>
      </c>
      <c r="N498" s="144">
        <f t="shared" ca="1" si="59"/>
        <v>8.5310734463276834</v>
      </c>
      <c r="O498" s="144">
        <f t="shared" ca="1" si="59"/>
        <v>65.644336830777519</v>
      </c>
      <c r="P498" s="144">
        <f t="shared" ca="1" si="59"/>
        <v>1</v>
      </c>
      <c r="Q498" s="144">
        <f t="shared" ca="1" si="59"/>
        <v>0.89678055779750698</v>
      </c>
    </row>
    <row r="499" spans="1:17" x14ac:dyDescent="0.25">
      <c r="A499" s="145">
        <v>42271</v>
      </c>
      <c r="B499" s="144">
        <v>1.1241000000000001</v>
      </c>
      <c r="C499" s="144">
        <v>74.794499999999999</v>
      </c>
      <c r="D499" s="144">
        <v>9.4629999999999992</v>
      </c>
      <c r="E499" s="144">
        <v>134.47999999999999</v>
      </c>
      <c r="F499" s="144">
        <v>0.73870000000000002</v>
      </c>
      <c r="G499" s="144">
        <v>1.0928</v>
      </c>
      <c r="I499" s="144">
        <v>1</v>
      </c>
      <c r="J499" s="145">
        <f t="shared" si="54"/>
        <v>42271</v>
      </c>
      <c r="K499" s="144">
        <f t="shared" ca="1" si="59"/>
        <v>0.97215550217952129</v>
      </c>
      <c r="L499" s="144">
        <f t="shared" ca="1" si="59"/>
        <v>0.65714794057468195</v>
      </c>
      <c r="M499" s="144">
        <f t="shared" ca="1" si="59"/>
        <v>119.63348456543011</v>
      </c>
      <c r="N499" s="144">
        <f t="shared" ca="1" si="59"/>
        <v>8.4182901877057184</v>
      </c>
      <c r="O499" s="144">
        <f t="shared" ca="1" si="59"/>
        <v>66.537229783827058</v>
      </c>
      <c r="P499" s="144">
        <f t="shared" ca="1" si="59"/>
        <v>1</v>
      </c>
      <c r="Q499" s="144">
        <f t="shared" ca="1" si="59"/>
        <v>0.88960056934436427</v>
      </c>
    </row>
    <row r="500" spans="1:17" x14ac:dyDescent="0.25">
      <c r="A500" s="145">
        <v>42270</v>
      </c>
      <c r="B500" s="144">
        <v>1.115</v>
      </c>
      <c r="C500" s="144">
        <v>73.601900000000001</v>
      </c>
      <c r="D500" s="144">
        <v>9.2370000000000001</v>
      </c>
      <c r="E500" s="144">
        <v>134.03</v>
      </c>
      <c r="F500" s="144">
        <v>0.72970000000000002</v>
      </c>
      <c r="G500" s="144">
        <v>1.0882000000000001</v>
      </c>
      <c r="I500" s="144">
        <v>1</v>
      </c>
      <c r="J500" s="145">
        <f t="shared" si="54"/>
        <v>42270</v>
      </c>
      <c r="K500" s="144">
        <f t="shared" ca="1" si="59"/>
        <v>0.97596412556053813</v>
      </c>
      <c r="L500" s="144">
        <f t="shared" ca="1" si="59"/>
        <v>0.65443946188340807</v>
      </c>
      <c r="M500" s="144">
        <f t="shared" ca="1" si="59"/>
        <v>120.20627802690584</v>
      </c>
      <c r="N500" s="144">
        <f t="shared" ca="1" si="59"/>
        <v>8.2843049327354255</v>
      </c>
      <c r="O500" s="144">
        <f t="shared" ca="1" si="59"/>
        <v>66.010672645739916</v>
      </c>
      <c r="P500" s="144">
        <f t="shared" ca="1" si="59"/>
        <v>1</v>
      </c>
      <c r="Q500" s="144">
        <f t="shared" ca="1" si="59"/>
        <v>0.89686098654708524</v>
      </c>
    </row>
    <row r="501" spans="1:17" x14ac:dyDescent="0.25">
      <c r="A501" s="145">
        <v>42269</v>
      </c>
      <c r="B501" s="144">
        <v>1.1154999999999999</v>
      </c>
      <c r="C501" s="144">
        <v>73.978999999999999</v>
      </c>
      <c r="D501" s="144">
        <v>9.2144999999999992</v>
      </c>
      <c r="E501" s="144">
        <v>133.75</v>
      </c>
      <c r="F501" s="144">
        <v>0.72230000000000005</v>
      </c>
      <c r="G501" s="144">
        <v>1.0860000000000001</v>
      </c>
      <c r="I501" s="144">
        <v>1</v>
      </c>
      <c r="J501" s="145">
        <f t="shared" si="54"/>
        <v>42269</v>
      </c>
      <c r="K501" s="144">
        <f t="shared" ca="1" si="59"/>
        <v>0.97355445988346045</v>
      </c>
      <c r="L501" s="144">
        <f t="shared" ca="1" si="59"/>
        <v>0.64751232631107136</v>
      </c>
      <c r="M501" s="144">
        <f t="shared" ca="1" si="59"/>
        <v>119.90138951142985</v>
      </c>
      <c r="N501" s="144">
        <f t="shared" ca="1" si="59"/>
        <v>8.2604213357238905</v>
      </c>
      <c r="O501" s="144">
        <f t="shared" ca="1" si="59"/>
        <v>66.319139399372489</v>
      </c>
      <c r="P501" s="144">
        <f t="shared" ca="1" si="59"/>
        <v>1</v>
      </c>
      <c r="Q501" s="144">
        <f t="shared" ca="1" si="59"/>
        <v>0.89645898700134474</v>
      </c>
    </row>
    <row r="502" spans="1:17" x14ac:dyDescent="0.25">
      <c r="A502" s="145">
        <v>42268</v>
      </c>
      <c r="B502" s="144">
        <v>1.125</v>
      </c>
      <c r="C502" s="144">
        <v>74.112499999999997</v>
      </c>
      <c r="D502" s="144">
        <v>9.2204999999999995</v>
      </c>
      <c r="E502" s="144">
        <v>135.5</v>
      </c>
      <c r="F502" s="144">
        <v>0.72430000000000005</v>
      </c>
      <c r="G502" s="144">
        <v>1.0906</v>
      </c>
      <c r="I502" s="144">
        <v>1</v>
      </c>
      <c r="J502" s="145">
        <f t="shared" si="54"/>
        <v>42268</v>
      </c>
      <c r="K502" s="144">
        <f t="shared" ca="1" si="59"/>
        <v>0.96942222222222219</v>
      </c>
      <c r="L502" s="144">
        <f t="shared" ca="1" si="59"/>
        <v>0.6438222222222223</v>
      </c>
      <c r="M502" s="144">
        <f t="shared" ca="1" si="59"/>
        <v>120.44444444444444</v>
      </c>
      <c r="N502" s="144">
        <f t="shared" ca="1" si="59"/>
        <v>8.1959999999999997</v>
      </c>
      <c r="O502" s="144">
        <f t="shared" ca="1" si="59"/>
        <v>65.87777777777778</v>
      </c>
      <c r="P502" s="144">
        <f t="shared" ca="1" si="59"/>
        <v>1</v>
      </c>
      <c r="Q502" s="144">
        <f t="shared" ca="1" si="59"/>
        <v>0.88888888888888884</v>
      </c>
    </row>
    <row r="503" spans="1:17" x14ac:dyDescent="0.25">
      <c r="A503" s="145">
        <v>42267</v>
      </c>
      <c r="B503" s="144">
        <v>1.1418999999999999</v>
      </c>
      <c r="C503" s="144">
        <v>75.159899999999993</v>
      </c>
      <c r="D503" s="144">
        <v>9.2370000000000001</v>
      </c>
      <c r="E503" s="144">
        <v>136.31</v>
      </c>
      <c r="F503" s="144">
        <v>0.7298</v>
      </c>
      <c r="G503" s="144">
        <v>1.0912999999999999</v>
      </c>
      <c r="I503" s="144">
        <v>1</v>
      </c>
      <c r="J503" s="145">
        <f t="shared" si="54"/>
        <v>42267</v>
      </c>
      <c r="K503" s="144">
        <f t="shared" ca="1" si="59"/>
        <v>0.95568788860670817</v>
      </c>
      <c r="L503" s="144">
        <f t="shared" ca="1" si="59"/>
        <v>0.63911025483842721</v>
      </c>
      <c r="M503" s="144">
        <f t="shared" ca="1" si="59"/>
        <v>119.37122339959717</v>
      </c>
      <c r="N503" s="144">
        <f t="shared" ca="1" si="59"/>
        <v>8.0891496628426314</v>
      </c>
      <c r="O503" s="144">
        <f t="shared" ca="1" si="59"/>
        <v>65.820036780803918</v>
      </c>
      <c r="P503" s="144">
        <f t="shared" ca="1" si="59"/>
        <v>1</v>
      </c>
      <c r="Q503" s="144">
        <f t="shared" ca="1" si="59"/>
        <v>0.87573342674489896</v>
      </c>
    </row>
    <row r="504" spans="1:17" x14ac:dyDescent="0.25">
      <c r="A504" s="145">
        <v>42266</v>
      </c>
      <c r="B504" s="144">
        <v>1.1418999999999999</v>
      </c>
      <c r="C504" s="144">
        <v>75.159899999999993</v>
      </c>
      <c r="D504" s="144">
        <v>9.2370000000000001</v>
      </c>
      <c r="E504" s="144">
        <v>136.31</v>
      </c>
      <c r="F504" s="144">
        <v>0.7298</v>
      </c>
      <c r="G504" s="144">
        <v>1.0912999999999999</v>
      </c>
      <c r="I504" s="144">
        <v>1</v>
      </c>
      <c r="J504" s="145">
        <f t="shared" si="54"/>
        <v>42266</v>
      </c>
      <c r="K504" s="144">
        <f t="shared" ca="1" si="59"/>
        <v>0.95568788860670817</v>
      </c>
      <c r="L504" s="144">
        <f t="shared" ca="1" si="59"/>
        <v>0.63911025483842721</v>
      </c>
      <c r="M504" s="144">
        <f t="shared" ca="1" si="59"/>
        <v>119.37122339959717</v>
      </c>
      <c r="N504" s="144">
        <f t="shared" ca="1" si="59"/>
        <v>8.0891496628426314</v>
      </c>
      <c r="O504" s="144">
        <f t="shared" ca="1" si="59"/>
        <v>65.820036780803918</v>
      </c>
      <c r="P504" s="144">
        <f t="shared" ca="1" si="59"/>
        <v>1</v>
      </c>
      <c r="Q504" s="144">
        <f t="shared" ca="1" si="59"/>
        <v>0.87573342674489896</v>
      </c>
    </row>
    <row r="505" spans="1:17" x14ac:dyDescent="0.25">
      <c r="A505" s="145">
        <v>42265</v>
      </c>
      <c r="B505" s="144">
        <v>1.1418999999999999</v>
      </c>
      <c r="C505" s="144">
        <v>75.159899999999993</v>
      </c>
      <c r="D505" s="144">
        <v>9.2370000000000001</v>
      </c>
      <c r="E505" s="144">
        <v>136.31</v>
      </c>
      <c r="F505" s="144">
        <v>0.7298</v>
      </c>
      <c r="G505" s="144">
        <v>1.0912999999999999</v>
      </c>
      <c r="I505" s="144">
        <v>1</v>
      </c>
      <c r="J505" s="145">
        <f t="shared" si="54"/>
        <v>42265</v>
      </c>
      <c r="K505" s="144">
        <f t="shared" ref="K505:Q514" ca="1" si="60">OFFSET($A505,0,K$3)/OFFSET($A505,0,$P$3)</f>
        <v>0.95568788860670817</v>
      </c>
      <c r="L505" s="144">
        <f t="shared" ca="1" si="60"/>
        <v>0.63911025483842721</v>
      </c>
      <c r="M505" s="144">
        <f t="shared" ca="1" si="60"/>
        <v>119.37122339959717</v>
      </c>
      <c r="N505" s="144">
        <f t="shared" ca="1" si="60"/>
        <v>8.0891496628426314</v>
      </c>
      <c r="O505" s="144">
        <f t="shared" ca="1" si="60"/>
        <v>65.820036780803918</v>
      </c>
      <c r="P505" s="144">
        <f t="shared" ca="1" si="60"/>
        <v>1</v>
      </c>
      <c r="Q505" s="144">
        <f t="shared" ca="1" si="60"/>
        <v>0.87573342674489896</v>
      </c>
    </row>
    <row r="506" spans="1:17" x14ac:dyDescent="0.25">
      <c r="A506" s="145">
        <v>42264</v>
      </c>
      <c r="B506" s="144">
        <v>1.1312</v>
      </c>
      <c r="C506" s="144">
        <v>74.520600000000002</v>
      </c>
      <c r="D506" s="144">
        <v>9.2164999999999999</v>
      </c>
      <c r="E506" s="144">
        <v>136.76</v>
      </c>
      <c r="F506" s="144">
        <v>0.72865000000000002</v>
      </c>
      <c r="G506" s="144">
        <v>1.095</v>
      </c>
      <c r="I506" s="144">
        <v>1</v>
      </c>
      <c r="J506" s="145">
        <f t="shared" si="54"/>
        <v>42264</v>
      </c>
      <c r="K506" s="144">
        <f t="shared" ca="1" si="60"/>
        <v>0.96799858557284302</v>
      </c>
      <c r="L506" s="144">
        <f t="shared" ca="1" si="60"/>
        <v>0.64413896746817545</v>
      </c>
      <c r="M506" s="144">
        <f t="shared" ca="1" si="60"/>
        <v>120.89816124469588</v>
      </c>
      <c r="N506" s="144">
        <f t="shared" ca="1" si="60"/>
        <v>8.1475424328147099</v>
      </c>
      <c r="O506" s="144">
        <f t="shared" ca="1" si="60"/>
        <v>65.877475247524757</v>
      </c>
      <c r="P506" s="144">
        <f t="shared" ca="1" si="60"/>
        <v>1</v>
      </c>
      <c r="Q506" s="144">
        <f t="shared" ca="1" si="60"/>
        <v>0.88401697312588401</v>
      </c>
    </row>
    <row r="507" spans="1:17" x14ac:dyDescent="0.25">
      <c r="A507" s="145">
        <v>42263</v>
      </c>
      <c r="B507" s="144">
        <v>1.1228</v>
      </c>
      <c r="C507" s="144">
        <v>73.8232</v>
      </c>
      <c r="D507" s="144">
        <v>9.2385000000000002</v>
      </c>
      <c r="E507" s="144">
        <v>135.44999999999999</v>
      </c>
      <c r="F507" s="144">
        <v>0.72665000000000002</v>
      </c>
      <c r="G507" s="144">
        <v>1.0943000000000001</v>
      </c>
      <c r="I507" s="144">
        <v>1</v>
      </c>
      <c r="J507" s="145">
        <f t="shared" si="54"/>
        <v>42263</v>
      </c>
      <c r="K507" s="144">
        <f t="shared" ca="1" si="60"/>
        <v>0.97461702885643042</v>
      </c>
      <c r="L507" s="144">
        <f t="shared" ca="1" si="60"/>
        <v>0.64717670110438186</v>
      </c>
      <c r="M507" s="144">
        <f t="shared" ca="1" si="60"/>
        <v>120.63591022443889</v>
      </c>
      <c r="N507" s="144">
        <f t="shared" ca="1" si="60"/>
        <v>8.2280904880655505</v>
      </c>
      <c r="O507" s="144">
        <f t="shared" ca="1" si="60"/>
        <v>65.749198432490203</v>
      </c>
      <c r="P507" s="144">
        <f t="shared" ca="1" si="60"/>
        <v>1</v>
      </c>
      <c r="Q507" s="144">
        <f t="shared" ca="1" si="60"/>
        <v>0.89063056644104022</v>
      </c>
    </row>
    <row r="508" spans="1:17" x14ac:dyDescent="0.25">
      <c r="A508" s="145">
        <v>42262</v>
      </c>
      <c r="B508" s="144">
        <v>1.1319999999999999</v>
      </c>
      <c r="C508" s="144">
        <v>75.481800000000007</v>
      </c>
      <c r="D508" s="144">
        <v>9.2565000000000008</v>
      </c>
      <c r="E508" s="144">
        <v>135.44</v>
      </c>
      <c r="F508" s="144">
        <v>0.73460000000000003</v>
      </c>
      <c r="G508" s="144">
        <v>1.0971</v>
      </c>
      <c r="I508" s="144">
        <v>1</v>
      </c>
      <c r="J508" s="145">
        <f t="shared" si="54"/>
        <v>42262</v>
      </c>
      <c r="K508" s="144">
        <f t="shared" ca="1" si="60"/>
        <v>0.96916961130742052</v>
      </c>
      <c r="L508" s="144">
        <f t="shared" ca="1" si="60"/>
        <v>0.64893992932862199</v>
      </c>
      <c r="M508" s="144">
        <f t="shared" ca="1" si="60"/>
        <v>119.64664310954065</v>
      </c>
      <c r="N508" s="144">
        <f t="shared" ca="1" si="60"/>
        <v>8.1771201413427583</v>
      </c>
      <c r="O508" s="144">
        <f t="shared" ca="1" si="60"/>
        <v>66.680035335689055</v>
      </c>
      <c r="P508" s="144">
        <f t="shared" ca="1" si="60"/>
        <v>1</v>
      </c>
      <c r="Q508" s="144">
        <f t="shared" ca="1" si="60"/>
        <v>0.88339222614840995</v>
      </c>
    </row>
    <row r="509" spans="1:17" x14ac:dyDescent="0.25">
      <c r="A509" s="145">
        <v>42261</v>
      </c>
      <c r="B509" s="144">
        <v>1.1305000000000001</v>
      </c>
      <c r="C509" s="144">
        <v>76.485100000000003</v>
      </c>
      <c r="D509" s="144">
        <v>9.2569999999999997</v>
      </c>
      <c r="E509" s="144">
        <v>136.04</v>
      </c>
      <c r="F509" s="144">
        <v>0.73340000000000005</v>
      </c>
      <c r="G509" s="144">
        <v>1.0979000000000001</v>
      </c>
      <c r="I509" s="144">
        <v>1</v>
      </c>
      <c r="J509" s="145">
        <f t="shared" si="54"/>
        <v>42261</v>
      </c>
      <c r="K509" s="144">
        <f t="shared" ca="1" si="60"/>
        <v>0.97116320212295448</v>
      </c>
      <c r="L509" s="144">
        <f t="shared" ca="1" si="60"/>
        <v>0.64873949579831935</v>
      </c>
      <c r="M509" s="144">
        <f t="shared" ca="1" si="60"/>
        <v>120.3361344537815</v>
      </c>
      <c r="N509" s="144">
        <f t="shared" ca="1" si="60"/>
        <v>8.1884122069880583</v>
      </c>
      <c r="O509" s="144">
        <f t="shared" ca="1" si="60"/>
        <v>67.655992923485186</v>
      </c>
      <c r="P509" s="144">
        <f t="shared" ca="1" si="60"/>
        <v>1</v>
      </c>
      <c r="Q509" s="144">
        <f t="shared" ca="1" si="60"/>
        <v>0.8845643520566121</v>
      </c>
    </row>
    <row r="510" spans="1:17" x14ac:dyDescent="0.25">
      <c r="A510" s="145">
        <v>42260</v>
      </c>
      <c r="B510" s="144">
        <v>1.1268</v>
      </c>
      <c r="C510" s="144">
        <v>76.605999999999995</v>
      </c>
      <c r="D510" s="144">
        <v>9.2710000000000008</v>
      </c>
      <c r="E510" s="144">
        <v>136.02000000000001</v>
      </c>
      <c r="F510" s="144">
        <v>0.73060000000000003</v>
      </c>
      <c r="G510" s="144">
        <v>1.1031</v>
      </c>
      <c r="I510" s="144">
        <v>1</v>
      </c>
      <c r="J510" s="145">
        <f t="shared" si="54"/>
        <v>42260</v>
      </c>
      <c r="K510" s="144">
        <f t="shared" ca="1" si="60"/>
        <v>0.9789669861554845</v>
      </c>
      <c r="L510" s="144">
        <f t="shared" ca="1" si="60"/>
        <v>0.64838480653177144</v>
      </c>
      <c r="M510" s="144">
        <f t="shared" ca="1" si="60"/>
        <v>120.71352502662407</v>
      </c>
      <c r="N510" s="144">
        <f t="shared" ca="1" si="60"/>
        <v>8.2277245296414634</v>
      </c>
      <c r="O510" s="144">
        <f t="shared" ca="1" si="60"/>
        <v>67.985445509407171</v>
      </c>
      <c r="P510" s="144">
        <f t="shared" ca="1" si="60"/>
        <v>1</v>
      </c>
      <c r="Q510" s="144">
        <f t="shared" ca="1" si="60"/>
        <v>0.88746893858714948</v>
      </c>
    </row>
    <row r="511" spans="1:17" x14ac:dyDescent="0.25">
      <c r="A511" s="145">
        <v>42259</v>
      </c>
      <c r="B511" s="144">
        <v>1.1268</v>
      </c>
      <c r="C511" s="144">
        <v>76.605999999999995</v>
      </c>
      <c r="D511" s="144">
        <v>9.2710000000000008</v>
      </c>
      <c r="E511" s="144">
        <v>136.02000000000001</v>
      </c>
      <c r="F511" s="144">
        <v>0.73060000000000003</v>
      </c>
      <c r="G511" s="144">
        <v>1.1031</v>
      </c>
      <c r="I511" s="144">
        <v>1</v>
      </c>
      <c r="J511" s="145">
        <f t="shared" si="54"/>
        <v>42259</v>
      </c>
      <c r="K511" s="144">
        <f t="shared" ca="1" si="60"/>
        <v>0.9789669861554845</v>
      </c>
      <c r="L511" s="144">
        <f t="shared" ca="1" si="60"/>
        <v>0.64838480653177144</v>
      </c>
      <c r="M511" s="144">
        <f t="shared" ca="1" si="60"/>
        <v>120.71352502662407</v>
      </c>
      <c r="N511" s="144">
        <f t="shared" ca="1" si="60"/>
        <v>8.2277245296414634</v>
      </c>
      <c r="O511" s="144">
        <f t="shared" ca="1" si="60"/>
        <v>67.985445509407171</v>
      </c>
      <c r="P511" s="144">
        <f t="shared" ca="1" si="60"/>
        <v>1</v>
      </c>
      <c r="Q511" s="144">
        <f t="shared" ca="1" si="60"/>
        <v>0.88746893858714948</v>
      </c>
    </row>
    <row r="512" spans="1:17" x14ac:dyDescent="0.25">
      <c r="A512" s="145">
        <v>42258</v>
      </c>
      <c r="B512" s="144">
        <v>1.1268</v>
      </c>
      <c r="C512" s="144">
        <v>76.605999999999995</v>
      </c>
      <c r="D512" s="144">
        <v>9.2710000000000008</v>
      </c>
      <c r="E512" s="144">
        <v>136.02000000000001</v>
      </c>
      <c r="F512" s="144">
        <v>0.73060000000000003</v>
      </c>
      <c r="G512" s="144">
        <v>1.1031</v>
      </c>
      <c r="I512" s="144">
        <v>1</v>
      </c>
      <c r="J512" s="145">
        <f t="shared" si="54"/>
        <v>42258</v>
      </c>
      <c r="K512" s="144">
        <f t="shared" ca="1" si="60"/>
        <v>0.9789669861554845</v>
      </c>
      <c r="L512" s="144">
        <f t="shared" ca="1" si="60"/>
        <v>0.64838480653177144</v>
      </c>
      <c r="M512" s="144">
        <f t="shared" ca="1" si="60"/>
        <v>120.71352502662407</v>
      </c>
      <c r="N512" s="144">
        <f t="shared" ca="1" si="60"/>
        <v>8.2277245296414634</v>
      </c>
      <c r="O512" s="144">
        <f t="shared" ca="1" si="60"/>
        <v>67.985445509407171</v>
      </c>
      <c r="P512" s="144">
        <f t="shared" ca="1" si="60"/>
        <v>1</v>
      </c>
      <c r="Q512" s="144">
        <f t="shared" ca="1" si="60"/>
        <v>0.88746893858714948</v>
      </c>
    </row>
    <row r="513" spans="1:17" x14ac:dyDescent="0.25">
      <c r="A513" s="145">
        <v>42257</v>
      </c>
      <c r="B513" s="144">
        <v>1.1185</v>
      </c>
      <c r="C513" s="144">
        <v>76.344499999999996</v>
      </c>
      <c r="D513" s="144">
        <v>9.1760000000000002</v>
      </c>
      <c r="E513" s="144">
        <v>135.38</v>
      </c>
      <c r="F513" s="144">
        <v>0.72655000000000003</v>
      </c>
      <c r="G513" s="144">
        <v>1.0923</v>
      </c>
      <c r="I513" s="144">
        <v>1</v>
      </c>
      <c r="J513" s="145">
        <f t="shared" si="54"/>
        <v>42257</v>
      </c>
      <c r="K513" s="144">
        <f t="shared" ca="1" si="60"/>
        <v>0.97657577112203842</v>
      </c>
      <c r="L513" s="144">
        <f t="shared" ca="1" si="60"/>
        <v>0.64957532409476981</v>
      </c>
      <c r="M513" s="144">
        <f t="shared" ca="1" si="60"/>
        <v>121.03710326329904</v>
      </c>
      <c r="N513" s="144">
        <f t="shared" ca="1" si="60"/>
        <v>8.2038444345105042</v>
      </c>
      <c r="O513" s="144">
        <f t="shared" ca="1" si="60"/>
        <v>68.256146624944122</v>
      </c>
      <c r="P513" s="144">
        <f t="shared" ca="1" si="60"/>
        <v>1</v>
      </c>
      <c r="Q513" s="144">
        <f t="shared" ca="1" si="60"/>
        <v>0.89405453732677687</v>
      </c>
    </row>
    <row r="514" spans="1:17" x14ac:dyDescent="0.25">
      <c r="A514" s="145">
        <v>42256</v>
      </c>
      <c r="B514" s="144">
        <v>1.1138999999999999</v>
      </c>
      <c r="C514" s="144">
        <v>75.781099999999995</v>
      </c>
      <c r="D514" s="144">
        <v>9.1999999999999993</v>
      </c>
      <c r="E514" s="144">
        <v>134.65</v>
      </c>
      <c r="F514" s="144">
        <v>0.72509999999999997</v>
      </c>
      <c r="G514" s="144">
        <v>1.0892999999999999</v>
      </c>
      <c r="I514" s="144">
        <v>1</v>
      </c>
      <c r="J514" s="145">
        <f t="shared" si="54"/>
        <v>42256</v>
      </c>
      <c r="K514" s="144">
        <f t="shared" ca="1" si="60"/>
        <v>0.97791543226501487</v>
      </c>
      <c r="L514" s="144">
        <f t="shared" ca="1" si="60"/>
        <v>0.65095610018852679</v>
      </c>
      <c r="M514" s="144">
        <f t="shared" ca="1" si="60"/>
        <v>120.88158721608764</v>
      </c>
      <c r="N514" s="144">
        <f t="shared" ca="1" si="60"/>
        <v>8.2592692342221028</v>
      </c>
      <c r="O514" s="144">
        <f t="shared" ca="1" si="60"/>
        <v>68.03222910494658</v>
      </c>
      <c r="P514" s="144">
        <f t="shared" ca="1" si="60"/>
        <v>1</v>
      </c>
      <c r="Q514" s="144">
        <f t="shared" ca="1" si="60"/>
        <v>0.89774665589370684</v>
      </c>
    </row>
    <row r="515" spans="1:17" x14ac:dyDescent="0.25">
      <c r="A515" s="145">
        <v>42255</v>
      </c>
      <c r="B515" s="144">
        <v>1.1162000000000001</v>
      </c>
      <c r="C515" s="144">
        <v>76.080799999999996</v>
      </c>
      <c r="D515" s="144">
        <v>9.2245000000000008</v>
      </c>
      <c r="E515" s="144">
        <v>133.82</v>
      </c>
      <c r="F515" s="144">
        <v>0.72440000000000004</v>
      </c>
      <c r="G515" s="144">
        <v>1.0920000000000001</v>
      </c>
      <c r="I515" s="144">
        <v>1</v>
      </c>
      <c r="J515" s="145">
        <f t="shared" si="54"/>
        <v>42255</v>
      </c>
      <c r="K515" s="144">
        <f t="shared" ref="K515:Q524" ca="1" si="61">OFFSET($A515,0,K$3)/OFFSET($A515,0,$P$3)</f>
        <v>0.9783192976169145</v>
      </c>
      <c r="L515" s="144">
        <f t="shared" ca="1" si="61"/>
        <v>0.64898763662426084</v>
      </c>
      <c r="M515" s="144">
        <f t="shared" ca="1" si="61"/>
        <v>119.88890879770649</v>
      </c>
      <c r="N515" s="144">
        <f t="shared" ca="1" si="61"/>
        <v>8.2641999641641277</v>
      </c>
      <c r="O515" s="144">
        <f t="shared" ca="1" si="61"/>
        <v>68.160544705249947</v>
      </c>
      <c r="P515" s="144">
        <f t="shared" ca="1" si="61"/>
        <v>1</v>
      </c>
      <c r="Q515" s="144">
        <f t="shared" ca="1" si="61"/>
        <v>0.89589679268948208</v>
      </c>
    </row>
    <row r="516" spans="1:17" x14ac:dyDescent="0.25">
      <c r="A516" s="145">
        <v>42254</v>
      </c>
      <c r="B516" s="144">
        <v>1.1146</v>
      </c>
      <c r="C516" s="144">
        <v>76.106700000000004</v>
      </c>
      <c r="D516" s="144">
        <v>9.2645</v>
      </c>
      <c r="E516" s="144">
        <v>133.09</v>
      </c>
      <c r="F516" s="144">
        <v>0.73035000000000005</v>
      </c>
      <c r="G516" s="144">
        <v>1.0871</v>
      </c>
      <c r="I516" s="144">
        <v>1</v>
      </c>
      <c r="J516" s="145">
        <f t="shared" si="54"/>
        <v>42254</v>
      </c>
      <c r="K516" s="144">
        <f t="shared" ca="1" si="61"/>
        <v>0.97532747173874024</v>
      </c>
      <c r="L516" s="144">
        <f t="shared" ca="1" si="61"/>
        <v>0.65525749147676304</v>
      </c>
      <c r="M516" s="144">
        <f t="shared" ca="1" si="61"/>
        <v>119.40606495603804</v>
      </c>
      <c r="N516" s="144">
        <f t="shared" ca="1" si="61"/>
        <v>8.311950475506908</v>
      </c>
      <c r="O516" s="144">
        <f t="shared" ca="1" si="61"/>
        <v>68.281625695316706</v>
      </c>
      <c r="P516" s="144">
        <f t="shared" ca="1" si="61"/>
        <v>1</v>
      </c>
      <c r="Q516" s="144">
        <f t="shared" ca="1" si="61"/>
        <v>0.897182845863987</v>
      </c>
    </row>
    <row r="517" spans="1:17" x14ac:dyDescent="0.25">
      <c r="A517" s="145">
        <v>42253</v>
      </c>
      <c r="B517" s="144">
        <v>1.1137999999999999</v>
      </c>
      <c r="C517" s="144">
        <v>75.158600000000007</v>
      </c>
      <c r="D517" s="144">
        <v>9.2164999999999999</v>
      </c>
      <c r="E517" s="144">
        <v>132.82</v>
      </c>
      <c r="F517" s="144">
        <v>0.73150000000000004</v>
      </c>
      <c r="G517" s="144">
        <v>1.0839000000000001</v>
      </c>
      <c r="I517" s="144">
        <v>1</v>
      </c>
      <c r="J517" s="145">
        <f t="shared" ref="J517:J580" si="62">A517</f>
        <v>42253</v>
      </c>
      <c r="K517" s="144">
        <f t="shared" ca="1" si="61"/>
        <v>0.97315496498473708</v>
      </c>
      <c r="L517" s="144">
        <f t="shared" ca="1" si="61"/>
        <v>0.65676063925300776</v>
      </c>
      <c r="M517" s="144">
        <f t="shared" ca="1" si="61"/>
        <v>119.24941641228229</v>
      </c>
      <c r="N517" s="144">
        <f t="shared" ca="1" si="61"/>
        <v>8.2748249236846831</v>
      </c>
      <c r="O517" s="144">
        <f t="shared" ca="1" si="61"/>
        <v>67.479439755790992</v>
      </c>
      <c r="P517" s="144">
        <f t="shared" ca="1" si="61"/>
        <v>1</v>
      </c>
      <c r="Q517" s="144">
        <f t="shared" ca="1" si="61"/>
        <v>0.89782725803555408</v>
      </c>
    </row>
    <row r="518" spans="1:17" x14ac:dyDescent="0.25">
      <c r="A518" s="145">
        <v>42252</v>
      </c>
      <c r="B518" s="144">
        <v>1.1137999999999999</v>
      </c>
      <c r="C518" s="144">
        <v>75.158600000000007</v>
      </c>
      <c r="D518" s="144">
        <v>9.2164999999999999</v>
      </c>
      <c r="E518" s="144">
        <v>132.82</v>
      </c>
      <c r="F518" s="144">
        <v>0.73150000000000004</v>
      </c>
      <c r="G518" s="144">
        <v>1.0839000000000001</v>
      </c>
      <c r="I518" s="144">
        <v>1</v>
      </c>
      <c r="J518" s="145">
        <f t="shared" si="62"/>
        <v>42252</v>
      </c>
      <c r="K518" s="144">
        <f t="shared" ca="1" si="61"/>
        <v>0.97315496498473708</v>
      </c>
      <c r="L518" s="144">
        <f t="shared" ca="1" si="61"/>
        <v>0.65676063925300776</v>
      </c>
      <c r="M518" s="144">
        <f t="shared" ca="1" si="61"/>
        <v>119.24941641228229</v>
      </c>
      <c r="N518" s="144">
        <f t="shared" ca="1" si="61"/>
        <v>8.2748249236846831</v>
      </c>
      <c r="O518" s="144">
        <f t="shared" ca="1" si="61"/>
        <v>67.479439755790992</v>
      </c>
      <c r="P518" s="144">
        <f t="shared" ca="1" si="61"/>
        <v>1</v>
      </c>
      <c r="Q518" s="144">
        <f t="shared" ca="1" si="61"/>
        <v>0.89782725803555408</v>
      </c>
    </row>
    <row r="519" spans="1:17" x14ac:dyDescent="0.25">
      <c r="A519" s="145">
        <v>42251</v>
      </c>
      <c r="B519" s="144">
        <v>1.1137999999999999</v>
      </c>
      <c r="C519" s="144">
        <v>75.158600000000007</v>
      </c>
      <c r="D519" s="144">
        <v>9.2164999999999999</v>
      </c>
      <c r="E519" s="144">
        <v>132.82</v>
      </c>
      <c r="F519" s="144">
        <v>0.73150000000000004</v>
      </c>
      <c r="G519" s="144">
        <v>1.0839000000000001</v>
      </c>
      <c r="I519" s="144">
        <v>1</v>
      </c>
      <c r="J519" s="145">
        <f t="shared" si="62"/>
        <v>42251</v>
      </c>
      <c r="K519" s="144">
        <f t="shared" ca="1" si="61"/>
        <v>0.97315496498473708</v>
      </c>
      <c r="L519" s="144">
        <f t="shared" ca="1" si="61"/>
        <v>0.65676063925300776</v>
      </c>
      <c r="M519" s="144">
        <f t="shared" ca="1" si="61"/>
        <v>119.24941641228229</v>
      </c>
      <c r="N519" s="144">
        <f t="shared" ca="1" si="61"/>
        <v>8.2748249236846831</v>
      </c>
      <c r="O519" s="144">
        <f t="shared" ca="1" si="61"/>
        <v>67.479439755790992</v>
      </c>
      <c r="P519" s="144">
        <f t="shared" ca="1" si="61"/>
        <v>1</v>
      </c>
      <c r="Q519" s="144">
        <f t="shared" ca="1" si="61"/>
        <v>0.89782725803555408</v>
      </c>
    </row>
    <row r="520" spans="1:17" x14ac:dyDescent="0.25">
      <c r="A520" s="145">
        <v>42250</v>
      </c>
      <c r="B520" s="144">
        <v>1.1229</v>
      </c>
      <c r="C520" s="144">
        <v>75.538600000000002</v>
      </c>
      <c r="D520" s="144">
        <v>9.2729999999999997</v>
      </c>
      <c r="E520" s="144">
        <v>134.97999999999999</v>
      </c>
      <c r="F520" s="144">
        <v>0.73450000000000004</v>
      </c>
      <c r="G520" s="144">
        <v>1.0903</v>
      </c>
      <c r="I520" s="144">
        <v>1</v>
      </c>
      <c r="J520" s="145">
        <f t="shared" si="62"/>
        <v>42250</v>
      </c>
      <c r="K520" s="144">
        <f t="shared" ca="1" si="61"/>
        <v>0.97096802921008107</v>
      </c>
      <c r="L520" s="144">
        <f t="shared" ca="1" si="61"/>
        <v>0.65410989402440112</v>
      </c>
      <c r="M520" s="144">
        <f t="shared" ca="1" si="61"/>
        <v>120.20660789028408</v>
      </c>
      <c r="N520" s="144">
        <f t="shared" ca="1" si="61"/>
        <v>8.2580817526048627</v>
      </c>
      <c r="O520" s="144">
        <f t="shared" ca="1" si="61"/>
        <v>67.270994745747615</v>
      </c>
      <c r="P520" s="144">
        <f t="shared" ca="1" si="61"/>
        <v>1</v>
      </c>
      <c r="Q520" s="144">
        <f t="shared" ca="1" si="61"/>
        <v>0.89055125122450796</v>
      </c>
    </row>
    <row r="521" spans="1:17" x14ac:dyDescent="0.25">
      <c r="A521" s="145">
        <v>42249</v>
      </c>
      <c r="B521" s="144">
        <v>1.1254999999999999</v>
      </c>
      <c r="C521" s="144">
        <v>75.8536</v>
      </c>
      <c r="D521" s="144">
        <v>9.3015000000000008</v>
      </c>
      <c r="E521" s="144">
        <v>135.21</v>
      </c>
      <c r="F521" s="144">
        <v>0.7369</v>
      </c>
      <c r="G521" s="144">
        <v>1.0867</v>
      </c>
      <c r="I521" s="144">
        <v>1</v>
      </c>
      <c r="J521" s="145">
        <f t="shared" si="62"/>
        <v>42249</v>
      </c>
      <c r="K521" s="144">
        <f t="shared" ca="1" si="61"/>
        <v>0.96552643269657934</v>
      </c>
      <c r="L521" s="144">
        <f t="shared" ca="1" si="61"/>
        <v>0.65473123056419369</v>
      </c>
      <c r="M521" s="144">
        <f t="shared" ca="1" si="61"/>
        <v>120.13327410039983</v>
      </c>
      <c r="N521" s="144">
        <f t="shared" ca="1" si="61"/>
        <v>8.2643269657929821</v>
      </c>
      <c r="O521" s="144">
        <f t="shared" ca="1" si="61"/>
        <v>67.395468680586404</v>
      </c>
      <c r="P521" s="144">
        <f t="shared" ca="1" si="61"/>
        <v>1</v>
      </c>
      <c r="Q521" s="144">
        <f t="shared" ca="1" si="61"/>
        <v>0.88849400266548206</v>
      </c>
    </row>
    <row r="522" spans="1:17" x14ac:dyDescent="0.25">
      <c r="A522" s="145">
        <v>42248</v>
      </c>
      <c r="B522" s="144">
        <v>1.1235999999999999</v>
      </c>
      <c r="C522" s="144">
        <v>72.986800000000002</v>
      </c>
      <c r="D522" s="144">
        <v>9.3559999999999999</v>
      </c>
      <c r="E522" s="144">
        <v>134.87</v>
      </c>
      <c r="F522" s="144">
        <v>0.73280000000000001</v>
      </c>
      <c r="G522" s="144">
        <v>1.0825</v>
      </c>
      <c r="I522" s="144">
        <v>1</v>
      </c>
      <c r="J522" s="145">
        <f t="shared" si="62"/>
        <v>42248</v>
      </c>
      <c r="K522" s="144">
        <f t="shared" ca="1" si="61"/>
        <v>0.96342114631541487</v>
      </c>
      <c r="L522" s="144">
        <f t="shared" ca="1" si="61"/>
        <v>0.65218939124243502</v>
      </c>
      <c r="M522" s="144">
        <f t="shared" ca="1" si="61"/>
        <v>120.03381986472056</v>
      </c>
      <c r="N522" s="144">
        <f t="shared" ca="1" si="61"/>
        <v>8.3268066927732285</v>
      </c>
      <c r="O522" s="144">
        <f t="shared" ca="1" si="61"/>
        <v>64.957992168031339</v>
      </c>
      <c r="P522" s="144">
        <f t="shared" ca="1" si="61"/>
        <v>1</v>
      </c>
      <c r="Q522" s="144">
        <f t="shared" ca="1" si="61"/>
        <v>0.88999644001423994</v>
      </c>
    </row>
    <row r="523" spans="1:17" x14ac:dyDescent="0.25">
      <c r="A523" s="145">
        <v>42247</v>
      </c>
      <c r="B523" s="144">
        <v>1.1214999999999999</v>
      </c>
      <c r="C523" s="144">
        <v>74.858099999999993</v>
      </c>
      <c r="D523" s="144">
        <v>9.3584999999999994</v>
      </c>
      <c r="E523" s="144">
        <v>136.07</v>
      </c>
      <c r="F523" s="144">
        <v>0.72753000000000001</v>
      </c>
      <c r="G523" s="144">
        <v>1.0825</v>
      </c>
      <c r="I523" s="144">
        <v>1</v>
      </c>
      <c r="J523" s="145">
        <f t="shared" si="62"/>
        <v>42247</v>
      </c>
      <c r="K523" s="144">
        <f t="shared" ca="1" si="61"/>
        <v>0.9652251448952297</v>
      </c>
      <c r="L523" s="144">
        <f t="shared" ca="1" si="61"/>
        <v>0.64871154703522071</v>
      </c>
      <c r="M523" s="144">
        <f t="shared" ca="1" si="61"/>
        <v>121.32857779759252</v>
      </c>
      <c r="N523" s="144">
        <f t="shared" ca="1" si="61"/>
        <v>8.3446277307177894</v>
      </c>
      <c r="O523" s="144">
        <f t="shared" ca="1" si="61"/>
        <v>66.748194382523408</v>
      </c>
      <c r="P523" s="144">
        <f t="shared" ca="1" si="61"/>
        <v>1</v>
      </c>
      <c r="Q523" s="144">
        <f t="shared" ca="1" si="61"/>
        <v>0.89166295140436924</v>
      </c>
    </row>
    <row r="524" spans="1:17" x14ac:dyDescent="0.25">
      <c r="A524" s="145">
        <v>42246</v>
      </c>
      <c r="B524" s="144">
        <v>1.1268</v>
      </c>
      <c r="C524" s="144">
        <v>75.5398</v>
      </c>
      <c r="D524" s="144">
        <v>9.34</v>
      </c>
      <c r="E524" s="144">
        <v>136.16</v>
      </c>
      <c r="F524" s="144">
        <v>0.73209999999999997</v>
      </c>
      <c r="G524" s="144">
        <v>1.0807</v>
      </c>
      <c r="I524" s="144">
        <v>1</v>
      </c>
      <c r="J524" s="145">
        <f t="shared" si="62"/>
        <v>42246</v>
      </c>
      <c r="K524" s="144">
        <f t="shared" ca="1" si="61"/>
        <v>0.95908768193113236</v>
      </c>
      <c r="L524" s="144">
        <f t="shared" ca="1" si="61"/>
        <v>0.64971600993965206</v>
      </c>
      <c r="M524" s="144">
        <f t="shared" ca="1" si="61"/>
        <v>120.83777067802626</v>
      </c>
      <c r="N524" s="144">
        <f t="shared" ca="1" si="61"/>
        <v>8.2889598864039762</v>
      </c>
      <c r="O524" s="144">
        <f t="shared" ca="1" si="61"/>
        <v>67.039226127085556</v>
      </c>
      <c r="P524" s="144">
        <f t="shared" ca="1" si="61"/>
        <v>1</v>
      </c>
      <c r="Q524" s="144">
        <f t="shared" ca="1" si="61"/>
        <v>0.88746893858714948</v>
      </c>
    </row>
    <row r="525" spans="1:17" x14ac:dyDescent="0.25">
      <c r="A525" s="145">
        <v>42245</v>
      </c>
      <c r="B525" s="144">
        <v>1.1268</v>
      </c>
      <c r="C525" s="144">
        <v>75.5398</v>
      </c>
      <c r="D525" s="144">
        <v>9.34</v>
      </c>
      <c r="E525" s="144">
        <v>136.16</v>
      </c>
      <c r="F525" s="144">
        <v>0.73209999999999997</v>
      </c>
      <c r="G525" s="144">
        <v>1.0807</v>
      </c>
      <c r="I525" s="144">
        <v>1</v>
      </c>
      <c r="J525" s="145">
        <f t="shared" si="62"/>
        <v>42245</v>
      </c>
      <c r="K525" s="144">
        <f t="shared" ref="K525:Q534" ca="1" si="63">OFFSET($A525,0,K$3)/OFFSET($A525,0,$P$3)</f>
        <v>0.95908768193113236</v>
      </c>
      <c r="L525" s="144">
        <f t="shared" ca="1" si="63"/>
        <v>0.64971600993965206</v>
      </c>
      <c r="M525" s="144">
        <f t="shared" ca="1" si="63"/>
        <v>120.83777067802626</v>
      </c>
      <c r="N525" s="144">
        <f t="shared" ca="1" si="63"/>
        <v>8.2889598864039762</v>
      </c>
      <c r="O525" s="144">
        <f t="shared" ca="1" si="63"/>
        <v>67.039226127085556</v>
      </c>
      <c r="P525" s="144">
        <f t="shared" ca="1" si="63"/>
        <v>1</v>
      </c>
      <c r="Q525" s="144">
        <f t="shared" ca="1" si="63"/>
        <v>0.88746893858714948</v>
      </c>
    </row>
    <row r="526" spans="1:17" x14ac:dyDescent="0.25">
      <c r="A526" s="145">
        <v>42244</v>
      </c>
      <c r="B526" s="144">
        <v>1.1268</v>
      </c>
      <c r="C526" s="144">
        <v>75.5398</v>
      </c>
      <c r="D526" s="144">
        <v>9.34</v>
      </c>
      <c r="E526" s="144">
        <v>136.16</v>
      </c>
      <c r="F526" s="144">
        <v>0.73209999999999997</v>
      </c>
      <c r="G526" s="144">
        <v>1.0807</v>
      </c>
      <c r="I526" s="144">
        <v>1</v>
      </c>
      <c r="J526" s="145">
        <f t="shared" si="62"/>
        <v>42244</v>
      </c>
      <c r="K526" s="144">
        <f t="shared" ca="1" si="63"/>
        <v>0.95908768193113236</v>
      </c>
      <c r="L526" s="144">
        <f t="shared" ca="1" si="63"/>
        <v>0.64971600993965206</v>
      </c>
      <c r="M526" s="144">
        <f t="shared" ca="1" si="63"/>
        <v>120.83777067802626</v>
      </c>
      <c r="N526" s="144">
        <f t="shared" ca="1" si="63"/>
        <v>8.2889598864039762</v>
      </c>
      <c r="O526" s="144">
        <f t="shared" ca="1" si="63"/>
        <v>67.039226127085556</v>
      </c>
      <c r="P526" s="144">
        <f t="shared" ca="1" si="63"/>
        <v>1</v>
      </c>
      <c r="Q526" s="144">
        <f t="shared" ca="1" si="63"/>
        <v>0.88746893858714948</v>
      </c>
    </row>
    <row r="527" spans="1:17" x14ac:dyDescent="0.25">
      <c r="A527" s="145">
        <v>42243</v>
      </c>
      <c r="B527" s="144">
        <v>1.1284000000000001</v>
      </c>
      <c r="C527" s="144">
        <v>76</v>
      </c>
      <c r="D527" s="144">
        <v>9.4024999999999999</v>
      </c>
      <c r="E527" s="144">
        <v>135.62</v>
      </c>
      <c r="F527" s="144">
        <v>0.73119999999999996</v>
      </c>
      <c r="G527" s="144">
        <v>1.0770999999999999</v>
      </c>
      <c r="I527" s="144">
        <v>1</v>
      </c>
      <c r="J527" s="145">
        <f t="shared" si="62"/>
        <v>42243</v>
      </c>
      <c r="K527" s="144">
        <f t="shared" ca="1" si="63"/>
        <v>0.95453739808578508</v>
      </c>
      <c r="L527" s="144">
        <f t="shared" ca="1" si="63"/>
        <v>0.64799716412619635</v>
      </c>
      <c r="M527" s="144">
        <f t="shared" ca="1" si="63"/>
        <v>120.18787663948955</v>
      </c>
      <c r="N527" s="144">
        <f t="shared" ca="1" si="63"/>
        <v>8.3325948245303074</v>
      </c>
      <c r="O527" s="144">
        <f t="shared" ca="1" si="63"/>
        <v>67.352002835873805</v>
      </c>
      <c r="P527" s="144">
        <f t="shared" ca="1" si="63"/>
        <v>1</v>
      </c>
      <c r="Q527" s="144">
        <f t="shared" ca="1" si="63"/>
        <v>0.88621056362991846</v>
      </c>
    </row>
    <row r="528" spans="1:17" x14ac:dyDescent="0.25">
      <c r="A528" s="145">
        <v>42242</v>
      </c>
      <c r="B528" s="144">
        <v>1.1402000000000001</v>
      </c>
      <c r="C528" s="144">
        <v>79.384600000000006</v>
      </c>
      <c r="D528" s="144">
        <v>9.5020000000000007</v>
      </c>
      <c r="E528" s="144">
        <v>136.46</v>
      </c>
      <c r="F528" s="144">
        <v>0.73140000000000005</v>
      </c>
      <c r="G528" s="144">
        <v>1.0778000000000001</v>
      </c>
      <c r="I528" s="144">
        <v>1</v>
      </c>
      <c r="J528" s="145">
        <f t="shared" si="62"/>
        <v>42242</v>
      </c>
      <c r="K528" s="144">
        <f t="shared" ca="1" si="63"/>
        <v>0.94527275916505871</v>
      </c>
      <c r="L528" s="144">
        <f t="shared" ca="1" si="63"/>
        <v>0.64146640940185928</v>
      </c>
      <c r="M528" s="144">
        <f t="shared" ca="1" si="63"/>
        <v>119.68075776179617</v>
      </c>
      <c r="N528" s="144">
        <f t="shared" ca="1" si="63"/>
        <v>8.3336256797053139</v>
      </c>
      <c r="O528" s="144">
        <f t="shared" ca="1" si="63"/>
        <v>69.623399403613405</v>
      </c>
      <c r="P528" s="144">
        <f t="shared" ca="1" si="63"/>
        <v>1</v>
      </c>
      <c r="Q528" s="144">
        <f t="shared" ca="1" si="63"/>
        <v>0.87703911594457107</v>
      </c>
    </row>
    <row r="529" spans="1:17" x14ac:dyDescent="0.25">
      <c r="A529" s="145">
        <v>42241</v>
      </c>
      <c r="B529" s="144">
        <v>1.1506000000000001</v>
      </c>
      <c r="C529" s="144">
        <v>79.655000000000001</v>
      </c>
      <c r="D529" s="144">
        <v>9.3885000000000005</v>
      </c>
      <c r="E529" s="144">
        <v>137.84</v>
      </c>
      <c r="F529" s="144">
        <v>0.72899999999999998</v>
      </c>
      <c r="G529" s="144">
        <v>1.0833999999999999</v>
      </c>
      <c r="I529" s="144">
        <v>1</v>
      </c>
      <c r="J529" s="145">
        <f t="shared" si="62"/>
        <v>42241</v>
      </c>
      <c r="K529" s="144">
        <f t="shared" ca="1" si="63"/>
        <v>0.94159568920563175</v>
      </c>
      <c r="L529" s="144">
        <f t="shared" ca="1" si="63"/>
        <v>0.63358247870676165</v>
      </c>
      <c r="M529" s="144">
        <f t="shared" ca="1" si="63"/>
        <v>119.79836606987658</v>
      </c>
      <c r="N529" s="144">
        <f t="shared" ca="1" si="63"/>
        <v>8.1596558317399612</v>
      </c>
      <c r="O529" s="144">
        <f t="shared" ca="1" si="63"/>
        <v>69.229097861985053</v>
      </c>
      <c r="P529" s="144">
        <f t="shared" ca="1" si="63"/>
        <v>1</v>
      </c>
      <c r="Q529" s="144">
        <f t="shared" ca="1" si="63"/>
        <v>0.86911176777333565</v>
      </c>
    </row>
    <row r="530" spans="1:17" x14ac:dyDescent="0.25">
      <c r="A530" s="145">
        <v>42240</v>
      </c>
      <c r="B530" s="144">
        <v>1.1496999999999999</v>
      </c>
      <c r="C530" s="144">
        <v>81.441999999999993</v>
      </c>
      <c r="D530" s="144">
        <v>9.3689999999999998</v>
      </c>
      <c r="E530" s="144">
        <v>137.80000000000001</v>
      </c>
      <c r="F530" s="144">
        <v>0.73019999999999996</v>
      </c>
      <c r="G530" s="144">
        <v>1.0777000000000001</v>
      </c>
      <c r="I530" s="144">
        <v>1</v>
      </c>
      <c r="J530" s="145">
        <f t="shared" si="62"/>
        <v>42240</v>
      </c>
      <c r="K530" s="144">
        <f t="shared" ca="1" si="63"/>
        <v>0.93737496738279569</v>
      </c>
      <c r="L530" s="144">
        <f t="shared" ca="1" si="63"/>
        <v>0.63512220579281553</v>
      </c>
      <c r="M530" s="144">
        <f t="shared" ca="1" si="63"/>
        <v>119.85735409237193</v>
      </c>
      <c r="N530" s="144">
        <f t="shared" ca="1" si="63"/>
        <v>8.1490823693137351</v>
      </c>
      <c r="O530" s="144">
        <f t="shared" ca="1" si="63"/>
        <v>70.837609811255106</v>
      </c>
      <c r="P530" s="144">
        <f t="shared" ca="1" si="63"/>
        <v>1</v>
      </c>
      <c r="Q530" s="144">
        <f t="shared" ca="1" si="63"/>
        <v>0.86979211968339576</v>
      </c>
    </row>
    <row r="531" spans="1:17" x14ac:dyDescent="0.25">
      <c r="A531" s="145">
        <v>42239</v>
      </c>
      <c r="B531" s="144">
        <v>1.1281000000000001</v>
      </c>
      <c r="C531" s="144">
        <v>77.094399999999993</v>
      </c>
      <c r="D531" s="144">
        <v>9.2744999999999997</v>
      </c>
      <c r="E531" s="144">
        <v>138.4</v>
      </c>
      <c r="F531" s="144">
        <v>0.7198</v>
      </c>
      <c r="G531" s="144">
        <v>1.0765</v>
      </c>
      <c r="I531" s="144">
        <v>1</v>
      </c>
      <c r="J531" s="145">
        <f t="shared" si="62"/>
        <v>42239</v>
      </c>
      <c r="K531" s="144">
        <f t="shared" ca="1" si="63"/>
        <v>0.95425937416895656</v>
      </c>
      <c r="L531" s="144">
        <f t="shared" ca="1" si="63"/>
        <v>0.63806400141831388</v>
      </c>
      <c r="M531" s="144">
        <f t="shared" ca="1" si="63"/>
        <v>122.68415920574417</v>
      </c>
      <c r="N531" s="144">
        <f t="shared" ca="1" si="63"/>
        <v>8.2213456253878192</v>
      </c>
      <c r="O531" s="144">
        <f t="shared" ca="1" si="63"/>
        <v>68.340040776526891</v>
      </c>
      <c r="P531" s="144">
        <f t="shared" ca="1" si="63"/>
        <v>1</v>
      </c>
      <c r="Q531" s="144">
        <f t="shared" ca="1" si="63"/>
        <v>0.88644623703572367</v>
      </c>
    </row>
    <row r="532" spans="1:17" x14ac:dyDescent="0.25">
      <c r="A532" s="145">
        <v>42238</v>
      </c>
      <c r="B532" s="144">
        <v>1.1281000000000001</v>
      </c>
      <c r="C532" s="144">
        <v>77.094399999999993</v>
      </c>
      <c r="D532" s="144">
        <v>9.2744999999999997</v>
      </c>
      <c r="E532" s="144">
        <v>138.4</v>
      </c>
      <c r="F532" s="144">
        <v>0.7198</v>
      </c>
      <c r="G532" s="144">
        <v>1.0765</v>
      </c>
      <c r="I532" s="144">
        <v>1</v>
      </c>
      <c r="J532" s="145">
        <f t="shared" si="62"/>
        <v>42238</v>
      </c>
      <c r="K532" s="144">
        <f t="shared" ca="1" si="63"/>
        <v>0.95425937416895656</v>
      </c>
      <c r="L532" s="144">
        <f t="shared" ca="1" si="63"/>
        <v>0.63806400141831388</v>
      </c>
      <c r="M532" s="144">
        <f t="shared" ca="1" si="63"/>
        <v>122.68415920574417</v>
      </c>
      <c r="N532" s="144">
        <f t="shared" ca="1" si="63"/>
        <v>8.2213456253878192</v>
      </c>
      <c r="O532" s="144">
        <f t="shared" ca="1" si="63"/>
        <v>68.340040776526891</v>
      </c>
      <c r="P532" s="144">
        <f t="shared" ca="1" si="63"/>
        <v>1</v>
      </c>
      <c r="Q532" s="144">
        <f t="shared" ca="1" si="63"/>
        <v>0.88644623703572367</v>
      </c>
    </row>
    <row r="533" spans="1:17" x14ac:dyDescent="0.25">
      <c r="A533" s="145">
        <v>42237</v>
      </c>
      <c r="B533" s="144">
        <v>1.1281000000000001</v>
      </c>
      <c r="C533" s="144">
        <v>77.094399999999993</v>
      </c>
      <c r="D533" s="144">
        <v>9.2744999999999997</v>
      </c>
      <c r="E533" s="144">
        <v>138.4</v>
      </c>
      <c r="F533" s="144">
        <v>0.7198</v>
      </c>
      <c r="G533" s="144">
        <v>1.0765</v>
      </c>
      <c r="I533" s="144">
        <v>1</v>
      </c>
      <c r="J533" s="145">
        <f t="shared" si="62"/>
        <v>42237</v>
      </c>
      <c r="K533" s="144">
        <f t="shared" ca="1" si="63"/>
        <v>0.95425937416895656</v>
      </c>
      <c r="L533" s="144">
        <f t="shared" ca="1" si="63"/>
        <v>0.63806400141831388</v>
      </c>
      <c r="M533" s="144">
        <f t="shared" ca="1" si="63"/>
        <v>122.68415920574417</v>
      </c>
      <c r="N533" s="144">
        <f t="shared" ca="1" si="63"/>
        <v>8.2213456253878192</v>
      </c>
      <c r="O533" s="144">
        <f t="shared" ca="1" si="63"/>
        <v>68.340040776526891</v>
      </c>
      <c r="P533" s="144">
        <f t="shared" ca="1" si="63"/>
        <v>1</v>
      </c>
      <c r="Q533" s="144">
        <f t="shared" ca="1" si="63"/>
        <v>0.88644623703572367</v>
      </c>
    </row>
    <row r="534" spans="1:17" x14ac:dyDescent="0.25">
      <c r="A534" s="145">
        <v>42236</v>
      </c>
      <c r="B534" s="144">
        <v>1.1183000000000001</v>
      </c>
      <c r="C534" s="144">
        <v>75.327500000000001</v>
      </c>
      <c r="D534" s="144">
        <v>9.2324999999999999</v>
      </c>
      <c r="E534" s="144">
        <v>138.5</v>
      </c>
      <c r="F534" s="144">
        <v>0.71379999999999999</v>
      </c>
      <c r="G534" s="144">
        <v>1.0771999999999999</v>
      </c>
      <c r="I534" s="144">
        <v>1</v>
      </c>
      <c r="J534" s="145">
        <f t="shared" si="62"/>
        <v>42236</v>
      </c>
      <c r="K534" s="144">
        <f t="shared" ca="1" si="63"/>
        <v>0.96324778681927914</v>
      </c>
      <c r="L534" s="144">
        <f t="shared" ca="1" si="63"/>
        <v>0.63829026200482875</v>
      </c>
      <c r="M534" s="144">
        <f t="shared" ca="1" si="63"/>
        <v>123.84869891800052</v>
      </c>
      <c r="N534" s="144">
        <f t="shared" ca="1" si="63"/>
        <v>8.2558347491728519</v>
      </c>
      <c r="O534" s="144">
        <f t="shared" ca="1" si="63"/>
        <v>67.358937673254047</v>
      </c>
      <c r="P534" s="144">
        <f t="shared" ca="1" si="63"/>
        <v>1</v>
      </c>
      <c r="Q534" s="144">
        <f t="shared" ca="1" si="63"/>
        <v>0.89421443262094247</v>
      </c>
    </row>
    <row r="535" spans="1:17" x14ac:dyDescent="0.25">
      <c r="A535" s="145">
        <v>42235</v>
      </c>
      <c r="B535" s="144">
        <v>1.1041000000000001</v>
      </c>
      <c r="C535" s="144">
        <v>72.558000000000007</v>
      </c>
      <c r="D535" s="144">
        <v>9.1679999999999993</v>
      </c>
      <c r="E535" s="144">
        <v>137.31</v>
      </c>
      <c r="F535" s="144">
        <v>0.70489999999999997</v>
      </c>
      <c r="G535" s="144">
        <v>1.0754999999999999</v>
      </c>
      <c r="I535" s="144">
        <v>1</v>
      </c>
      <c r="J535" s="145">
        <f t="shared" si="62"/>
        <v>42235</v>
      </c>
      <c r="K535" s="144">
        <f t="shared" ref="K535:Q544" ca="1" si="64">OFFSET($A535,0,K$3)/OFFSET($A535,0,$P$3)</f>
        <v>0.97409654922561351</v>
      </c>
      <c r="L535" s="144">
        <f t="shared" ca="1" si="64"/>
        <v>0.63843854723304039</v>
      </c>
      <c r="M535" s="144">
        <f t="shared" ca="1" si="64"/>
        <v>124.36373516891585</v>
      </c>
      <c r="N535" s="144">
        <f t="shared" ca="1" si="64"/>
        <v>8.3035956887963032</v>
      </c>
      <c r="O535" s="144">
        <f t="shared" ca="1" si="64"/>
        <v>65.716873471605837</v>
      </c>
      <c r="P535" s="144">
        <f t="shared" ca="1" si="64"/>
        <v>1</v>
      </c>
      <c r="Q535" s="144">
        <f t="shared" ca="1" si="64"/>
        <v>0.90571506204148167</v>
      </c>
    </row>
    <row r="536" spans="1:17" x14ac:dyDescent="0.25">
      <c r="A536" s="145">
        <v>42234</v>
      </c>
      <c r="B536" s="144">
        <v>1.1060000000000001</v>
      </c>
      <c r="C536" s="144">
        <v>72.680999999999997</v>
      </c>
      <c r="D536" s="144">
        <v>9.1555</v>
      </c>
      <c r="E536" s="144">
        <v>137.44</v>
      </c>
      <c r="F536" s="144">
        <v>0.70420000000000005</v>
      </c>
      <c r="G536" s="144">
        <v>1.0798000000000001</v>
      </c>
      <c r="I536" s="144">
        <v>1</v>
      </c>
      <c r="J536" s="145">
        <f t="shared" si="62"/>
        <v>42234</v>
      </c>
      <c r="K536" s="144">
        <f t="shared" ca="1" si="64"/>
        <v>0.97631103074141046</v>
      </c>
      <c r="L536" s="144">
        <f t="shared" ca="1" si="64"/>
        <v>0.63670886075949362</v>
      </c>
      <c r="M536" s="144">
        <f t="shared" ca="1" si="64"/>
        <v>124.26763110307412</v>
      </c>
      <c r="N536" s="144">
        <f t="shared" ca="1" si="64"/>
        <v>8.278028933092223</v>
      </c>
      <c r="O536" s="144">
        <f t="shared" ca="1" si="64"/>
        <v>65.715189873417714</v>
      </c>
      <c r="P536" s="144">
        <f t="shared" ca="1" si="64"/>
        <v>1</v>
      </c>
      <c r="Q536" s="144">
        <f t="shared" ca="1" si="64"/>
        <v>0.90415913200723319</v>
      </c>
    </row>
    <row r="537" spans="1:17" x14ac:dyDescent="0.25">
      <c r="A537" s="145">
        <v>42233</v>
      </c>
      <c r="B537" s="144">
        <v>1.1100000000000001</v>
      </c>
      <c r="C537" s="144">
        <v>72.632499999999993</v>
      </c>
      <c r="D537" s="144">
        <v>9.1585000000000001</v>
      </c>
      <c r="E537" s="144">
        <v>138.22</v>
      </c>
      <c r="F537" s="144">
        <v>0.71050000000000002</v>
      </c>
      <c r="G537" s="144">
        <v>1.0841000000000001</v>
      </c>
      <c r="I537" s="144">
        <v>1</v>
      </c>
      <c r="J537" s="145">
        <f t="shared" si="62"/>
        <v>42233</v>
      </c>
      <c r="K537" s="144">
        <f t="shared" ca="1" si="64"/>
        <v>0.97666666666666668</v>
      </c>
      <c r="L537" s="144">
        <f t="shared" ca="1" si="64"/>
        <v>0.6400900900900901</v>
      </c>
      <c r="M537" s="144">
        <f t="shared" ca="1" si="64"/>
        <v>124.52252252252251</v>
      </c>
      <c r="N537" s="144">
        <f t="shared" ca="1" si="64"/>
        <v>8.2509009009009002</v>
      </c>
      <c r="O537" s="144">
        <f t="shared" ca="1" si="64"/>
        <v>65.434684684684669</v>
      </c>
      <c r="P537" s="144">
        <f t="shared" ca="1" si="64"/>
        <v>1</v>
      </c>
      <c r="Q537" s="144">
        <f t="shared" ca="1" si="64"/>
        <v>0.9009009009009008</v>
      </c>
    </row>
    <row r="538" spans="1:17" x14ac:dyDescent="0.25">
      <c r="A538" s="145">
        <v>42232</v>
      </c>
      <c r="B538" s="144">
        <v>1.1171</v>
      </c>
      <c r="C538" s="144">
        <v>72.451599999999999</v>
      </c>
      <c r="D538" s="144">
        <v>9.1374999999999993</v>
      </c>
      <c r="E538" s="144">
        <v>138.69999999999999</v>
      </c>
      <c r="F538" s="144">
        <v>0.71450000000000002</v>
      </c>
      <c r="G538" s="144">
        <v>1.0874999999999999</v>
      </c>
      <c r="I538" s="144">
        <v>1</v>
      </c>
      <c r="J538" s="145">
        <f t="shared" si="62"/>
        <v>42232</v>
      </c>
      <c r="K538" s="144">
        <f t="shared" ca="1" si="64"/>
        <v>0.97350281980127107</v>
      </c>
      <c r="L538" s="144">
        <f t="shared" ca="1" si="64"/>
        <v>0.63960254229701907</v>
      </c>
      <c r="M538" s="144">
        <f t="shared" ca="1" si="64"/>
        <v>124.1607734312058</v>
      </c>
      <c r="N538" s="144">
        <f t="shared" ca="1" si="64"/>
        <v>8.179661623847462</v>
      </c>
      <c r="O538" s="144">
        <f t="shared" ca="1" si="64"/>
        <v>64.856861516426463</v>
      </c>
      <c r="P538" s="144">
        <f t="shared" ca="1" si="64"/>
        <v>1</v>
      </c>
      <c r="Q538" s="144">
        <f t="shared" ca="1" si="64"/>
        <v>0.89517500671381256</v>
      </c>
    </row>
    <row r="539" spans="1:17" x14ac:dyDescent="0.25">
      <c r="A539" s="145">
        <v>42231</v>
      </c>
      <c r="B539" s="144">
        <v>1.1171</v>
      </c>
      <c r="C539" s="144">
        <v>72.451599999999999</v>
      </c>
      <c r="D539" s="144">
        <v>9.1374999999999993</v>
      </c>
      <c r="E539" s="144">
        <v>138.69999999999999</v>
      </c>
      <c r="F539" s="144">
        <v>0.71450000000000002</v>
      </c>
      <c r="G539" s="144">
        <v>1.0874999999999999</v>
      </c>
      <c r="I539" s="144">
        <v>1</v>
      </c>
      <c r="J539" s="145">
        <f t="shared" si="62"/>
        <v>42231</v>
      </c>
      <c r="K539" s="144">
        <f t="shared" ca="1" si="64"/>
        <v>0.97350281980127107</v>
      </c>
      <c r="L539" s="144">
        <f t="shared" ca="1" si="64"/>
        <v>0.63960254229701907</v>
      </c>
      <c r="M539" s="144">
        <f t="shared" ca="1" si="64"/>
        <v>124.1607734312058</v>
      </c>
      <c r="N539" s="144">
        <f t="shared" ca="1" si="64"/>
        <v>8.179661623847462</v>
      </c>
      <c r="O539" s="144">
        <f t="shared" ca="1" si="64"/>
        <v>64.856861516426463</v>
      </c>
      <c r="P539" s="144">
        <f t="shared" ca="1" si="64"/>
        <v>1</v>
      </c>
      <c r="Q539" s="144">
        <f t="shared" ca="1" si="64"/>
        <v>0.89517500671381256</v>
      </c>
    </row>
    <row r="540" spans="1:17" x14ac:dyDescent="0.25">
      <c r="A540" s="145">
        <v>42230</v>
      </c>
      <c r="B540" s="144">
        <v>1.1171</v>
      </c>
      <c r="C540" s="144">
        <v>72.451599999999999</v>
      </c>
      <c r="D540" s="144">
        <v>9.1374999999999993</v>
      </c>
      <c r="E540" s="144">
        <v>138.69999999999999</v>
      </c>
      <c r="F540" s="144">
        <v>0.71450000000000002</v>
      </c>
      <c r="G540" s="144">
        <v>1.0874999999999999</v>
      </c>
      <c r="I540" s="144">
        <v>1</v>
      </c>
      <c r="J540" s="145">
        <f t="shared" si="62"/>
        <v>42230</v>
      </c>
      <c r="K540" s="144">
        <f t="shared" ca="1" si="64"/>
        <v>0.97350281980127107</v>
      </c>
      <c r="L540" s="144">
        <f t="shared" ca="1" si="64"/>
        <v>0.63960254229701907</v>
      </c>
      <c r="M540" s="144">
        <f t="shared" ca="1" si="64"/>
        <v>124.1607734312058</v>
      </c>
      <c r="N540" s="144">
        <f t="shared" ca="1" si="64"/>
        <v>8.179661623847462</v>
      </c>
      <c r="O540" s="144">
        <f t="shared" ca="1" si="64"/>
        <v>64.856861516426463</v>
      </c>
      <c r="P540" s="144">
        <f t="shared" ca="1" si="64"/>
        <v>1</v>
      </c>
      <c r="Q540" s="144">
        <f t="shared" ca="1" si="64"/>
        <v>0.89517500671381256</v>
      </c>
    </row>
    <row r="541" spans="1:17" x14ac:dyDescent="0.25">
      <c r="A541" s="145">
        <v>42229</v>
      </c>
      <c r="B541" s="144">
        <v>1.1109</v>
      </c>
      <c r="C541" s="144">
        <v>71.429000000000002</v>
      </c>
      <c r="D541" s="144">
        <v>9.0745000000000005</v>
      </c>
      <c r="E541" s="144">
        <v>138.22999999999999</v>
      </c>
      <c r="F541" s="144">
        <v>0.71060000000000001</v>
      </c>
      <c r="G541" s="144">
        <v>1.0849</v>
      </c>
      <c r="I541" s="144">
        <v>1</v>
      </c>
      <c r="J541" s="145">
        <f t="shared" si="62"/>
        <v>42229</v>
      </c>
      <c r="K541" s="144">
        <f t="shared" ca="1" si="64"/>
        <v>0.97659555315509949</v>
      </c>
      <c r="L541" s="144">
        <f t="shared" ca="1" si="64"/>
        <v>0.63966153569178141</v>
      </c>
      <c r="M541" s="144">
        <f t="shared" ca="1" si="64"/>
        <v>124.43064182194617</v>
      </c>
      <c r="N541" s="144">
        <f t="shared" ca="1" si="64"/>
        <v>8.1686020343865344</v>
      </c>
      <c r="O541" s="144">
        <f t="shared" ca="1" si="64"/>
        <v>64.298316680169236</v>
      </c>
      <c r="P541" s="144">
        <f t="shared" ca="1" si="64"/>
        <v>1</v>
      </c>
      <c r="Q541" s="144">
        <f t="shared" ca="1" si="64"/>
        <v>0.90017103249617425</v>
      </c>
    </row>
    <row r="542" spans="1:17" x14ac:dyDescent="0.25">
      <c r="A542" s="145">
        <v>42228</v>
      </c>
      <c r="B542" s="144">
        <v>1.1154999999999999</v>
      </c>
      <c r="C542" s="144">
        <v>72.158199999999994</v>
      </c>
      <c r="D542" s="144">
        <v>9.0760000000000005</v>
      </c>
      <c r="E542" s="144">
        <v>138.44999999999999</v>
      </c>
      <c r="F542" s="144">
        <v>0.71489999999999998</v>
      </c>
      <c r="G542" s="144">
        <v>1.0864</v>
      </c>
      <c r="I542" s="144">
        <v>1</v>
      </c>
      <c r="J542" s="145">
        <f t="shared" si="62"/>
        <v>42228</v>
      </c>
      <c r="K542" s="144">
        <f t="shared" ca="1" si="64"/>
        <v>0.97391304347826091</v>
      </c>
      <c r="L542" s="144">
        <f t="shared" ca="1" si="64"/>
        <v>0.64087852980726134</v>
      </c>
      <c r="M542" s="144">
        <f t="shared" ca="1" si="64"/>
        <v>124.11474675033617</v>
      </c>
      <c r="N542" s="144">
        <f t="shared" ca="1" si="64"/>
        <v>8.1362617660242051</v>
      </c>
      <c r="O542" s="144">
        <f t="shared" ca="1" si="64"/>
        <v>64.686866875840423</v>
      </c>
      <c r="P542" s="144">
        <f t="shared" ca="1" si="64"/>
        <v>1</v>
      </c>
      <c r="Q542" s="144">
        <f t="shared" ca="1" si="64"/>
        <v>0.89645898700134474</v>
      </c>
    </row>
    <row r="543" spans="1:17" x14ac:dyDescent="0.25">
      <c r="A543" s="145">
        <v>42227</v>
      </c>
      <c r="B543" s="144">
        <v>1.1054999999999999</v>
      </c>
      <c r="C543" s="144">
        <v>70.809100000000001</v>
      </c>
      <c r="D543" s="144">
        <v>9.0835000000000008</v>
      </c>
      <c r="E543" s="144">
        <v>137.99</v>
      </c>
      <c r="F543" s="144">
        <v>0.70879999999999999</v>
      </c>
      <c r="G543" s="144">
        <v>1.0859000000000001</v>
      </c>
      <c r="I543" s="144">
        <v>1</v>
      </c>
      <c r="J543" s="145">
        <f t="shared" si="62"/>
        <v>42227</v>
      </c>
      <c r="K543" s="144">
        <f t="shared" ca="1" si="64"/>
        <v>0.98227046585255551</v>
      </c>
      <c r="L543" s="144">
        <f t="shared" ca="1" si="64"/>
        <v>0.64115784712799639</v>
      </c>
      <c r="M543" s="144">
        <f t="shared" ca="1" si="64"/>
        <v>124.82134780642245</v>
      </c>
      <c r="N543" s="144">
        <f t="shared" ca="1" si="64"/>
        <v>8.2166440524649484</v>
      </c>
      <c r="O543" s="144">
        <f t="shared" ca="1" si="64"/>
        <v>64.051650836725472</v>
      </c>
      <c r="P543" s="144">
        <f t="shared" ca="1" si="64"/>
        <v>1</v>
      </c>
      <c r="Q543" s="144">
        <f t="shared" ca="1" si="64"/>
        <v>0.90456806874717333</v>
      </c>
    </row>
    <row r="544" spans="1:17" x14ac:dyDescent="0.25">
      <c r="A544" s="145">
        <v>42226</v>
      </c>
      <c r="B544" s="144">
        <v>1.0960000000000001</v>
      </c>
      <c r="C544" s="144">
        <v>70.41</v>
      </c>
      <c r="D544" s="144">
        <v>9.0259999999999998</v>
      </c>
      <c r="E544" s="144">
        <v>136.66999999999999</v>
      </c>
      <c r="F544" s="144">
        <v>0.70709999999999995</v>
      </c>
      <c r="G544" s="144">
        <v>1.08</v>
      </c>
      <c r="I544" s="144">
        <v>1</v>
      </c>
      <c r="J544" s="145">
        <f t="shared" si="62"/>
        <v>42226</v>
      </c>
      <c r="K544" s="144">
        <f t="shared" ca="1" si="64"/>
        <v>0.98540145985401462</v>
      </c>
      <c r="L544" s="144">
        <f t="shared" ca="1" si="64"/>
        <v>0.64516423357664221</v>
      </c>
      <c r="M544" s="144">
        <f t="shared" ca="1" si="64"/>
        <v>124.69890510948903</v>
      </c>
      <c r="N544" s="144">
        <f t="shared" ca="1" si="64"/>
        <v>8.235401459854014</v>
      </c>
      <c r="O544" s="144">
        <f t="shared" ca="1" si="64"/>
        <v>64.242700729926995</v>
      </c>
      <c r="P544" s="144">
        <f t="shared" ca="1" si="64"/>
        <v>1</v>
      </c>
      <c r="Q544" s="144">
        <f t="shared" ca="1" si="64"/>
        <v>0.91240875912408748</v>
      </c>
    </row>
    <row r="545" spans="1:17" x14ac:dyDescent="0.25">
      <c r="A545" s="145">
        <v>42225</v>
      </c>
      <c r="B545" s="144">
        <v>1.0941000000000001</v>
      </c>
      <c r="C545" s="144">
        <v>70.213300000000004</v>
      </c>
      <c r="D545" s="144">
        <v>9.0410000000000004</v>
      </c>
      <c r="E545" s="144">
        <v>136.43</v>
      </c>
      <c r="F545" s="144">
        <v>0.70509999999999995</v>
      </c>
      <c r="G545" s="144">
        <v>1.0738000000000001</v>
      </c>
      <c r="I545" s="144">
        <v>1</v>
      </c>
      <c r="J545" s="145">
        <f t="shared" si="62"/>
        <v>42225</v>
      </c>
      <c r="K545" s="144">
        <f t="shared" ref="K545:Q554" ca="1" si="65">OFFSET($A545,0,K$3)/OFFSET($A545,0,$P$3)</f>
        <v>0.98144593730006402</v>
      </c>
      <c r="L545" s="144">
        <f t="shared" ca="1" si="65"/>
        <v>0.64445663102093032</v>
      </c>
      <c r="M545" s="144">
        <f t="shared" ca="1" si="65"/>
        <v>124.69609724888035</v>
      </c>
      <c r="N545" s="144">
        <f t="shared" ca="1" si="65"/>
        <v>8.2634128507449045</v>
      </c>
      <c r="O545" s="144">
        <f t="shared" ca="1" si="65"/>
        <v>64.17448130883831</v>
      </c>
      <c r="P545" s="144">
        <f t="shared" ca="1" si="65"/>
        <v>1</v>
      </c>
      <c r="Q545" s="144">
        <f t="shared" ca="1" si="65"/>
        <v>0.91399323645005026</v>
      </c>
    </row>
    <row r="546" spans="1:17" x14ac:dyDescent="0.25">
      <c r="A546" s="145">
        <v>42224</v>
      </c>
      <c r="B546" s="144">
        <v>1.0941000000000001</v>
      </c>
      <c r="C546" s="144">
        <v>70.213300000000004</v>
      </c>
      <c r="D546" s="144">
        <v>9.0410000000000004</v>
      </c>
      <c r="E546" s="144">
        <v>136.43</v>
      </c>
      <c r="F546" s="144">
        <v>0.70509999999999995</v>
      </c>
      <c r="G546" s="144">
        <v>1.0738000000000001</v>
      </c>
      <c r="I546" s="144">
        <v>1</v>
      </c>
      <c r="J546" s="145">
        <f t="shared" si="62"/>
        <v>42224</v>
      </c>
      <c r="K546" s="144">
        <f t="shared" ca="1" si="65"/>
        <v>0.98144593730006402</v>
      </c>
      <c r="L546" s="144">
        <f t="shared" ca="1" si="65"/>
        <v>0.64445663102093032</v>
      </c>
      <c r="M546" s="144">
        <f t="shared" ca="1" si="65"/>
        <v>124.69609724888035</v>
      </c>
      <c r="N546" s="144">
        <f t="shared" ca="1" si="65"/>
        <v>8.2634128507449045</v>
      </c>
      <c r="O546" s="144">
        <f t="shared" ca="1" si="65"/>
        <v>64.17448130883831</v>
      </c>
      <c r="P546" s="144">
        <f t="shared" ca="1" si="65"/>
        <v>1</v>
      </c>
      <c r="Q546" s="144">
        <f t="shared" ca="1" si="65"/>
        <v>0.91399323645005026</v>
      </c>
    </row>
    <row r="547" spans="1:17" x14ac:dyDescent="0.25">
      <c r="A547" s="145">
        <v>42223</v>
      </c>
      <c r="B547" s="144">
        <v>1.0941000000000001</v>
      </c>
      <c r="C547" s="144">
        <v>70.213300000000004</v>
      </c>
      <c r="D547" s="144">
        <v>9.0410000000000004</v>
      </c>
      <c r="E547" s="144">
        <v>136.43</v>
      </c>
      <c r="F547" s="144">
        <v>0.70509999999999995</v>
      </c>
      <c r="G547" s="144">
        <v>1.0738000000000001</v>
      </c>
      <c r="I547" s="144">
        <v>1</v>
      </c>
      <c r="J547" s="145">
        <f t="shared" si="62"/>
        <v>42223</v>
      </c>
      <c r="K547" s="144">
        <f t="shared" ca="1" si="65"/>
        <v>0.98144593730006402</v>
      </c>
      <c r="L547" s="144">
        <f t="shared" ca="1" si="65"/>
        <v>0.64445663102093032</v>
      </c>
      <c r="M547" s="144">
        <f t="shared" ca="1" si="65"/>
        <v>124.69609724888035</v>
      </c>
      <c r="N547" s="144">
        <f t="shared" ca="1" si="65"/>
        <v>8.2634128507449045</v>
      </c>
      <c r="O547" s="144">
        <f t="shared" ca="1" si="65"/>
        <v>64.17448130883831</v>
      </c>
      <c r="P547" s="144">
        <f t="shared" ca="1" si="65"/>
        <v>1</v>
      </c>
      <c r="Q547" s="144">
        <f t="shared" ca="1" si="65"/>
        <v>0.91399323645005026</v>
      </c>
    </row>
    <row r="548" spans="1:17" x14ac:dyDescent="0.25">
      <c r="A548" s="145">
        <v>42222</v>
      </c>
      <c r="B548" s="144">
        <v>1.0885</v>
      </c>
      <c r="C548" s="144">
        <v>69.852999999999994</v>
      </c>
      <c r="D548" s="144">
        <v>9.0259999999999998</v>
      </c>
      <c r="E548" s="144">
        <v>135.94</v>
      </c>
      <c r="F548" s="144">
        <v>0.70140000000000002</v>
      </c>
      <c r="G548" s="144">
        <v>1.0712999999999999</v>
      </c>
      <c r="I548" s="144">
        <v>1</v>
      </c>
      <c r="J548" s="145">
        <f t="shared" si="62"/>
        <v>42222</v>
      </c>
      <c r="K548" s="144">
        <f t="shared" ca="1" si="65"/>
        <v>0.98419843821773068</v>
      </c>
      <c r="L548" s="144">
        <f t="shared" ca="1" si="65"/>
        <v>0.64437299035369777</v>
      </c>
      <c r="M548" s="144">
        <f t="shared" ca="1" si="65"/>
        <v>124.88745980707395</v>
      </c>
      <c r="N548" s="144">
        <f t="shared" ca="1" si="65"/>
        <v>8.2921451538814885</v>
      </c>
      <c r="O548" s="144">
        <f t="shared" ca="1" si="65"/>
        <v>64.173633440514465</v>
      </c>
      <c r="P548" s="144">
        <f t="shared" ca="1" si="65"/>
        <v>1</v>
      </c>
      <c r="Q548" s="144">
        <f t="shared" ca="1" si="65"/>
        <v>0.91869545245751028</v>
      </c>
    </row>
    <row r="549" spans="1:17" x14ac:dyDescent="0.25">
      <c r="A549" s="145">
        <v>42221</v>
      </c>
      <c r="B549" s="144">
        <v>1.0883</v>
      </c>
      <c r="C549" s="144">
        <v>68.584000000000003</v>
      </c>
      <c r="D549" s="144">
        <v>8.9954999999999998</v>
      </c>
      <c r="E549" s="144">
        <v>135.22999999999999</v>
      </c>
      <c r="F549" s="144">
        <v>0.69630000000000003</v>
      </c>
      <c r="G549" s="144">
        <v>1.0658000000000001</v>
      </c>
      <c r="I549" s="144">
        <v>1</v>
      </c>
      <c r="J549" s="145">
        <f t="shared" si="62"/>
        <v>42221</v>
      </c>
      <c r="K549" s="144">
        <f t="shared" ca="1" si="65"/>
        <v>0.97932555361573104</v>
      </c>
      <c r="L549" s="144">
        <f t="shared" ca="1" si="65"/>
        <v>0.63980520077184599</v>
      </c>
      <c r="M549" s="144">
        <f t="shared" ca="1" si="65"/>
        <v>124.25801709087567</v>
      </c>
      <c r="N549" s="144">
        <f t="shared" ca="1" si="65"/>
        <v>8.2656436644307636</v>
      </c>
      <c r="O549" s="144">
        <f t="shared" ca="1" si="65"/>
        <v>63.019388036387028</v>
      </c>
      <c r="P549" s="144">
        <f t="shared" ca="1" si="65"/>
        <v>1</v>
      </c>
      <c r="Q549" s="144">
        <f t="shared" ca="1" si="65"/>
        <v>0.91886428374529083</v>
      </c>
    </row>
    <row r="550" spans="1:17" x14ac:dyDescent="0.25">
      <c r="A550" s="145">
        <v>42220</v>
      </c>
      <c r="B550" s="144">
        <v>1.0972999999999999</v>
      </c>
      <c r="C550" s="144">
        <v>68.882999999999996</v>
      </c>
      <c r="D550" s="144">
        <v>9.0015000000000001</v>
      </c>
      <c r="E550" s="144">
        <v>136.07</v>
      </c>
      <c r="F550" s="144">
        <v>0.70274999999999999</v>
      </c>
      <c r="G550" s="144">
        <v>1.0640000000000001</v>
      </c>
      <c r="I550" s="144">
        <v>1</v>
      </c>
      <c r="J550" s="145">
        <f t="shared" si="62"/>
        <v>42220</v>
      </c>
      <c r="K550" s="144">
        <f t="shared" ca="1" si="65"/>
        <v>0.96965278410644318</v>
      </c>
      <c r="L550" s="144">
        <f t="shared" ca="1" si="65"/>
        <v>0.64043561469060428</v>
      </c>
      <c r="M550" s="144">
        <f t="shared" ca="1" si="65"/>
        <v>124.00437437346214</v>
      </c>
      <c r="N550" s="144">
        <f t="shared" ca="1" si="65"/>
        <v>8.2033172332087858</v>
      </c>
      <c r="O550" s="144">
        <f t="shared" ca="1" si="65"/>
        <v>62.774993165041465</v>
      </c>
      <c r="P550" s="144">
        <f t="shared" ca="1" si="65"/>
        <v>1</v>
      </c>
      <c r="Q550" s="144">
        <f t="shared" ca="1" si="65"/>
        <v>0.91132780461131879</v>
      </c>
    </row>
    <row r="551" spans="1:17" x14ac:dyDescent="0.25">
      <c r="A551" s="145">
        <v>42219</v>
      </c>
      <c r="B551" s="144">
        <v>1.0951</v>
      </c>
      <c r="C551" s="144">
        <v>68.589100000000002</v>
      </c>
      <c r="D551" s="144">
        <v>9.0005000000000006</v>
      </c>
      <c r="E551" s="144">
        <v>136.07</v>
      </c>
      <c r="F551" s="144">
        <v>0.70279999999999998</v>
      </c>
      <c r="G551" s="144">
        <v>1.0598000000000001</v>
      </c>
      <c r="I551" s="144">
        <v>1</v>
      </c>
      <c r="J551" s="145">
        <f t="shared" si="62"/>
        <v>42219</v>
      </c>
      <c r="K551" s="144">
        <f t="shared" ca="1" si="65"/>
        <v>0.96776550086750079</v>
      </c>
      <c r="L551" s="144">
        <f t="shared" ca="1" si="65"/>
        <v>0.64176787507990141</v>
      </c>
      <c r="M551" s="144">
        <f t="shared" ca="1" si="65"/>
        <v>124.25349283170486</v>
      </c>
      <c r="N551" s="144">
        <f t="shared" ca="1" si="65"/>
        <v>8.2188841201716745</v>
      </c>
      <c r="O551" s="144">
        <f t="shared" ca="1" si="65"/>
        <v>62.632727604784954</v>
      </c>
      <c r="P551" s="144">
        <f t="shared" ca="1" si="65"/>
        <v>1</v>
      </c>
      <c r="Q551" s="144">
        <f t="shared" ca="1" si="65"/>
        <v>0.91315861565153866</v>
      </c>
    </row>
    <row r="552" spans="1:17" x14ac:dyDescent="0.25">
      <c r="A552" s="145">
        <v>42218</v>
      </c>
      <c r="B552" s="144">
        <v>1.0967</v>
      </c>
      <c r="C552" s="144">
        <v>66.8596</v>
      </c>
      <c r="D552" s="144">
        <v>9.0015000000000001</v>
      </c>
      <c r="E552" s="144">
        <v>136.34</v>
      </c>
      <c r="F552" s="144">
        <v>0.70409999999999995</v>
      </c>
      <c r="G552" s="144">
        <v>1.0565</v>
      </c>
      <c r="I552" s="144">
        <v>1</v>
      </c>
      <c r="J552" s="145">
        <f t="shared" si="62"/>
        <v>42218</v>
      </c>
      <c r="K552" s="144">
        <f t="shared" ca="1" si="65"/>
        <v>0.9633445791921218</v>
      </c>
      <c r="L552" s="144">
        <f t="shared" ca="1" si="65"/>
        <v>0.64201695997082153</v>
      </c>
      <c r="M552" s="144">
        <f t="shared" ca="1" si="65"/>
        <v>124.31840977477889</v>
      </c>
      <c r="N552" s="144">
        <f t="shared" ca="1" si="65"/>
        <v>8.2078052338834677</v>
      </c>
      <c r="O552" s="144">
        <f t="shared" ca="1" si="65"/>
        <v>60.964347588219205</v>
      </c>
      <c r="P552" s="144">
        <f t="shared" ca="1" si="65"/>
        <v>1</v>
      </c>
      <c r="Q552" s="144">
        <f t="shared" ca="1" si="65"/>
        <v>0.91182638825567608</v>
      </c>
    </row>
    <row r="553" spans="1:17" x14ac:dyDescent="0.25">
      <c r="A553" s="145">
        <v>42217</v>
      </c>
      <c r="B553" s="144">
        <v>1.0967</v>
      </c>
      <c r="C553" s="144">
        <v>66.8596</v>
      </c>
      <c r="D553" s="144">
        <v>9.0015000000000001</v>
      </c>
      <c r="E553" s="144">
        <v>136.34</v>
      </c>
      <c r="F553" s="144">
        <v>0.70409999999999995</v>
      </c>
      <c r="G553" s="144">
        <v>1.0565</v>
      </c>
      <c r="I553" s="144">
        <v>1</v>
      </c>
      <c r="J553" s="145">
        <f t="shared" si="62"/>
        <v>42217</v>
      </c>
      <c r="K553" s="144">
        <f t="shared" ca="1" si="65"/>
        <v>0.9633445791921218</v>
      </c>
      <c r="L553" s="144">
        <f t="shared" ca="1" si="65"/>
        <v>0.64201695997082153</v>
      </c>
      <c r="M553" s="144">
        <f t="shared" ca="1" si="65"/>
        <v>124.31840977477889</v>
      </c>
      <c r="N553" s="144">
        <f t="shared" ca="1" si="65"/>
        <v>8.2078052338834677</v>
      </c>
      <c r="O553" s="144">
        <f t="shared" ca="1" si="65"/>
        <v>60.964347588219205</v>
      </c>
      <c r="P553" s="144">
        <f t="shared" ca="1" si="65"/>
        <v>1</v>
      </c>
      <c r="Q553" s="144">
        <f t="shared" ca="1" si="65"/>
        <v>0.91182638825567608</v>
      </c>
    </row>
    <row r="554" spans="1:17" x14ac:dyDescent="0.25">
      <c r="A554" s="145">
        <v>42216</v>
      </c>
      <c r="B554" s="144">
        <v>1.0967</v>
      </c>
      <c r="C554" s="144">
        <v>66.8596</v>
      </c>
      <c r="D554" s="144">
        <v>9.0015000000000001</v>
      </c>
      <c r="E554" s="144">
        <v>136.34</v>
      </c>
      <c r="F554" s="144">
        <v>0.70409999999999995</v>
      </c>
      <c r="G554" s="144">
        <v>1.0565</v>
      </c>
      <c r="I554" s="144">
        <v>1</v>
      </c>
      <c r="J554" s="145">
        <f t="shared" si="62"/>
        <v>42216</v>
      </c>
      <c r="K554" s="144">
        <f t="shared" ca="1" si="65"/>
        <v>0.9633445791921218</v>
      </c>
      <c r="L554" s="144">
        <f t="shared" ca="1" si="65"/>
        <v>0.64201695997082153</v>
      </c>
      <c r="M554" s="144">
        <f t="shared" ca="1" si="65"/>
        <v>124.31840977477889</v>
      </c>
      <c r="N554" s="144">
        <f t="shared" ca="1" si="65"/>
        <v>8.2078052338834677</v>
      </c>
      <c r="O554" s="144">
        <f t="shared" ca="1" si="65"/>
        <v>60.964347588219205</v>
      </c>
      <c r="P554" s="144">
        <f t="shared" ca="1" si="65"/>
        <v>1</v>
      </c>
      <c r="Q554" s="144">
        <f t="shared" ca="1" si="65"/>
        <v>0.91182638825567608</v>
      </c>
    </row>
    <row r="555" spans="1:17" x14ac:dyDescent="0.25">
      <c r="A555" s="145">
        <v>42215</v>
      </c>
      <c r="B555" s="144">
        <v>1.0954999999999999</v>
      </c>
      <c r="C555" s="144">
        <v>65.385800000000003</v>
      </c>
      <c r="D555" s="144">
        <v>8.9429999999999996</v>
      </c>
      <c r="E555" s="144">
        <v>136.25</v>
      </c>
      <c r="F555" s="144">
        <v>0.70099999999999996</v>
      </c>
      <c r="G555" s="144">
        <v>1.0632999999999999</v>
      </c>
      <c r="I555" s="144">
        <v>1</v>
      </c>
      <c r="J555" s="145">
        <f t="shared" si="62"/>
        <v>42215</v>
      </c>
      <c r="K555" s="144">
        <f t="shared" ref="K555:Q564" ca="1" si="66">OFFSET($A555,0,K$3)/OFFSET($A555,0,$P$3)</f>
        <v>0.97060702875399363</v>
      </c>
      <c r="L555" s="144">
        <f t="shared" ca="1" si="66"/>
        <v>0.63989046097672297</v>
      </c>
      <c r="M555" s="144">
        <f t="shared" ca="1" si="66"/>
        <v>124.37243267914195</v>
      </c>
      <c r="N555" s="144">
        <f t="shared" ca="1" si="66"/>
        <v>8.1633957097215895</v>
      </c>
      <c r="O555" s="144">
        <f t="shared" ca="1" si="66"/>
        <v>59.68580556823369</v>
      </c>
      <c r="P555" s="144">
        <f t="shared" ca="1" si="66"/>
        <v>1</v>
      </c>
      <c r="Q555" s="144">
        <f t="shared" ca="1" si="66"/>
        <v>0.91282519397535378</v>
      </c>
    </row>
    <row r="556" spans="1:17" x14ac:dyDescent="0.25">
      <c r="A556" s="145">
        <v>42214</v>
      </c>
      <c r="B556" s="144">
        <v>1.103</v>
      </c>
      <c r="C556" s="144">
        <v>65.694000000000003</v>
      </c>
      <c r="D556" s="144">
        <v>8.9975000000000005</v>
      </c>
      <c r="E556" s="144">
        <v>136.5</v>
      </c>
      <c r="F556" s="144">
        <v>0.70530000000000004</v>
      </c>
      <c r="G556" s="144">
        <v>1.0622</v>
      </c>
      <c r="I556" s="144">
        <v>1</v>
      </c>
      <c r="J556" s="145">
        <f t="shared" si="62"/>
        <v>42214</v>
      </c>
      <c r="K556" s="144">
        <f t="shared" ca="1" si="66"/>
        <v>0.96300997280145062</v>
      </c>
      <c r="L556" s="144">
        <f t="shared" ca="1" si="66"/>
        <v>0.63943789664551232</v>
      </c>
      <c r="M556" s="144">
        <f t="shared" ca="1" si="66"/>
        <v>123.75339981867634</v>
      </c>
      <c r="N556" s="144">
        <f t="shared" ca="1" si="66"/>
        <v>8.1572982774252054</v>
      </c>
      <c r="O556" s="144">
        <f t="shared" ca="1" si="66"/>
        <v>59.559383499546698</v>
      </c>
      <c r="P556" s="144">
        <f t="shared" ca="1" si="66"/>
        <v>1</v>
      </c>
      <c r="Q556" s="144">
        <f t="shared" ca="1" si="66"/>
        <v>0.90661831368993651</v>
      </c>
    </row>
    <row r="557" spans="1:17" x14ac:dyDescent="0.25">
      <c r="A557" s="145">
        <v>42213</v>
      </c>
      <c r="B557" s="144">
        <v>1.1025</v>
      </c>
      <c r="C557" s="144">
        <v>66.376999999999995</v>
      </c>
      <c r="D557" s="144">
        <v>9.0214999999999996</v>
      </c>
      <c r="E557" s="144">
        <v>136.46</v>
      </c>
      <c r="F557" s="144">
        <v>0.70740000000000003</v>
      </c>
      <c r="G557" s="144">
        <v>1.0659000000000001</v>
      </c>
      <c r="I557" s="144">
        <v>1</v>
      </c>
      <c r="J557" s="145">
        <f t="shared" si="62"/>
        <v>42213</v>
      </c>
      <c r="K557" s="144">
        <f t="shared" ca="1" si="66"/>
        <v>0.96680272108843546</v>
      </c>
      <c r="L557" s="144">
        <f t="shared" ca="1" si="66"/>
        <v>0.64163265306122452</v>
      </c>
      <c r="M557" s="144">
        <f t="shared" ca="1" si="66"/>
        <v>123.7732426303855</v>
      </c>
      <c r="N557" s="144">
        <f t="shared" ca="1" si="66"/>
        <v>8.1827664399092956</v>
      </c>
      <c r="O557" s="144">
        <f t="shared" ca="1" si="66"/>
        <v>60.205895691609975</v>
      </c>
      <c r="P557" s="144">
        <f t="shared" ca="1" si="66"/>
        <v>1</v>
      </c>
      <c r="Q557" s="144">
        <f t="shared" ca="1" si="66"/>
        <v>0.90702947845804982</v>
      </c>
    </row>
    <row r="558" spans="1:17" x14ac:dyDescent="0.25">
      <c r="A558" s="145">
        <v>42212</v>
      </c>
      <c r="B558" s="144">
        <v>1.1057999999999999</v>
      </c>
      <c r="C558" s="144">
        <v>65.816500000000005</v>
      </c>
      <c r="D558" s="144">
        <v>9.0419999999999998</v>
      </c>
      <c r="E558" s="144">
        <v>136.22999999999999</v>
      </c>
      <c r="F558" s="144">
        <v>0.7127</v>
      </c>
      <c r="G558" s="144">
        <v>1.0595000000000001</v>
      </c>
      <c r="I558" s="144">
        <v>1</v>
      </c>
      <c r="J558" s="145">
        <f t="shared" si="62"/>
        <v>42212</v>
      </c>
      <c r="K558" s="144">
        <f t="shared" ca="1" si="66"/>
        <v>0.95812986073431017</v>
      </c>
      <c r="L558" s="144">
        <f t="shared" ca="1" si="66"/>
        <v>0.64451076143968178</v>
      </c>
      <c r="M558" s="144">
        <f t="shared" ca="1" si="66"/>
        <v>123.19587628865979</v>
      </c>
      <c r="N558" s="144">
        <f t="shared" ca="1" si="66"/>
        <v>8.1768855127509497</v>
      </c>
      <c r="O558" s="144">
        <f t="shared" ca="1" si="66"/>
        <v>59.519352504973781</v>
      </c>
      <c r="P558" s="144">
        <f t="shared" ca="1" si="66"/>
        <v>1</v>
      </c>
      <c r="Q558" s="144">
        <f t="shared" ca="1" si="66"/>
        <v>0.90432266232591796</v>
      </c>
    </row>
    <row r="559" spans="1:17" x14ac:dyDescent="0.25">
      <c r="A559" s="145">
        <v>42211</v>
      </c>
      <c r="B559" s="144">
        <v>1.0939000000000001</v>
      </c>
      <c r="C559" s="144">
        <v>63.918999999999997</v>
      </c>
      <c r="D559" s="144">
        <v>8.9954999999999998</v>
      </c>
      <c r="E559" s="144">
        <v>135.69999999999999</v>
      </c>
      <c r="F559" s="144">
        <v>0.70689999999999997</v>
      </c>
      <c r="G559" s="144">
        <v>1.0511999999999999</v>
      </c>
      <c r="I559" s="144">
        <v>1</v>
      </c>
      <c r="J559" s="145">
        <f t="shared" si="62"/>
        <v>42211</v>
      </c>
      <c r="K559" s="144">
        <f t="shared" ca="1" si="66"/>
        <v>0.96096535332297273</v>
      </c>
      <c r="L559" s="144">
        <f t="shared" ca="1" si="66"/>
        <v>0.6462199469787</v>
      </c>
      <c r="M559" s="144">
        <f t="shared" ca="1" si="66"/>
        <v>124.05155864338603</v>
      </c>
      <c r="N559" s="144">
        <f t="shared" ca="1" si="66"/>
        <v>8.2233293719718432</v>
      </c>
      <c r="O559" s="144">
        <f t="shared" ca="1" si="66"/>
        <v>58.432215010512834</v>
      </c>
      <c r="P559" s="144">
        <f t="shared" ca="1" si="66"/>
        <v>1</v>
      </c>
      <c r="Q559" s="144">
        <f t="shared" ca="1" si="66"/>
        <v>0.91416034372428912</v>
      </c>
    </row>
    <row r="560" spans="1:17" x14ac:dyDescent="0.25">
      <c r="A560" s="145">
        <v>42210</v>
      </c>
      <c r="B560" s="144">
        <v>1.0939000000000001</v>
      </c>
      <c r="C560" s="144">
        <v>63.918999999999997</v>
      </c>
      <c r="D560" s="144">
        <v>8.9954999999999998</v>
      </c>
      <c r="E560" s="144">
        <v>135.69999999999999</v>
      </c>
      <c r="F560" s="144">
        <v>0.70689999999999997</v>
      </c>
      <c r="G560" s="144">
        <v>1.0511999999999999</v>
      </c>
      <c r="I560" s="144">
        <v>1</v>
      </c>
      <c r="J560" s="145">
        <f t="shared" si="62"/>
        <v>42210</v>
      </c>
      <c r="K560" s="144">
        <f t="shared" ca="1" si="66"/>
        <v>0.96096535332297273</v>
      </c>
      <c r="L560" s="144">
        <f t="shared" ca="1" si="66"/>
        <v>0.6462199469787</v>
      </c>
      <c r="M560" s="144">
        <f t="shared" ca="1" si="66"/>
        <v>124.05155864338603</v>
      </c>
      <c r="N560" s="144">
        <f t="shared" ca="1" si="66"/>
        <v>8.2233293719718432</v>
      </c>
      <c r="O560" s="144">
        <f t="shared" ca="1" si="66"/>
        <v>58.432215010512834</v>
      </c>
      <c r="P560" s="144">
        <f t="shared" ca="1" si="66"/>
        <v>1</v>
      </c>
      <c r="Q560" s="144">
        <f t="shared" ca="1" si="66"/>
        <v>0.91416034372428912</v>
      </c>
    </row>
    <row r="561" spans="1:17" x14ac:dyDescent="0.25">
      <c r="A561" s="145">
        <v>42209</v>
      </c>
      <c r="B561" s="144">
        <v>1.0939000000000001</v>
      </c>
      <c r="C561" s="144">
        <v>63.918999999999997</v>
      </c>
      <c r="D561" s="144">
        <v>8.9954999999999998</v>
      </c>
      <c r="E561" s="144">
        <v>135.69999999999999</v>
      </c>
      <c r="F561" s="144">
        <v>0.70689999999999997</v>
      </c>
      <c r="G561" s="144">
        <v>1.0511999999999999</v>
      </c>
      <c r="I561" s="144">
        <v>1</v>
      </c>
      <c r="J561" s="145">
        <f t="shared" si="62"/>
        <v>42209</v>
      </c>
      <c r="K561" s="144">
        <f t="shared" ca="1" si="66"/>
        <v>0.96096535332297273</v>
      </c>
      <c r="L561" s="144">
        <f t="shared" ca="1" si="66"/>
        <v>0.6462199469787</v>
      </c>
      <c r="M561" s="144">
        <f t="shared" ca="1" si="66"/>
        <v>124.05155864338603</v>
      </c>
      <c r="N561" s="144">
        <f t="shared" ca="1" si="66"/>
        <v>8.2233293719718432</v>
      </c>
      <c r="O561" s="144">
        <f t="shared" ca="1" si="66"/>
        <v>58.432215010512834</v>
      </c>
      <c r="P561" s="144">
        <f t="shared" ca="1" si="66"/>
        <v>1</v>
      </c>
      <c r="Q561" s="144">
        <f t="shared" ca="1" si="66"/>
        <v>0.91416034372428912</v>
      </c>
    </row>
    <row r="562" spans="1:17" x14ac:dyDescent="0.25">
      <c r="A562" s="145">
        <v>42208</v>
      </c>
      <c r="B562" s="144">
        <v>1.0999000000000001</v>
      </c>
      <c r="C562" s="144">
        <v>63.173999999999999</v>
      </c>
      <c r="D562" s="144">
        <v>8.9629999999999992</v>
      </c>
      <c r="E562" s="144">
        <v>136.15</v>
      </c>
      <c r="F562" s="144">
        <v>0.70440000000000003</v>
      </c>
      <c r="G562" s="144">
        <v>1.0517000000000001</v>
      </c>
      <c r="I562" s="144">
        <v>1</v>
      </c>
      <c r="J562" s="145">
        <f t="shared" si="62"/>
        <v>42208</v>
      </c>
      <c r="K562" s="144">
        <f t="shared" ca="1" si="66"/>
        <v>0.95617783434857717</v>
      </c>
      <c r="L562" s="144">
        <f t="shared" ca="1" si="66"/>
        <v>0.64042185653241201</v>
      </c>
      <c r="M562" s="144">
        <f t="shared" ca="1" si="66"/>
        <v>123.78398036185106</v>
      </c>
      <c r="N562" s="144">
        <f t="shared" ca="1" si="66"/>
        <v>8.1489226293299382</v>
      </c>
      <c r="O562" s="144">
        <f t="shared" ca="1" si="66"/>
        <v>57.436130557323388</v>
      </c>
      <c r="P562" s="144">
        <f t="shared" ca="1" si="66"/>
        <v>1</v>
      </c>
      <c r="Q562" s="144">
        <f t="shared" ca="1" si="66"/>
        <v>0.90917356123283921</v>
      </c>
    </row>
    <row r="563" spans="1:17" x14ac:dyDescent="0.25">
      <c r="A563" s="145">
        <v>42207</v>
      </c>
      <c r="B563" s="144">
        <v>1.0902000000000001</v>
      </c>
      <c r="C563" s="144">
        <v>62.311500000000002</v>
      </c>
      <c r="D563" s="144">
        <v>8.8989999999999991</v>
      </c>
      <c r="E563" s="144">
        <v>134.97999999999999</v>
      </c>
      <c r="F563" s="144">
        <v>0.69820000000000004</v>
      </c>
      <c r="G563" s="144">
        <v>1.0482</v>
      </c>
      <c r="I563" s="144">
        <v>1</v>
      </c>
      <c r="J563" s="145">
        <f t="shared" si="62"/>
        <v>42207</v>
      </c>
      <c r="K563" s="144">
        <f t="shared" ca="1" si="66"/>
        <v>0.96147495872317001</v>
      </c>
      <c r="L563" s="144">
        <f t="shared" ca="1" si="66"/>
        <v>0.64043294808292062</v>
      </c>
      <c r="M563" s="144">
        <f t="shared" ca="1" si="66"/>
        <v>123.81214456063105</v>
      </c>
      <c r="N563" s="144">
        <f t="shared" ca="1" si="66"/>
        <v>8.1627224362502275</v>
      </c>
      <c r="O563" s="144">
        <f t="shared" ca="1" si="66"/>
        <v>57.156026417171162</v>
      </c>
      <c r="P563" s="144">
        <f t="shared" ca="1" si="66"/>
        <v>1</v>
      </c>
      <c r="Q563" s="144">
        <f t="shared" ca="1" si="66"/>
        <v>0.91726288754356999</v>
      </c>
    </row>
    <row r="564" spans="1:17" x14ac:dyDescent="0.25">
      <c r="A564" s="145">
        <v>42206</v>
      </c>
      <c r="B564" s="144">
        <v>1.0867</v>
      </c>
      <c r="C564" s="144">
        <v>61.921500000000002</v>
      </c>
      <c r="D564" s="144">
        <v>8.9164999999999992</v>
      </c>
      <c r="E564" s="144">
        <v>135.16999999999999</v>
      </c>
      <c r="F564" s="144">
        <v>0.69869999999999999</v>
      </c>
      <c r="G564" s="144">
        <v>1.044</v>
      </c>
      <c r="I564" s="144">
        <v>1</v>
      </c>
      <c r="J564" s="145">
        <f t="shared" si="62"/>
        <v>42206</v>
      </c>
      <c r="K564" s="144">
        <f t="shared" ca="1" si="66"/>
        <v>0.96070672678752189</v>
      </c>
      <c r="L564" s="144">
        <f t="shared" ca="1" si="66"/>
        <v>0.64295573755406277</v>
      </c>
      <c r="M564" s="144">
        <f t="shared" ca="1" si="66"/>
        <v>124.385755038189</v>
      </c>
      <c r="N564" s="144">
        <f t="shared" ca="1" si="66"/>
        <v>8.205116407472163</v>
      </c>
      <c r="O564" s="144">
        <f t="shared" ca="1" si="66"/>
        <v>56.981227569706455</v>
      </c>
      <c r="P564" s="144">
        <f t="shared" ca="1" si="66"/>
        <v>1</v>
      </c>
      <c r="Q564" s="144">
        <f t="shared" ca="1" si="66"/>
        <v>0.92021717125241553</v>
      </c>
    </row>
    <row r="565" spans="1:17" x14ac:dyDescent="0.25">
      <c r="A565" s="145">
        <v>42205</v>
      </c>
      <c r="B565" s="144">
        <v>1.0851999999999999</v>
      </c>
      <c r="C565" s="144">
        <v>61.883800000000001</v>
      </c>
      <c r="D565" s="144">
        <v>8.8955000000000002</v>
      </c>
      <c r="E565" s="144">
        <v>134.83000000000001</v>
      </c>
      <c r="F565" s="144">
        <v>0.69710000000000005</v>
      </c>
      <c r="G565" s="144">
        <v>1.0443</v>
      </c>
      <c r="I565" s="144">
        <v>1</v>
      </c>
      <c r="J565" s="145">
        <f t="shared" si="62"/>
        <v>42205</v>
      </c>
      <c r="K565" s="144">
        <f t="shared" ref="K565:Q574" ca="1" si="67">OFFSET($A565,0,K$3)/OFFSET($A565,0,$P$3)</f>
        <v>0.96231109472908227</v>
      </c>
      <c r="L565" s="144">
        <f t="shared" ca="1" si="67"/>
        <v>0.6423700700331737</v>
      </c>
      <c r="M565" s="144">
        <f t="shared" ca="1" si="67"/>
        <v>124.2443789163288</v>
      </c>
      <c r="N565" s="144">
        <f t="shared" ca="1" si="67"/>
        <v>8.197106524143015</v>
      </c>
      <c r="O565" s="144">
        <f t="shared" ca="1" si="67"/>
        <v>57.025248802064141</v>
      </c>
      <c r="P565" s="144">
        <f t="shared" ca="1" si="67"/>
        <v>1</v>
      </c>
      <c r="Q565" s="144">
        <f t="shared" ca="1" si="67"/>
        <v>0.92148912642830816</v>
      </c>
    </row>
    <row r="566" spans="1:17" x14ac:dyDescent="0.25">
      <c r="A566" s="145">
        <v>42204</v>
      </c>
      <c r="B566" s="144">
        <v>1.0889</v>
      </c>
      <c r="C566" s="144">
        <v>61.917000000000002</v>
      </c>
      <c r="D566" s="144">
        <v>8.8804999999999996</v>
      </c>
      <c r="E566" s="144">
        <v>135.01</v>
      </c>
      <c r="F566" s="144">
        <v>0.69830000000000003</v>
      </c>
      <c r="G566" s="144">
        <v>1.0430999999999999</v>
      </c>
      <c r="I566" s="144">
        <v>1</v>
      </c>
      <c r="J566" s="145">
        <f t="shared" si="62"/>
        <v>42204</v>
      </c>
      <c r="K566" s="144">
        <f t="shared" ca="1" si="67"/>
        <v>0.95793920470199279</v>
      </c>
      <c r="L566" s="144">
        <f t="shared" ca="1" si="67"/>
        <v>0.64128937459821844</v>
      </c>
      <c r="M566" s="144">
        <f t="shared" ca="1" si="67"/>
        <v>123.98751033152722</v>
      </c>
      <c r="N566" s="144">
        <f t="shared" ca="1" si="67"/>
        <v>8.1554780053264757</v>
      </c>
      <c r="O566" s="144">
        <f t="shared" ca="1" si="67"/>
        <v>56.861970796216369</v>
      </c>
      <c r="P566" s="144">
        <f t="shared" ca="1" si="67"/>
        <v>1</v>
      </c>
      <c r="Q566" s="144">
        <f t="shared" ca="1" si="67"/>
        <v>0.91835797593902102</v>
      </c>
    </row>
    <row r="567" spans="1:17" x14ac:dyDescent="0.25">
      <c r="A567" s="145">
        <v>42203</v>
      </c>
      <c r="B567" s="144">
        <v>1.0889</v>
      </c>
      <c r="C567" s="144">
        <v>61.917000000000002</v>
      </c>
      <c r="D567" s="144">
        <v>8.8804999999999996</v>
      </c>
      <c r="E567" s="144">
        <v>135.01</v>
      </c>
      <c r="F567" s="144">
        <v>0.69830000000000003</v>
      </c>
      <c r="G567" s="144">
        <v>1.0430999999999999</v>
      </c>
      <c r="I567" s="144">
        <v>1</v>
      </c>
      <c r="J567" s="145">
        <f t="shared" si="62"/>
        <v>42203</v>
      </c>
      <c r="K567" s="144">
        <f t="shared" ca="1" si="67"/>
        <v>0.95793920470199279</v>
      </c>
      <c r="L567" s="144">
        <f t="shared" ca="1" si="67"/>
        <v>0.64128937459821844</v>
      </c>
      <c r="M567" s="144">
        <f t="shared" ca="1" si="67"/>
        <v>123.98751033152722</v>
      </c>
      <c r="N567" s="144">
        <f t="shared" ca="1" si="67"/>
        <v>8.1554780053264757</v>
      </c>
      <c r="O567" s="144">
        <f t="shared" ca="1" si="67"/>
        <v>56.861970796216369</v>
      </c>
      <c r="P567" s="144">
        <f t="shared" ca="1" si="67"/>
        <v>1</v>
      </c>
      <c r="Q567" s="144">
        <f t="shared" ca="1" si="67"/>
        <v>0.91835797593902102</v>
      </c>
    </row>
    <row r="568" spans="1:17" x14ac:dyDescent="0.25">
      <c r="A568" s="145">
        <v>42202</v>
      </c>
      <c r="B568" s="144">
        <v>1.0889</v>
      </c>
      <c r="C568" s="144">
        <v>61.917000000000002</v>
      </c>
      <c r="D568" s="144">
        <v>8.8804999999999996</v>
      </c>
      <c r="E568" s="144">
        <v>135.01</v>
      </c>
      <c r="F568" s="144">
        <v>0.69830000000000003</v>
      </c>
      <c r="G568" s="144">
        <v>1.0430999999999999</v>
      </c>
      <c r="I568" s="144">
        <v>1</v>
      </c>
      <c r="J568" s="145">
        <f t="shared" si="62"/>
        <v>42202</v>
      </c>
      <c r="K568" s="144">
        <f t="shared" ca="1" si="67"/>
        <v>0.95793920470199279</v>
      </c>
      <c r="L568" s="144">
        <f t="shared" ca="1" si="67"/>
        <v>0.64128937459821844</v>
      </c>
      <c r="M568" s="144">
        <f t="shared" ca="1" si="67"/>
        <v>123.98751033152722</v>
      </c>
      <c r="N568" s="144">
        <f t="shared" ca="1" si="67"/>
        <v>8.1554780053264757</v>
      </c>
      <c r="O568" s="144">
        <f t="shared" ca="1" si="67"/>
        <v>56.861970796216369</v>
      </c>
      <c r="P568" s="144">
        <f t="shared" ca="1" si="67"/>
        <v>1</v>
      </c>
      <c r="Q568" s="144">
        <f t="shared" ca="1" si="67"/>
        <v>0.91835797593902102</v>
      </c>
    </row>
    <row r="569" spans="1:17" x14ac:dyDescent="0.25">
      <c r="A569" s="145">
        <v>42201</v>
      </c>
      <c r="B569" s="144">
        <v>1.0867</v>
      </c>
      <c r="C569" s="144">
        <v>61.914499999999997</v>
      </c>
      <c r="D569" s="144">
        <v>8.8580000000000005</v>
      </c>
      <c r="E569" s="144">
        <v>134.9</v>
      </c>
      <c r="F569" s="144">
        <v>0.69810000000000005</v>
      </c>
      <c r="G569" s="144">
        <v>1.0407</v>
      </c>
      <c r="I569" s="144">
        <v>1</v>
      </c>
      <c r="J569" s="145">
        <f t="shared" si="62"/>
        <v>42201</v>
      </c>
      <c r="K569" s="144">
        <f t="shared" ca="1" si="67"/>
        <v>0.95767001012238884</v>
      </c>
      <c r="L569" s="144">
        <f t="shared" ca="1" si="67"/>
        <v>0.6424036072513114</v>
      </c>
      <c r="M569" s="144">
        <f t="shared" ca="1" si="67"/>
        <v>124.13729640195086</v>
      </c>
      <c r="N569" s="144">
        <f t="shared" ca="1" si="67"/>
        <v>8.1512837029538971</v>
      </c>
      <c r="O569" s="144">
        <f t="shared" ca="1" si="67"/>
        <v>56.974786049507678</v>
      </c>
      <c r="P569" s="144">
        <f t="shared" ca="1" si="67"/>
        <v>1</v>
      </c>
      <c r="Q569" s="144">
        <f t="shared" ca="1" si="67"/>
        <v>0.92021717125241553</v>
      </c>
    </row>
    <row r="570" spans="1:17" x14ac:dyDescent="0.25">
      <c r="A570" s="145">
        <v>42200</v>
      </c>
      <c r="B570" s="144">
        <v>1.1009</v>
      </c>
      <c r="C570" s="144">
        <v>62.414999999999999</v>
      </c>
      <c r="D570" s="144">
        <v>8.9405000000000001</v>
      </c>
      <c r="E570" s="144">
        <v>135.94999999999999</v>
      </c>
      <c r="F570" s="144">
        <v>0.70450000000000002</v>
      </c>
      <c r="G570" s="144">
        <v>1.0439000000000001</v>
      </c>
      <c r="I570" s="144">
        <v>1</v>
      </c>
      <c r="J570" s="145">
        <f t="shared" si="62"/>
        <v>42200</v>
      </c>
      <c r="K570" s="144">
        <f t="shared" ca="1" si="67"/>
        <v>0.94822418021618682</v>
      </c>
      <c r="L570" s="144">
        <f t="shared" ca="1" si="67"/>
        <v>0.63993096557362161</v>
      </c>
      <c r="M570" s="144">
        <f t="shared" ca="1" si="67"/>
        <v>123.4898719229721</v>
      </c>
      <c r="N570" s="144">
        <f t="shared" ca="1" si="67"/>
        <v>8.1210827504768819</v>
      </c>
      <c r="O570" s="144">
        <f t="shared" ca="1" si="67"/>
        <v>56.694522663275499</v>
      </c>
      <c r="P570" s="144">
        <f t="shared" ca="1" si="67"/>
        <v>1</v>
      </c>
      <c r="Q570" s="144">
        <f t="shared" ca="1" si="67"/>
        <v>0.90834771550549553</v>
      </c>
    </row>
    <row r="571" spans="1:17" x14ac:dyDescent="0.25">
      <c r="A571" s="145">
        <v>42199</v>
      </c>
      <c r="B571" s="144">
        <v>1.1031</v>
      </c>
      <c r="C571" s="144">
        <v>62.534700000000001</v>
      </c>
      <c r="D571" s="144">
        <v>8.9924999999999997</v>
      </c>
      <c r="E571" s="144">
        <v>136.02000000000001</v>
      </c>
      <c r="F571" s="144">
        <v>0.70840000000000003</v>
      </c>
      <c r="G571" s="144">
        <v>1.0422</v>
      </c>
      <c r="I571" s="144">
        <v>1</v>
      </c>
      <c r="J571" s="145">
        <f t="shared" si="62"/>
        <v>42199</v>
      </c>
      <c r="K571" s="144">
        <f t="shared" ca="1" si="67"/>
        <v>0.9447919499592059</v>
      </c>
      <c r="L571" s="144">
        <f t="shared" ca="1" si="67"/>
        <v>0.64219019127912247</v>
      </c>
      <c r="M571" s="144">
        <f t="shared" ca="1" si="67"/>
        <v>123.30704378569487</v>
      </c>
      <c r="N571" s="144">
        <f t="shared" ca="1" si="67"/>
        <v>8.1520261082404133</v>
      </c>
      <c r="O571" s="144">
        <f t="shared" ca="1" si="67"/>
        <v>56.689964645091109</v>
      </c>
      <c r="P571" s="144">
        <f t="shared" ca="1" si="67"/>
        <v>1</v>
      </c>
      <c r="Q571" s="144">
        <f t="shared" ca="1" si="67"/>
        <v>0.90653612546459983</v>
      </c>
    </row>
    <row r="572" spans="1:17" x14ac:dyDescent="0.25">
      <c r="A572" s="145">
        <v>42198</v>
      </c>
      <c r="B572" s="144">
        <v>1.1049</v>
      </c>
      <c r="C572" s="144">
        <v>62.692</v>
      </c>
      <c r="D572" s="144">
        <v>8.9034999999999993</v>
      </c>
      <c r="E572" s="144">
        <v>136.30000000000001</v>
      </c>
      <c r="F572" s="144">
        <v>0.71150000000000002</v>
      </c>
      <c r="G572" s="144">
        <v>1.0478000000000001</v>
      </c>
      <c r="I572" s="144">
        <v>1</v>
      </c>
      <c r="J572" s="145">
        <f t="shared" si="62"/>
        <v>42198</v>
      </c>
      <c r="K572" s="144">
        <f t="shared" ca="1" si="67"/>
        <v>0.94832111503303473</v>
      </c>
      <c r="L572" s="144">
        <f t="shared" ca="1" si="67"/>
        <v>0.64394967870395514</v>
      </c>
      <c r="M572" s="144">
        <f t="shared" ca="1" si="67"/>
        <v>123.35958005249346</v>
      </c>
      <c r="N572" s="144">
        <f t="shared" ca="1" si="67"/>
        <v>8.0581953117929217</v>
      </c>
      <c r="O572" s="144">
        <f t="shared" ca="1" si="67"/>
        <v>56.739976468458686</v>
      </c>
      <c r="P572" s="144">
        <f t="shared" ca="1" si="67"/>
        <v>1</v>
      </c>
      <c r="Q572" s="144">
        <f t="shared" ca="1" si="67"/>
        <v>0.90505928138293057</v>
      </c>
    </row>
    <row r="573" spans="1:17" x14ac:dyDescent="0.25">
      <c r="A573" s="145">
        <v>42197</v>
      </c>
      <c r="B573" s="144">
        <v>1.1185</v>
      </c>
      <c r="C573" s="144">
        <v>63.039000000000001</v>
      </c>
      <c r="D573" s="144">
        <v>8.9004999999999992</v>
      </c>
      <c r="E573" s="144">
        <v>136.88</v>
      </c>
      <c r="F573" s="144">
        <v>0.7208</v>
      </c>
      <c r="G573" s="144">
        <v>1.0464</v>
      </c>
      <c r="I573" s="144">
        <v>1</v>
      </c>
      <c r="J573" s="145">
        <f t="shared" si="62"/>
        <v>42197</v>
      </c>
      <c r="K573" s="144">
        <f t="shared" ca="1" si="67"/>
        <v>0.93553866785873929</v>
      </c>
      <c r="L573" s="144">
        <f t="shared" ca="1" si="67"/>
        <v>0.64443451050514078</v>
      </c>
      <c r="M573" s="144">
        <f t="shared" ca="1" si="67"/>
        <v>122.37818506928922</v>
      </c>
      <c r="N573" s="144">
        <f t="shared" ca="1" si="67"/>
        <v>7.9575324094769773</v>
      </c>
      <c r="O573" s="144">
        <f t="shared" ca="1" si="67"/>
        <v>56.360303978542689</v>
      </c>
      <c r="P573" s="144">
        <f t="shared" ca="1" si="67"/>
        <v>1</v>
      </c>
      <c r="Q573" s="144">
        <f t="shared" ca="1" si="67"/>
        <v>0.89405453732677687</v>
      </c>
    </row>
    <row r="574" spans="1:17" x14ac:dyDescent="0.25">
      <c r="A574" s="145">
        <v>42196</v>
      </c>
      <c r="B574" s="144">
        <v>1.1185</v>
      </c>
      <c r="C574" s="144">
        <v>63.039000000000001</v>
      </c>
      <c r="D574" s="144">
        <v>8.9004999999999992</v>
      </c>
      <c r="E574" s="144">
        <v>136.88</v>
      </c>
      <c r="F574" s="144">
        <v>0.7208</v>
      </c>
      <c r="G574" s="144">
        <v>1.0464</v>
      </c>
      <c r="I574" s="144">
        <v>1</v>
      </c>
      <c r="J574" s="145">
        <f t="shared" si="62"/>
        <v>42196</v>
      </c>
      <c r="K574" s="144">
        <f t="shared" ca="1" si="67"/>
        <v>0.93553866785873929</v>
      </c>
      <c r="L574" s="144">
        <f t="shared" ca="1" si="67"/>
        <v>0.64443451050514078</v>
      </c>
      <c r="M574" s="144">
        <f t="shared" ca="1" si="67"/>
        <v>122.37818506928922</v>
      </c>
      <c r="N574" s="144">
        <f t="shared" ca="1" si="67"/>
        <v>7.9575324094769773</v>
      </c>
      <c r="O574" s="144">
        <f t="shared" ca="1" si="67"/>
        <v>56.360303978542689</v>
      </c>
      <c r="P574" s="144">
        <f t="shared" ca="1" si="67"/>
        <v>1</v>
      </c>
      <c r="Q574" s="144">
        <f t="shared" ca="1" si="67"/>
        <v>0.89405453732677687</v>
      </c>
    </row>
    <row r="575" spans="1:17" x14ac:dyDescent="0.25">
      <c r="A575" s="145">
        <v>42195</v>
      </c>
      <c r="B575" s="144">
        <v>1.1185</v>
      </c>
      <c r="C575" s="144">
        <v>63.039000000000001</v>
      </c>
      <c r="D575" s="144">
        <v>8.9004999999999992</v>
      </c>
      <c r="E575" s="144">
        <v>136.88</v>
      </c>
      <c r="F575" s="144">
        <v>0.7208</v>
      </c>
      <c r="G575" s="144">
        <v>1.0464</v>
      </c>
      <c r="I575" s="144">
        <v>1</v>
      </c>
      <c r="J575" s="145">
        <f t="shared" si="62"/>
        <v>42195</v>
      </c>
      <c r="K575" s="144">
        <f t="shared" ref="K575:Q584" ca="1" si="68">OFFSET($A575,0,K$3)/OFFSET($A575,0,$P$3)</f>
        <v>0.93553866785873929</v>
      </c>
      <c r="L575" s="144">
        <f t="shared" ca="1" si="68"/>
        <v>0.64443451050514078</v>
      </c>
      <c r="M575" s="144">
        <f t="shared" ca="1" si="68"/>
        <v>122.37818506928922</v>
      </c>
      <c r="N575" s="144">
        <f t="shared" ca="1" si="68"/>
        <v>7.9575324094769773</v>
      </c>
      <c r="O575" s="144">
        <f t="shared" ca="1" si="68"/>
        <v>56.360303978542689</v>
      </c>
      <c r="P575" s="144">
        <f t="shared" ca="1" si="68"/>
        <v>1</v>
      </c>
      <c r="Q575" s="144">
        <f t="shared" ca="1" si="68"/>
        <v>0.89405453732677687</v>
      </c>
    </row>
    <row r="576" spans="1:17" x14ac:dyDescent="0.25">
      <c r="A576" s="145">
        <v>42194</v>
      </c>
      <c r="B576" s="144">
        <v>1.1053999999999999</v>
      </c>
      <c r="C576" s="144">
        <v>62.844499999999996</v>
      </c>
      <c r="D576" s="144">
        <v>9.0184999999999995</v>
      </c>
      <c r="E576" s="144">
        <v>134.30000000000001</v>
      </c>
      <c r="F576" s="144">
        <v>0.71760000000000002</v>
      </c>
      <c r="G576" s="144">
        <v>1.0504</v>
      </c>
      <c r="I576" s="144">
        <v>1</v>
      </c>
      <c r="J576" s="145">
        <f t="shared" si="62"/>
        <v>42194</v>
      </c>
      <c r="K576" s="144">
        <f t="shared" ca="1" si="68"/>
        <v>0.95024425547313196</v>
      </c>
      <c r="L576" s="144">
        <f t="shared" ca="1" si="68"/>
        <v>0.64917676859055551</v>
      </c>
      <c r="M576" s="144">
        <f t="shared" ca="1" si="68"/>
        <v>121.49448163560703</v>
      </c>
      <c r="N576" s="144">
        <f t="shared" ca="1" si="68"/>
        <v>8.1585851275556358</v>
      </c>
      <c r="O576" s="144">
        <f t="shared" ca="1" si="68"/>
        <v>56.852270671250224</v>
      </c>
      <c r="P576" s="144">
        <f t="shared" ca="1" si="68"/>
        <v>1</v>
      </c>
      <c r="Q576" s="144">
        <f t="shared" ca="1" si="68"/>
        <v>0.90464990048851102</v>
      </c>
    </row>
    <row r="577" spans="1:17" x14ac:dyDescent="0.25">
      <c r="A577" s="145">
        <v>42193</v>
      </c>
      <c r="B577" s="144">
        <v>1.1024</v>
      </c>
      <c r="C577" s="144">
        <v>62.947499999999998</v>
      </c>
      <c r="D577" s="144">
        <v>9.07</v>
      </c>
      <c r="E577" s="144">
        <v>133.88</v>
      </c>
      <c r="F577" s="144">
        <v>0.71730000000000005</v>
      </c>
      <c r="G577" s="144">
        <v>1.0463</v>
      </c>
      <c r="I577" s="144">
        <v>1</v>
      </c>
      <c r="J577" s="145">
        <f t="shared" si="62"/>
        <v>42193</v>
      </c>
      <c r="K577" s="144">
        <f t="shared" ca="1" si="68"/>
        <v>0.94911103047895495</v>
      </c>
      <c r="L577" s="144">
        <f t="shared" ca="1" si="68"/>
        <v>0.65067126269956466</v>
      </c>
      <c r="M577" s="144">
        <f t="shared" ca="1" si="68"/>
        <v>121.44412191582002</v>
      </c>
      <c r="N577" s="144">
        <f t="shared" ca="1" si="68"/>
        <v>8.2275036284470247</v>
      </c>
      <c r="O577" s="144">
        <f t="shared" ca="1" si="68"/>
        <v>57.100417271407835</v>
      </c>
      <c r="P577" s="144">
        <f t="shared" ca="1" si="68"/>
        <v>1</v>
      </c>
      <c r="Q577" s="144">
        <f t="shared" ca="1" si="68"/>
        <v>0.90711175616835993</v>
      </c>
    </row>
    <row r="578" spans="1:17" x14ac:dyDescent="0.25">
      <c r="A578" s="145">
        <v>42192</v>
      </c>
      <c r="B578" s="144">
        <v>1.0931</v>
      </c>
      <c r="C578" s="144">
        <v>62.9407</v>
      </c>
      <c r="D578" s="144">
        <v>8.9830000000000005</v>
      </c>
      <c r="E578" s="144">
        <v>133.88</v>
      </c>
      <c r="F578" s="144">
        <v>0.7077</v>
      </c>
      <c r="G578" s="144">
        <v>1.0383</v>
      </c>
      <c r="I578" s="144">
        <v>1</v>
      </c>
      <c r="J578" s="145">
        <f t="shared" si="62"/>
        <v>42192</v>
      </c>
      <c r="K578" s="144">
        <f t="shared" ca="1" si="68"/>
        <v>0.94986734973927367</v>
      </c>
      <c r="L578" s="144">
        <f t="shared" ca="1" si="68"/>
        <v>0.6474247552831397</v>
      </c>
      <c r="M578" s="144">
        <f t="shared" ca="1" si="68"/>
        <v>122.47735797273809</v>
      </c>
      <c r="N578" s="144">
        <f t="shared" ca="1" si="68"/>
        <v>8.2179123593449823</v>
      </c>
      <c r="O578" s="144">
        <f t="shared" ca="1" si="68"/>
        <v>57.580001829658769</v>
      </c>
      <c r="P578" s="144">
        <f t="shared" ca="1" si="68"/>
        <v>1</v>
      </c>
      <c r="Q578" s="144">
        <f t="shared" ca="1" si="68"/>
        <v>0.91482938431982441</v>
      </c>
    </row>
    <row r="579" spans="1:17" x14ac:dyDescent="0.25">
      <c r="A579" s="145">
        <v>42191</v>
      </c>
      <c r="B579" s="144">
        <v>1.1008</v>
      </c>
      <c r="C579" s="144">
        <v>62.134</v>
      </c>
      <c r="D579" s="144">
        <v>8.9094999999999995</v>
      </c>
      <c r="E579" s="144">
        <v>135.11000000000001</v>
      </c>
      <c r="F579" s="144">
        <v>0.70799999999999996</v>
      </c>
      <c r="G579" s="144">
        <v>1.0422</v>
      </c>
      <c r="I579" s="144">
        <v>1</v>
      </c>
      <c r="J579" s="145">
        <f t="shared" si="62"/>
        <v>42191</v>
      </c>
      <c r="K579" s="144">
        <f t="shared" ca="1" si="68"/>
        <v>0.94676598837209303</v>
      </c>
      <c r="L579" s="144">
        <f t="shared" ca="1" si="68"/>
        <v>0.64316860465116277</v>
      </c>
      <c r="M579" s="144">
        <f t="shared" ca="1" si="68"/>
        <v>122.73800872093024</v>
      </c>
      <c r="N579" s="144">
        <f t="shared" ca="1" si="68"/>
        <v>8.0936591569767433</v>
      </c>
      <c r="O579" s="144">
        <f t="shared" ca="1" si="68"/>
        <v>56.444404069767444</v>
      </c>
      <c r="P579" s="144">
        <f t="shared" ca="1" si="68"/>
        <v>1</v>
      </c>
      <c r="Q579" s="144">
        <f t="shared" ca="1" si="68"/>
        <v>0.90843023255813948</v>
      </c>
    </row>
    <row r="580" spans="1:17" x14ac:dyDescent="0.25">
      <c r="A580" s="145">
        <v>42190</v>
      </c>
      <c r="B580" s="144">
        <v>1.1095999999999999</v>
      </c>
      <c r="C580" s="144">
        <v>61.8765</v>
      </c>
      <c r="D580" s="144">
        <v>8.85</v>
      </c>
      <c r="E580" s="144">
        <v>136.38</v>
      </c>
      <c r="F580" s="144">
        <v>0.71020000000000005</v>
      </c>
      <c r="G580" s="144">
        <v>1.0466</v>
      </c>
      <c r="I580" s="144">
        <v>1</v>
      </c>
      <c r="J580" s="145">
        <f t="shared" si="62"/>
        <v>42190</v>
      </c>
      <c r="K580" s="144">
        <f t="shared" ca="1" si="68"/>
        <v>0.94322278298485951</v>
      </c>
      <c r="L580" s="144">
        <f t="shared" ca="1" si="68"/>
        <v>0.64005046863734694</v>
      </c>
      <c r="M580" s="144">
        <f t="shared" ca="1" si="68"/>
        <v>122.90915645277578</v>
      </c>
      <c r="N580" s="144">
        <f t="shared" ca="1" si="68"/>
        <v>7.9758471521268932</v>
      </c>
      <c r="O580" s="144">
        <f t="shared" ca="1" si="68"/>
        <v>55.76468997837059</v>
      </c>
      <c r="P580" s="144">
        <f t="shared" ca="1" si="68"/>
        <v>1</v>
      </c>
      <c r="Q580" s="144">
        <f t="shared" ca="1" si="68"/>
        <v>0.90122566690699357</v>
      </c>
    </row>
    <row r="581" spans="1:17" x14ac:dyDescent="0.25">
      <c r="A581" s="145">
        <v>42189</v>
      </c>
      <c r="B581" s="144">
        <v>1.1095999999999999</v>
      </c>
      <c r="C581" s="144">
        <v>61.8765</v>
      </c>
      <c r="D581" s="144">
        <v>8.85</v>
      </c>
      <c r="E581" s="144">
        <v>136.38</v>
      </c>
      <c r="F581" s="144">
        <v>0.71020000000000005</v>
      </c>
      <c r="G581" s="144">
        <v>1.0466</v>
      </c>
      <c r="I581" s="144">
        <v>1</v>
      </c>
      <c r="J581" s="145">
        <f t="shared" ref="J581:J644" si="69">A581</f>
        <v>42189</v>
      </c>
      <c r="K581" s="144">
        <f t="shared" ca="1" si="68"/>
        <v>0.94322278298485951</v>
      </c>
      <c r="L581" s="144">
        <f t="shared" ca="1" si="68"/>
        <v>0.64005046863734694</v>
      </c>
      <c r="M581" s="144">
        <f t="shared" ca="1" si="68"/>
        <v>122.90915645277578</v>
      </c>
      <c r="N581" s="144">
        <f t="shared" ca="1" si="68"/>
        <v>7.9758471521268932</v>
      </c>
      <c r="O581" s="144">
        <f t="shared" ca="1" si="68"/>
        <v>55.76468997837059</v>
      </c>
      <c r="P581" s="144">
        <f t="shared" ca="1" si="68"/>
        <v>1</v>
      </c>
      <c r="Q581" s="144">
        <f t="shared" ca="1" si="68"/>
        <v>0.90122566690699357</v>
      </c>
    </row>
    <row r="582" spans="1:17" x14ac:dyDescent="0.25">
      <c r="A582" s="145">
        <v>42188</v>
      </c>
      <c r="B582" s="144">
        <v>1.1095999999999999</v>
      </c>
      <c r="C582" s="144">
        <v>61.8765</v>
      </c>
      <c r="D582" s="144">
        <v>8.85</v>
      </c>
      <c r="E582" s="144">
        <v>136.38</v>
      </c>
      <c r="F582" s="144">
        <v>0.71020000000000005</v>
      </c>
      <c r="G582" s="144">
        <v>1.0466</v>
      </c>
      <c r="I582" s="144">
        <v>1</v>
      </c>
      <c r="J582" s="145">
        <f t="shared" si="69"/>
        <v>42188</v>
      </c>
      <c r="K582" s="144">
        <f t="shared" ca="1" si="68"/>
        <v>0.94322278298485951</v>
      </c>
      <c r="L582" s="144">
        <f t="shared" ca="1" si="68"/>
        <v>0.64005046863734694</v>
      </c>
      <c r="M582" s="144">
        <f t="shared" ca="1" si="68"/>
        <v>122.90915645277578</v>
      </c>
      <c r="N582" s="144">
        <f t="shared" ca="1" si="68"/>
        <v>7.9758471521268932</v>
      </c>
      <c r="O582" s="144">
        <f t="shared" ca="1" si="68"/>
        <v>55.76468997837059</v>
      </c>
      <c r="P582" s="144">
        <f t="shared" ca="1" si="68"/>
        <v>1</v>
      </c>
      <c r="Q582" s="144">
        <f t="shared" ca="1" si="68"/>
        <v>0.90122566690699357</v>
      </c>
    </row>
    <row r="583" spans="1:17" x14ac:dyDescent="0.25">
      <c r="A583" s="145">
        <v>42187</v>
      </c>
      <c r="B583" s="144">
        <v>1.1066</v>
      </c>
      <c r="C583" s="144">
        <v>61.661799999999999</v>
      </c>
      <c r="D583" s="144">
        <v>8.7949999999999999</v>
      </c>
      <c r="E583" s="144">
        <v>136.82</v>
      </c>
      <c r="F583" s="144">
        <v>0.71030000000000004</v>
      </c>
      <c r="G583" s="144">
        <v>1.0507</v>
      </c>
      <c r="I583" s="144">
        <v>1</v>
      </c>
      <c r="J583" s="145">
        <f t="shared" si="69"/>
        <v>42187</v>
      </c>
      <c r="K583" s="144">
        <f t="shared" ca="1" si="68"/>
        <v>0.94948490872944147</v>
      </c>
      <c r="L583" s="144">
        <f t="shared" ca="1" si="68"/>
        <v>0.64187601662750771</v>
      </c>
      <c r="M583" s="144">
        <f t="shared" ca="1" si="68"/>
        <v>123.63997831194649</v>
      </c>
      <c r="N583" s="144">
        <f t="shared" ca="1" si="68"/>
        <v>7.9477679378275798</v>
      </c>
      <c r="O583" s="144">
        <f t="shared" ca="1" si="68"/>
        <v>55.721850713898426</v>
      </c>
      <c r="P583" s="144">
        <f t="shared" ca="1" si="68"/>
        <v>1</v>
      </c>
      <c r="Q583" s="144">
        <f t="shared" ca="1" si="68"/>
        <v>0.90366889571660947</v>
      </c>
    </row>
    <row r="584" spans="1:17" x14ac:dyDescent="0.25">
      <c r="A584" s="145">
        <v>42186</v>
      </c>
      <c r="B584" s="144">
        <v>1.1100000000000001</v>
      </c>
      <c r="C584" s="144">
        <v>61.517499999999998</v>
      </c>
      <c r="D584" s="144">
        <v>8.7434999999999992</v>
      </c>
      <c r="E584" s="144">
        <v>136.63</v>
      </c>
      <c r="F584" s="144">
        <v>0.70904999999999996</v>
      </c>
      <c r="G584" s="144">
        <v>1.0457000000000001</v>
      </c>
      <c r="I584" s="144">
        <v>1</v>
      </c>
      <c r="J584" s="145">
        <f t="shared" si="69"/>
        <v>42186</v>
      </c>
      <c r="K584" s="144">
        <f t="shared" ca="1" si="68"/>
        <v>0.94207207207207211</v>
      </c>
      <c r="L584" s="144">
        <f t="shared" ca="1" si="68"/>
        <v>0.63878378378378364</v>
      </c>
      <c r="M584" s="144">
        <f t="shared" ca="1" si="68"/>
        <v>123.09009009009007</v>
      </c>
      <c r="N584" s="144">
        <f t="shared" ca="1" si="68"/>
        <v>7.877027027027026</v>
      </c>
      <c r="O584" s="144">
        <f t="shared" ca="1" si="68"/>
        <v>55.421171171171167</v>
      </c>
      <c r="P584" s="144">
        <f t="shared" ca="1" si="68"/>
        <v>1</v>
      </c>
      <c r="Q584" s="144">
        <f t="shared" ca="1" si="68"/>
        <v>0.9009009009009008</v>
      </c>
    </row>
    <row r="585" spans="1:17" x14ac:dyDescent="0.25">
      <c r="A585" s="145">
        <v>42185</v>
      </c>
      <c r="B585" s="144">
        <v>1.1189</v>
      </c>
      <c r="C585" s="144">
        <v>62.354999999999997</v>
      </c>
      <c r="D585" s="144">
        <v>8.7910000000000004</v>
      </c>
      <c r="E585" s="144">
        <v>137.01</v>
      </c>
      <c r="F585" s="144">
        <v>0.71140000000000003</v>
      </c>
      <c r="G585" s="144">
        <v>1.0412999999999999</v>
      </c>
      <c r="I585" s="144">
        <v>1</v>
      </c>
      <c r="J585" s="145">
        <f t="shared" si="69"/>
        <v>42185</v>
      </c>
      <c r="K585" s="144">
        <f t="shared" ref="K585:Q594" ca="1" si="70">OFFSET($A585,0,K$3)/OFFSET($A585,0,$P$3)</f>
        <v>0.93064617034587527</v>
      </c>
      <c r="L585" s="144">
        <f t="shared" ca="1" si="70"/>
        <v>0.63580302082402362</v>
      </c>
      <c r="M585" s="144">
        <f t="shared" ca="1" si="70"/>
        <v>122.45062114576815</v>
      </c>
      <c r="N585" s="144">
        <f t="shared" ca="1" si="70"/>
        <v>7.8568236661006345</v>
      </c>
      <c r="O585" s="144">
        <f t="shared" ca="1" si="70"/>
        <v>55.728840825811062</v>
      </c>
      <c r="P585" s="144">
        <f t="shared" ca="1" si="70"/>
        <v>1</v>
      </c>
      <c r="Q585" s="144">
        <f t="shared" ca="1" si="70"/>
        <v>0.89373491822325501</v>
      </c>
    </row>
    <row r="586" spans="1:17" x14ac:dyDescent="0.25">
      <c r="A586" s="145">
        <v>42184</v>
      </c>
      <c r="B586" s="144">
        <v>1.1133</v>
      </c>
      <c r="C586" s="144">
        <v>61.602499999999999</v>
      </c>
      <c r="D586" s="144">
        <v>8.8064999999999998</v>
      </c>
      <c r="E586" s="144">
        <v>136.81</v>
      </c>
      <c r="F586" s="144">
        <v>0.70850000000000002</v>
      </c>
      <c r="G586" s="144">
        <v>1.0376000000000001</v>
      </c>
      <c r="I586" s="144">
        <v>1</v>
      </c>
      <c r="J586" s="145">
        <f t="shared" si="69"/>
        <v>42184</v>
      </c>
      <c r="K586" s="144">
        <f t="shared" ca="1" si="70"/>
        <v>0.93200395221413823</v>
      </c>
      <c r="L586" s="144">
        <f t="shared" ca="1" si="70"/>
        <v>0.63639629929039798</v>
      </c>
      <c r="M586" s="144">
        <f t="shared" ca="1" si="70"/>
        <v>122.88691278181982</v>
      </c>
      <c r="N586" s="144">
        <f t="shared" ca="1" si="70"/>
        <v>7.9102667744543247</v>
      </c>
      <c r="O586" s="144">
        <f t="shared" ca="1" si="70"/>
        <v>55.333243510284738</v>
      </c>
      <c r="P586" s="144">
        <f t="shared" ca="1" si="70"/>
        <v>1</v>
      </c>
      <c r="Q586" s="144">
        <f t="shared" ca="1" si="70"/>
        <v>0.89823048594269295</v>
      </c>
    </row>
    <row r="587" spans="1:17" x14ac:dyDescent="0.25">
      <c r="A587" s="145">
        <v>42183</v>
      </c>
      <c r="B587" s="144">
        <v>1.1202000000000001</v>
      </c>
      <c r="C587" s="144">
        <v>61.807000000000002</v>
      </c>
      <c r="D587" s="144">
        <v>8.7729999999999997</v>
      </c>
      <c r="E587" s="144">
        <v>138.58000000000001</v>
      </c>
      <c r="F587" s="144">
        <v>0.71230000000000004</v>
      </c>
      <c r="G587" s="144">
        <v>1.0447</v>
      </c>
      <c r="I587" s="144">
        <v>1</v>
      </c>
      <c r="J587" s="145">
        <f t="shared" si="69"/>
        <v>42183</v>
      </c>
      <c r="K587" s="144">
        <f t="shared" ca="1" si="70"/>
        <v>0.93260132119264405</v>
      </c>
      <c r="L587" s="144">
        <f t="shared" ca="1" si="70"/>
        <v>0.63586859489376901</v>
      </c>
      <c r="M587" s="144">
        <f t="shared" ca="1" si="70"/>
        <v>123.71005177646849</v>
      </c>
      <c r="N587" s="144">
        <f t="shared" ca="1" si="70"/>
        <v>7.8316372076414913</v>
      </c>
      <c r="O587" s="144">
        <f t="shared" ca="1" si="70"/>
        <v>55.174968755579357</v>
      </c>
      <c r="P587" s="144">
        <f t="shared" ca="1" si="70"/>
        <v>1</v>
      </c>
      <c r="Q587" s="144">
        <f t="shared" ca="1" si="70"/>
        <v>0.8926977325477593</v>
      </c>
    </row>
    <row r="588" spans="1:17" x14ac:dyDescent="0.25">
      <c r="A588" s="145">
        <v>42182</v>
      </c>
      <c r="B588" s="144">
        <v>1.1202000000000001</v>
      </c>
      <c r="C588" s="144">
        <v>61.807000000000002</v>
      </c>
      <c r="D588" s="144">
        <v>8.7729999999999997</v>
      </c>
      <c r="E588" s="144">
        <v>138.58000000000001</v>
      </c>
      <c r="F588" s="144">
        <v>0.71230000000000004</v>
      </c>
      <c r="G588" s="144">
        <v>1.0447</v>
      </c>
      <c r="I588" s="144">
        <v>1</v>
      </c>
      <c r="J588" s="145">
        <f t="shared" si="69"/>
        <v>42182</v>
      </c>
      <c r="K588" s="144">
        <f t="shared" ca="1" si="70"/>
        <v>0.93260132119264405</v>
      </c>
      <c r="L588" s="144">
        <f t="shared" ca="1" si="70"/>
        <v>0.63586859489376901</v>
      </c>
      <c r="M588" s="144">
        <f t="shared" ca="1" si="70"/>
        <v>123.71005177646849</v>
      </c>
      <c r="N588" s="144">
        <f t="shared" ca="1" si="70"/>
        <v>7.8316372076414913</v>
      </c>
      <c r="O588" s="144">
        <f t="shared" ca="1" si="70"/>
        <v>55.174968755579357</v>
      </c>
      <c r="P588" s="144">
        <f t="shared" ca="1" si="70"/>
        <v>1</v>
      </c>
      <c r="Q588" s="144">
        <f t="shared" ca="1" si="70"/>
        <v>0.8926977325477593</v>
      </c>
    </row>
    <row r="589" spans="1:17" x14ac:dyDescent="0.25">
      <c r="A589" s="145">
        <v>42181</v>
      </c>
      <c r="B589" s="144">
        <v>1.1202000000000001</v>
      </c>
      <c r="C589" s="144">
        <v>61.807000000000002</v>
      </c>
      <c r="D589" s="144">
        <v>8.7729999999999997</v>
      </c>
      <c r="E589" s="144">
        <v>138.58000000000001</v>
      </c>
      <c r="F589" s="144">
        <v>0.71230000000000004</v>
      </c>
      <c r="G589" s="144">
        <v>1.0447</v>
      </c>
      <c r="I589" s="144">
        <v>1</v>
      </c>
      <c r="J589" s="145">
        <f t="shared" si="69"/>
        <v>42181</v>
      </c>
      <c r="K589" s="144">
        <f t="shared" ca="1" si="70"/>
        <v>0.93260132119264405</v>
      </c>
      <c r="L589" s="144">
        <f t="shared" ca="1" si="70"/>
        <v>0.63586859489376901</v>
      </c>
      <c r="M589" s="144">
        <f t="shared" ca="1" si="70"/>
        <v>123.71005177646849</v>
      </c>
      <c r="N589" s="144">
        <f t="shared" ca="1" si="70"/>
        <v>7.8316372076414913</v>
      </c>
      <c r="O589" s="144">
        <f t="shared" ca="1" si="70"/>
        <v>55.174968755579357</v>
      </c>
      <c r="P589" s="144">
        <f t="shared" ca="1" si="70"/>
        <v>1</v>
      </c>
      <c r="Q589" s="144">
        <f t="shared" ca="1" si="70"/>
        <v>0.8926977325477593</v>
      </c>
    </row>
    <row r="590" spans="1:17" x14ac:dyDescent="0.25">
      <c r="A590" s="145">
        <v>42180</v>
      </c>
      <c r="B590" s="144">
        <v>1.1206</v>
      </c>
      <c r="C590" s="144">
        <v>61.2318</v>
      </c>
      <c r="D590" s="144">
        <v>8.7594999999999992</v>
      </c>
      <c r="E590" s="144">
        <v>138.52000000000001</v>
      </c>
      <c r="F590" s="144">
        <v>0.71260000000000001</v>
      </c>
      <c r="G590" s="144">
        <v>1.0507</v>
      </c>
      <c r="I590" s="144">
        <v>1</v>
      </c>
      <c r="J590" s="145">
        <f t="shared" si="69"/>
        <v>42180</v>
      </c>
      <c r="K590" s="144">
        <f t="shared" ca="1" si="70"/>
        <v>0.93762270212386212</v>
      </c>
      <c r="L590" s="144">
        <f t="shared" ca="1" si="70"/>
        <v>0.63590933428520435</v>
      </c>
      <c r="M590" s="144">
        <f t="shared" ca="1" si="70"/>
        <v>123.61235052650366</v>
      </c>
      <c r="N590" s="144">
        <f t="shared" ca="1" si="70"/>
        <v>7.8167945743351765</v>
      </c>
      <c r="O590" s="144">
        <f t="shared" ca="1" si="70"/>
        <v>54.641977512047113</v>
      </c>
      <c r="P590" s="144">
        <f t="shared" ca="1" si="70"/>
        <v>1</v>
      </c>
      <c r="Q590" s="144">
        <f t="shared" ca="1" si="70"/>
        <v>0.89237908263430299</v>
      </c>
    </row>
    <row r="591" spans="1:17" x14ac:dyDescent="0.25">
      <c r="A591" s="145">
        <v>42179</v>
      </c>
      <c r="B591" s="144">
        <v>1.1213</v>
      </c>
      <c r="C591" s="144">
        <v>60.933199999999999</v>
      </c>
      <c r="D591" s="144">
        <v>8.7690000000000001</v>
      </c>
      <c r="E591" s="144">
        <v>138.93</v>
      </c>
      <c r="F591" s="144">
        <v>0.71179999999999999</v>
      </c>
      <c r="G591" s="144">
        <v>1.0448999999999999</v>
      </c>
      <c r="I591" s="144">
        <v>1</v>
      </c>
      <c r="J591" s="145">
        <f t="shared" si="69"/>
        <v>42179</v>
      </c>
      <c r="K591" s="144">
        <f t="shared" ca="1" si="70"/>
        <v>0.93186479978596271</v>
      </c>
      <c r="L591" s="144">
        <f t="shared" ca="1" si="70"/>
        <v>0.63479889414072954</v>
      </c>
      <c r="M591" s="144">
        <f t="shared" ca="1" si="70"/>
        <v>123.90082939445287</v>
      </c>
      <c r="N591" s="144">
        <f t="shared" ca="1" si="70"/>
        <v>7.8203870507446718</v>
      </c>
      <c r="O591" s="144">
        <f t="shared" ca="1" si="70"/>
        <v>54.341567823062519</v>
      </c>
      <c r="P591" s="144">
        <f t="shared" ca="1" si="70"/>
        <v>1</v>
      </c>
      <c r="Q591" s="144">
        <f t="shared" ca="1" si="70"/>
        <v>0.89182199233033088</v>
      </c>
    </row>
    <row r="592" spans="1:17" x14ac:dyDescent="0.25">
      <c r="A592" s="145">
        <v>42178</v>
      </c>
      <c r="B592" s="144">
        <v>1.1204000000000001</v>
      </c>
      <c r="C592" s="144">
        <v>60.917499999999997</v>
      </c>
      <c r="D592" s="144">
        <v>8.7255000000000003</v>
      </c>
      <c r="E592" s="144">
        <v>138.72</v>
      </c>
      <c r="F592" s="144">
        <v>0.71009999999999995</v>
      </c>
      <c r="G592" s="144">
        <v>1.0448999999999999</v>
      </c>
      <c r="I592" s="144">
        <v>1</v>
      </c>
      <c r="J592" s="145">
        <f t="shared" si="69"/>
        <v>42178</v>
      </c>
      <c r="K592" s="144">
        <f t="shared" ca="1" si="70"/>
        <v>0.93261335237415199</v>
      </c>
      <c r="L592" s="144">
        <f t="shared" ca="1" si="70"/>
        <v>0.63379150303463039</v>
      </c>
      <c r="M592" s="144">
        <f t="shared" ca="1" si="70"/>
        <v>123.81292395573008</v>
      </c>
      <c r="N592" s="144">
        <f t="shared" ca="1" si="70"/>
        <v>7.787843627275973</v>
      </c>
      <c r="O592" s="144">
        <f t="shared" ca="1" si="70"/>
        <v>54.371206711888604</v>
      </c>
      <c r="P592" s="144">
        <f t="shared" ca="1" si="70"/>
        <v>1</v>
      </c>
      <c r="Q592" s="144">
        <f t="shared" ca="1" si="70"/>
        <v>0.89253837915030343</v>
      </c>
    </row>
    <row r="593" spans="1:17" x14ac:dyDescent="0.25">
      <c r="A593" s="145">
        <v>42177</v>
      </c>
      <c r="B593" s="144">
        <v>1.1345000000000001</v>
      </c>
      <c r="C593" s="144">
        <v>61.167999999999999</v>
      </c>
      <c r="D593" s="144">
        <v>8.7420000000000009</v>
      </c>
      <c r="E593" s="144">
        <v>139.80000000000001</v>
      </c>
      <c r="F593" s="144">
        <v>0.71689999999999998</v>
      </c>
      <c r="G593" s="144">
        <v>1.0435000000000001</v>
      </c>
      <c r="I593" s="144">
        <v>1</v>
      </c>
      <c r="J593" s="145">
        <f t="shared" si="69"/>
        <v>42177</v>
      </c>
      <c r="K593" s="144">
        <f t="shared" ca="1" si="70"/>
        <v>0.91978845306302337</v>
      </c>
      <c r="L593" s="144">
        <f t="shared" ca="1" si="70"/>
        <v>0.63190832966064336</v>
      </c>
      <c r="M593" s="144">
        <f t="shared" ca="1" si="70"/>
        <v>123.22609078889379</v>
      </c>
      <c r="N593" s="144">
        <f t="shared" ca="1" si="70"/>
        <v>7.7055971793741742</v>
      </c>
      <c r="O593" s="144">
        <f t="shared" ca="1" si="70"/>
        <v>53.916262670780078</v>
      </c>
      <c r="P593" s="144">
        <f t="shared" ca="1" si="70"/>
        <v>1</v>
      </c>
      <c r="Q593" s="144">
        <f t="shared" ca="1" si="70"/>
        <v>0.88144557073600704</v>
      </c>
    </row>
    <row r="594" spans="1:17" x14ac:dyDescent="0.25">
      <c r="A594" s="145">
        <v>42176</v>
      </c>
      <c r="B594" s="144">
        <v>1.1298999999999999</v>
      </c>
      <c r="C594" s="144">
        <v>61.402299999999997</v>
      </c>
      <c r="D594" s="144">
        <v>8.8254999999999999</v>
      </c>
      <c r="E594" s="144">
        <v>139.19</v>
      </c>
      <c r="F594" s="144">
        <v>0.71340000000000003</v>
      </c>
      <c r="G594" s="144">
        <v>1.0448999999999999</v>
      </c>
      <c r="I594" s="144">
        <v>1</v>
      </c>
      <c r="J594" s="145">
        <f t="shared" si="69"/>
        <v>42176</v>
      </c>
      <c r="K594" s="144">
        <f t="shared" ca="1" si="70"/>
        <v>0.9247721037259935</v>
      </c>
      <c r="L594" s="144">
        <f t="shared" ca="1" si="70"/>
        <v>0.63138330825736799</v>
      </c>
      <c r="M594" s="144">
        <f t="shared" ca="1" si="70"/>
        <v>123.18789273387026</v>
      </c>
      <c r="N594" s="144">
        <f t="shared" ca="1" si="70"/>
        <v>7.8108682184264095</v>
      </c>
      <c r="O594" s="144">
        <f t="shared" ca="1" si="70"/>
        <v>54.343127710416852</v>
      </c>
      <c r="P594" s="144">
        <f t="shared" ca="1" si="70"/>
        <v>1</v>
      </c>
      <c r="Q594" s="144">
        <f t="shared" ca="1" si="70"/>
        <v>0.88503407381184185</v>
      </c>
    </row>
    <row r="595" spans="1:17" x14ac:dyDescent="0.25">
      <c r="A595" s="145">
        <v>42175</v>
      </c>
      <c r="B595" s="144">
        <v>1.1298999999999999</v>
      </c>
      <c r="C595" s="144">
        <v>61.402299999999997</v>
      </c>
      <c r="D595" s="144">
        <v>8.8254999999999999</v>
      </c>
      <c r="E595" s="144">
        <v>139.19</v>
      </c>
      <c r="F595" s="144">
        <v>0.71340000000000003</v>
      </c>
      <c r="G595" s="144">
        <v>1.0448999999999999</v>
      </c>
      <c r="I595" s="144">
        <v>1</v>
      </c>
      <c r="J595" s="145">
        <f t="shared" si="69"/>
        <v>42175</v>
      </c>
      <c r="K595" s="144">
        <f t="shared" ref="K595:Q604" ca="1" si="71">OFFSET($A595,0,K$3)/OFFSET($A595,0,$P$3)</f>
        <v>0.9247721037259935</v>
      </c>
      <c r="L595" s="144">
        <f t="shared" ca="1" si="71"/>
        <v>0.63138330825736799</v>
      </c>
      <c r="M595" s="144">
        <f t="shared" ca="1" si="71"/>
        <v>123.18789273387026</v>
      </c>
      <c r="N595" s="144">
        <f t="shared" ca="1" si="71"/>
        <v>7.8108682184264095</v>
      </c>
      <c r="O595" s="144">
        <f t="shared" ca="1" si="71"/>
        <v>54.343127710416852</v>
      </c>
      <c r="P595" s="144">
        <f t="shared" ca="1" si="71"/>
        <v>1</v>
      </c>
      <c r="Q595" s="144">
        <f t="shared" ca="1" si="71"/>
        <v>0.88503407381184185</v>
      </c>
    </row>
    <row r="596" spans="1:17" x14ac:dyDescent="0.25">
      <c r="A596" s="145">
        <v>42174</v>
      </c>
      <c r="B596" s="144">
        <v>1.1298999999999999</v>
      </c>
      <c r="C596" s="144">
        <v>61.402299999999997</v>
      </c>
      <c r="D596" s="144">
        <v>8.8254999999999999</v>
      </c>
      <c r="E596" s="144">
        <v>139.19</v>
      </c>
      <c r="F596" s="144">
        <v>0.71340000000000003</v>
      </c>
      <c r="G596" s="144">
        <v>1.0448999999999999</v>
      </c>
      <c r="I596" s="144">
        <v>1</v>
      </c>
      <c r="J596" s="145">
        <f t="shared" si="69"/>
        <v>42174</v>
      </c>
      <c r="K596" s="144">
        <f t="shared" ca="1" si="71"/>
        <v>0.9247721037259935</v>
      </c>
      <c r="L596" s="144">
        <f t="shared" ca="1" si="71"/>
        <v>0.63138330825736799</v>
      </c>
      <c r="M596" s="144">
        <f t="shared" ca="1" si="71"/>
        <v>123.18789273387026</v>
      </c>
      <c r="N596" s="144">
        <f t="shared" ca="1" si="71"/>
        <v>7.8108682184264095</v>
      </c>
      <c r="O596" s="144">
        <f t="shared" ca="1" si="71"/>
        <v>54.343127710416852</v>
      </c>
      <c r="P596" s="144">
        <f t="shared" ca="1" si="71"/>
        <v>1</v>
      </c>
      <c r="Q596" s="144">
        <f t="shared" ca="1" si="71"/>
        <v>0.88503407381184185</v>
      </c>
    </row>
    <row r="597" spans="1:17" x14ac:dyDescent="0.25">
      <c r="A597" s="145">
        <v>42173</v>
      </c>
      <c r="B597" s="144">
        <v>1.1404000000000001</v>
      </c>
      <c r="C597" s="144">
        <v>61.0685</v>
      </c>
      <c r="D597" s="144">
        <v>8.8309999999999995</v>
      </c>
      <c r="E597" s="144">
        <v>139.94</v>
      </c>
      <c r="F597" s="144">
        <v>0.7167</v>
      </c>
      <c r="G597" s="144">
        <v>1.0461</v>
      </c>
      <c r="I597" s="144">
        <v>1</v>
      </c>
      <c r="J597" s="145">
        <f t="shared" si="69"/>
        <v>42173</v>
      </c>
      <c r="K597" s="144">
        <f t="shared" ca="1" si="71"/>
        <v>0.91730971588916166</v>
      </c>
      <c r="L597" s="144">
        <f t="shared" ca="1" si="71"/>
        <v>0.62846369694843907</v>
      </c>
      <c r="M597" s="144">
        <f t="shared" ca="1" si="71"/>
        <v>122.71132935811995</v>
      </c>
      <c r="N597" s="144">
        <f t="shared" ca="1" si="71"/>
        <v>7.7437741143458423</v>
      </c>
      <c r="O597" s="144">
        <f t="shared" ca="1" si="71"/>
        <v>53.550070150824268</v>
      </c>
      <c r="P597" s="144">
        <f t="shared" ca="1" si="71"/>
        <v>1</v>
      </c>
      <c r="Q597" s="144">
        <f t="shared" ca="1" si="71"/>
        <v>0.87688530340231496</v>
      </c>
    </row>
    <row r="598" spans="1:17" x14ac:dyDescent="0.25">
      <c r="A598" s="145">
        <v>42172</v>
      </c>
      <c r="B598" s="144">
        <v>1.1278999999999999</v>
      </c>
      <c r="C598" s="144">
        <v>61.034500000000001</v>
      </c>
      <c r="D598" s="144">
        <v>8.7245000000000008</v>
      </c>
      <c r="E598" s="144">
        <v>139.78</v>
      </c>
      <c r="F598" s="144">
        <v>0.71699999999999997</v>
      </c>
      <c r="G598" s="144">
        <v>1.0450999999999999</v>
      </c>
      <c r="I598" s="144">
        <v>1</v>
      </c>
      <c r="J598" s="145">
        <f t="shared" si="69"/>
        <v>42172</v>
      </c>
      <c r="K598" s="144">
        <f t="shared" ca="1" si="71"/>
        <v>0.92658923663445336</v>
      </c>
      <c r="L598" s="144">
        <f t="shared" ca="1" si="71"/>
        <v>0.63569465378136358</v>
      </c>
      <c r="M598" s="144">
        <f t="shared" ca="1" si="71"/>
        <v>123.92942636758579</v>
      </c>
      <c r="N598" s="144">
        <f t="shared" ca="1" si="71"/>
        <v>7.7351715577622144</v>
      </c>
      <c r="O598" s="144">
        <f t="shared" ca="1" si="71"/>
        <v>54.113396577710795</v>
      </c>
      <c r="P598" s="144">
        <f t="shared" ca="1" si="71"/>
        <v>1</v>
      </c>
      <c r="Q598" s="144">
        <f t="shared" ca="1" si="71"/>
        <v>0.88660342228921007</v>
      </c>
    </row>
    <row r="599" spans="1:17" x14ac:dyDescent="0.25">
      <c r="A599" s="145">
        <v>42171</v>
      </c>
      <c r="B599" s="144">
        <v>1.1214999999999999</v>
      </c>
      <c r="C599" s="144">
        <v>60.889000000000003</v>
      </c>
      <c r="D599" s="144">
        <v>8.7230000000000008</v>
      </c>
      <c r="E599" s="144">
        <v>138.41999999999999</v>
      </c>
      <c r="F599" s="144">
        <v>0.71819999999999995</v>
      </c>
      <c r="G599" s="144">
        <v>1.0465</v>
      </c>
      <c r="I599" s="144">
        <v>1</v>
      </c>
      <c r="J599" s="145">
        <f t="shared" si="69"/>
        <v>42171</v>
      </c>
      <c r="K599" s="144">
        <f t="shared" ca="1" si="71"/>
        <v>0.93312527864467232</v>
      </c>
      <c r="L599" s="144">
        <f t="shared" ca="1" si="71"/>
        <v>0.64039233169861787</v>
      </c>
      <c r="M599" s="144">
        <f t="shared" ca="1" si="71"/>
        <v>123.42398573339277</v>
      </c>
      <c r="N599" s="144">
        <f t="shared" ca="1" si="71"/>
        <v>7.7779759251003133</v>
      </c>
      <c r="O599" s="144">
        <f t="shared" ca="1" si="71"/>
        <v>54.292465448060639</v>
      </c>
      <c r="P599" s="144">
        <f t="shared" ca="1" si="71"/>
        <v>1</v>
      </c>
      <c r="Q599" s="144">
        <f t="shared" ca="1" si="71"/>
        <v>0.89166295140436924</v>
      </c>
    </row>
    <row r="600" spans="1:17" x14ac:dyDescent="0.25">
      <c r="A600" s="145">
        <v>42170</v>
      </c>
      <c r="B600" s="144">
        <v>1.1217999999999999</v>
      </c>
      <c r="C600" s="144">
        <v>61.506</v>
      </c>
      <c r="D600" s="144">
        <v>8.7119999999999997</v>
      </c>
      <c r="E600" s="144">
        <v>138.54</v>
      </c>
      <c r="F600" s="144">
        <v>0.72340000000000004</v>
      </c>
      <c r="G600" s="144">
        <v>1.0511999999999999</v>
      </c>
      <c r="I600" s="144">
        <v>1</v>
      </c>
      <c r="J600" s="145">
        <f t="shared" si="69"/>
        <v>42170</v>
      </c>
      <c r="K600" s="144">
        <f t="shared" ca="1" si="71"/>
        <v>0.93706543055803171</v>
      </c>
      <c r="L600" s="144">
        <f t="shared" ca="1" si="71"/>
        <v>0.64485648065608847</v>
      </c>
      <c r="M600" s="144">
        <f t="shared" ca="1" si="71"/>
        <v>123.49794972365841</v>
      </c>
      <c r="N600" s="144">
        <f t="shared" ca="1" si="71"/>
        <v>7.7660902121590309</v>
      </c>
      <c r="O600" s="144">
        <f t="shared" ca="1" si="71"/>
        <v>54.827955072205391</v>
      </c>
      <c r="P600" s="144">
        <f t="shared" ca="1" si="71"/>
        <v>1</v>
      </c>
      <c r="Q600" s="144">
        <f t="shared" ca="1" si="71"/>
        <v>0.89142449634515963</v>
      </c>
    </row>
    <row r="601" spans="1:17" x14ac:dyDescent="0.25">
      <c r="A601" s="145">
        <v>42169</v>
      </c>
      <c r="B601" s="144">
        <v>1.1220000000000001</v>
      </c>
      <c r="C601" s="144">
        <v>61.81</v>
      </c>
      <c r="D601" s="144">
        <v>8.6950000000000003</v>
      </c>
      <c r="E601" s="144">
        <v>138.78</v>
      </c>
      <c r="F601" s="144">
        <v>0.72450000000000003</v>
      </c>
      <c r="G601" s="144">
        <v>1.0468999999999999</v>
      </c>
      <c r="I601" s="144">
        <v>1</v>
      </c>
      <c r="J601" s="145">
        <f t="shared" si="69"/>
        <v>42169</v>
      </c>
      <c r="K601" s="144">
        <f t="shared" ca="1" si="71"/>
        <v>0.93306595365418876</v>
      </c>
      <c r="L601" s="144">
        <f t="shared" ca="1" si="71"/>
        <v>0.64572192513368976</v>
      </c>
      <c r="M601" s="144">
        <f t="shared" ca="1" si="71"/>
        <v>123.6898395721925</v>
      </c>
      <c r="N601" s="144">
        <f t="shared" ca="1" si="71"/>
        <v>7.7495543672014255</v>
      </c>
      <c r="O601" s="144">
        <f t="shared" ca="1" si="71"/>
        <v>55.089126559714792</v>
      </c>
      <c r="P601" s="144">
        <f t="shared" ca="1" si="71"/>
        <v>1</v>
      </c>
      <c r="Q601" s="144">
        <f t="shared" ca="1" si="71"/>
        <v>0.89126559714794995</v>
      </c>
    </row>
    <row r="602" spans="1:17" x14ac:dyDescent="0.25">
      <c r="A602" s="145">
        <v>42168</v>
      </c>
      <c r="B602" s="144">
        <v>1.1220000000000001</v>
      </c>
      <c r="C602" s="144">
        <v>61.81</v>
      </c>
      <c r="D602" s="144">
        <v>8.6950000000000003</v>
      </c>
      <c r="E602" s="144">
        <v>138.78</v>
      </c>
      <c r="F602" s="144">
        <v>0.72450000000000003</v>
      </c>
      <c r="G602" s="144">
        <v>1.0468999999999999</v>
      </c>
      <c r="I602" s="144">
        <v>1</v>
      </c>
      <c r="J602" s="145">
        <f t="shared" si="69"/>
        <v>42168</v>
      </c>
      <c r="K602" s="144">
        <f t="shared" ca="1" si="71"/>
        <v>0.93306595365418876</v>
      </c>
      <c r="L602" s="144">
        <f t="shared" ca="1" si="71"/>
        <v>0.64572192513368976</v>
      </c>
      <c r="M602" s="144">
        <f t="shared" ca="1" si="71"/>
        <v>123.6898395721925</v>
      </c>
      <c r="N602" s="144">
        <f t="shared" ca="1" si="71"/>
        <v>7.7495543672014255</v>
      </c>
      <c r="O602" s="144">
        <f t="shared" ca="1" si="71"/>
        <v>55.089126559714792</v>
      </c>
      <c r="P602" s="144">
        <f t="shared" ca="1" si="71"/>
        <v>1</v>
      </c>
      <c r="Q602" s="144">
        <f t="shared" ca="1" si="71"/>
        <v>0.89126559714794995</v>
      </c>
    </row>
    <row r="603" spans="1:17" x14ac:dyDescent="0.25">
      <c r="A603" s="145">
        <v>42167</v>
      </c>
      <c r="B603" s="144">
        <v>1.1220000000000001</v>
      </c>
      <c r="C603" s="144">
        <v>61.81</v>
      </c>
      <c r="D603" s="144">
        <v>8.6950000000000003</v>
      </c>
      <c r="E603" s="144">
        <v>138.78</v>
      </c>
      <c r="F603" s="144">
        <v>0.72450000000000003</v>
      </c>
      <c r="G603" s="144">
        <v>1.0468999999999999</v>
      </c>
      <c r="I603" s="144">
        <v>1</v>
      </c>
      <c r="J603" s="145">
        <f t="shared" si="69"/>
        <v>42167</v>
      </c>
      <c r="K603" s="144">
        <f t="shared" ca="1" si="71"/>
        <v>0.93306595365418876</v>
      </c>
      <c r="L603" s="144">
        <f t="shared" ca="1" si="71"/>
        <v>0.64572192513368976</v>
      </c>
      <c r="M603" s="144">
        <f t="shared" ca="1" si="71"/>
        <v>123.6898395721925</v>
      </c>
      <c r="N603" s="144">
        <f t="shared" ca="1" si="71"/>
        <v>7.7495543672014255</v>
      </c>
      <c r="O603" s="144">
        <f t="shared" ca="1" si="71"/>
        <v>55.089126559714792</v>
      </c>
      <c r="P603" s="144">
        <f t="shared" ca="1" si="71"/>
        <v>1</v>
      </c>
      <c r="Q603" s="144">
        <f t="shared" ca="1" si="71"/>
        <v>0.89126559714794995</v>
      </c>
    </row>
    <row r="604" spans="1:17" x14ac:dyDescent="0.25">
      <c r="A604" s="145">
        <v>42166</v>
      </c>
      <c r="B604" s="144">
        <v>1.1232</v>
      </c>
      <c r="C604" s="144">
        <v>61.337499999999999</v>
      </c>
      <c r="D604" s="144">
        <v>8.7859999999999996</v>
      </c>
      <c r="E604" s="144">
        <v>138.94999999999999</v>
      </c>
      <c r="F604" s="144">
        <v>0.72660000000000002</v>
      </c>
      <c r="G604" s="144">
        <v>1.0523</v>
      </c>
      <c r="I604" s="144">
        <v>1</v>
      </c>
      <c r="J604" s="145">
        <f t="shared" si="69"/>
        <v>42166</v>
      </c>
      <c r="K604" s="144">
        <f t="shared" ca="1" si="71"/>
        <v>0.9368767806267807</v>
      </c>
      <c r="L604" s="144">
        <f t="shared" ca="1" si="71"/>
        <v>0.64690170940170943</v>
      </c>
      <c r="M604" s="144">
        <f t="shared" ca="1" si="71"/>
        <v>123.70904558404558</v>
      </c>
      <c r="N604" s="144">
        <f t="shared" ca="1" si="71"/>
        <v>7.8222934472934469</v>
      </c>
      <c r="O604" s="144">
        <f t="shared" ca="1" si="71"/>
        <v>54.609597578347575</v>
      </c>
      <c r="P604" s="144">
        <f t="shared" ca="1" si="71"/>
        <v>1</v>
      </c>
      <c r="Q604" s="144">
        <f t="shared" ca="1" si="71"/>
        <v>0.8903133903133903</v>
      </c>
    </row>
    <row r="605" spans="1:17" x14ac:dyDescent="0.25">
      <c r="A605" s="145">
        <v>42165</v>
      </c>
      <c r="B605" s="144">
        <v>1.1278999999999999</v>
      </c>
      <c r="C605" s="144">
        <v>61.4818</v>
      </c>
      <c r="D605" s="144">
        <v>8.6989999999999998</v>
      </c>
      <c r="E605" s="144">
        <v>138.69</v>
      </c>
      <c r="F605" s="144">
        <v>0.72840000000000005</v>
      </c>
      <c r="G605" s="144">
        <v>1.0486</v>
      </c>
      <c r="I605" s="144">
        <v>1</v>
      </c>
      <c r="J605" s="145">
        <f t="shared" si="69"/>
        <v>42165</v>
      </c>
      <c r="K605" s="144">
        <f t="shared" ref="K605:Q614" ca="1" si="72">OFFSET($A605,0,K$3)/OFFSET($A605,0,$P$3)</f>
        <v>0.92969234861246575</v>
      </c>
      <c r="L605" s="144">
        <f t="shared" ca="1" si="72"/>
        <v>0.64580193279546072</v>
      </c>
      <c r="M605" s="144">
        <f t="shared" ca="1" si="72"/>
        <v>122.96302863729055</v>
      </c>
      <c r="N605" s="144">
        <f t="shared" ca="1" si="72"/>
        <v>7.7125631704938389</v>
      </c>
      <c r="O605" s="144">
        <f t="shared" ca="1" si="72"/>
        <v>54.509974288500757</v>
      </c>
      <c r="P605" s="144">
        <f t="shared" ca="1" si="72"/>
        <v>1</v>
      </c>
      <c r="Q605" s="144">
        <f t="shared" ca="1" si="72"/>
        <v>0.88660342228921007</v>
      </c>
    </row>
    <row r="606" spans="1:17" x14ac:dyDescent="0.25">
      <c r="A606" s="145">
        <v>42164</v>
      </c>
      <c r="B606" s="144">
        <v>1.1249</v>
      </c>
      <c r="C606" s="144">
        <v>62.828499999999998</v>
      </c>
      <c r="D606" s="144">
        <v>8.7780000000000005</v>
      </c>
      <c r="E606" s="144">
        <v>139.56</v>
      </c>
      <c r="F606" s="144">
        <v>0.73540000000000005</v>
      </c>
      <c r="G606" s="144">
        <v>1.0465</v>
      </c>
      <c r="I606" s="144">
        <v>1</v>
      </c>
      <c r="J606" s="145">
        <f t="shared" si="69"/>
        <v>42164</v>
      </c>
      <c r="K606" s="144">
        <f t="shared" ca="1" si="72"/>
        <v>0.93030491599253262</v>
      </c>
      <c r="L606" s="144">
        <f t="shared" ca="1" si="72"/>
        <v>0.65374699973330963</v>
      </c>
      <c r="M606" s="144">
        <f t="shared" ca="1" si="72"/>
        <v>124.06436127655792</v>
      </c>
      <c r="N606" s="144">
        <f t="shared" ca="1" si="72"/>
        <v>7.8033602986932173</v>
      </c>
      <c r="O606" s="144">
        <f t="shared" ca="1" si="72"/>
        <v>55.852520224019912</v>
      </c>
      <c r="P606" s="144">
        <f t="shared" ca="1" si="72"/>
        <v>1</v>
      </c>
      <c r="Q606" s="144">
        <f t="shared" ca="1" si="72"/>
        <v>0.88896790825851191</v>
      </c>
    </row>
    <row r="607" spans="1:17" x14ac:dyDescent="0.25">
      <c r="A607" s="145">
        <v>42163</v>
      </c>
      <c r="B607" s="144">
        <v>1.1162000000000001</v>
      </c>
      <c r="C607" s="144">
        <v>62.314700000000002</v>
      </c>
      <c r="D607" s="144">
        <v>8.827</v>
      </c>
      <c r="E607" s="144">
        <v>139.84</v>
      </c>
      <c r="F607" s="144">
        <v>0.73180000000000001</v>
      </c>
      <c r="G607" s="144">
        <v>1.0469999999999999</v>
      </c>
      <c r="I607" s="144">
        <v>1</v>
      </c>
      <c r="J607" s="145">
        <f t="shared" si="69"/>
        <v>42163</v>
      </c>
      <c r="K607" s="144">
        <f t="shared" ca="1" si="72"/>
        <v>0.93800394194588765</v>
      </c>
      <c r="L607" s="144">
        <f t="shared" ca="1" si="72"/>
        <v>0.65561727289016303</v>
      </c>
      <c r="M607" s="144">
        <f t="shared" ca="1" si="72"/>
        <v>125.28220748969719</v>
      </c>
      <c r="N607" s="144">
        <f t="shared" ca="1" si="72"/>
        <v>7.9080809890700587</v>
      </c>
      <c r="O607" s="144">
        <f t="shared" ca="1" si="72"/>
        <v>55.827539867407275</v>
      </c>
      <c r="P607" s="144">
        <f t="shared" ca="1" si="72"/>
        <v>1</v>
      </c>
      <c r="Q607" s="144">
        <f t="shared" ca="1" si="72"/>
        <v>0.89589679268948208</v>
      </c>
    </row>
    <row r="608" spans="1:17" x14ac:dyDescent="0.25">
      <c r="A608" s="145">
        <v>42162</v>
      </c>
      <c r="B608" s="144">
        <v>1.1217999999999999</v>
      </c>
      <c r="C608" s="144">
        <v>62.81</v>
      </c>
      <c r="D608" s="144">
        <v>8.8085000000000004</v>
      </c>
      <c r="E608" s="144">
        <v>139.97</v>
      </c>
      <c r="F608" s="144">
        <v>0.73170000000000002</v>
      </c>
      <c r="G608" s="144">
        <v>1.0478000000000001</v>
      </c>
      <c r="I608" s="144">
        <v>1</v>
      </c>
      <c r="J608" s="145">
        <f t="shared" si="69"/>
        <v>42162</v>
      </c>
      <c r="K608" s="144">
        <f t="shared" ca="1" si="72"/>
        <v>0.93403458727045829</v>
      </c>
      <c r="L608" s="144">
        <f t="shared" ca="1" si="72"/>
        <v>0.65225530397575338</v>
      </c>
      <c r="M608" s="144">
        <f t="shared" ca="1" si="72"/>
        <v>124.772686753432</v>
      </c>
      <c r="N608" s="144">
        <f t="shared" ca="1" si="72"/>
        <v>7.8521126760563389</v>
      </c>
      <c r="O608" s="144">
        <f t="shared" ca="1" si="72"/>
        <v>55.990372615439476</v>
      </c>
      <c r="P608" s="144">
        <f t="shared" ca="1" si="72"/>
        <v>1</v>
      </c>
      <c r="Q608" s="144">
        <f t="shared" ca="1" si="72"/>
        <v>0.89142449634515963</v>
      </c>
    </row>
    <row r="609" spans="1:17" x14ac:dyDescent="0.25">
      <c r="A609" s="145">
        <v>42161</v>
      </c>
      <c r="B609" s="144">
        <v>1.1217999999999999</v>
      </c>
      <c r="C609" s="144">
        <v>62.81</v>
      </c>
      <c r="D609" s="144">
        <v>8.8085000000000004</v>
      </c>
      <c r="E609" s="144">
        <v>139.97</v>
      </c>
      <c r="F609" s="144">
        <v>0.73170000000000002</v>
      </c>
      <c r="G609" s="144">
        <v>1.0478000000000001</v>
      </c>
      <c r="I609" s="144">
        <v>1</v>
      </c>
      <c r="J609" s="145">
        <f t="shared" si="69"/>
        <v>42161</v>
      </c>
      <c r="K609" s="144">
        <f t="shared" ca="1" si="72"/>
        <v>0.93403458727045829</v>
      </c>
      <c r="L609" s="144">
        <f t="shared" ca="1" si="72"/>
        <v>0.65225530397575338</v>
      </c>
      <c r="M609" s="144">
        <f t="shared" ca="1" si="72"/>
        <v>124.772686753432</v>
      </c>
      <c r="N609" s="144">
        <f t="shared" ca="1" si="72"/>
        <v>7.8521126760563389</v>
      </c>
      <c r="O609" s="144">
        <f t="shared" ca="1" si="72"/>
        <v>55.990372615439476</v>
      </c>
      <c r="P609" s="144">
        <f t="shared" ca="1" si="72"/>
        <v>1</v>
      </c>
      <c r="Q609" s="144">
        <f t="shared" ca="1" si="72"/>
        <v>0.89142449634515963</v>
      </c>
    </row>
    <row r="610" spans="1:17" x14ac:dyDescent="0.25">
      <c r="A610" s="145">
        <v>42160</v>
      </c>
      <c r="B610" s="144">
        <v>1.1217999999999999</v>
      </c>
      <c r="C610" s="144">
        <v>62.81</v>
      </c>
      <c r="D610" s="144">
        <v>8.8085000000000004</v>
      </c>
      <c r="E610" s="144">
        <v>139.97</v>
      </c>
      <c r="F610" s="144">
        <v>0.73170000000000002</v>
      </c>
      <c r="G610" s="144">
        <v>1.0478000000000001</v>
      </c>
      <c r="I610" s="144">
        <v>1</v>
      </c>
      <c r="J610" s="145">
        <f t="shared" si="69"/>
        <v>42160</v>
      </c>
      <c r="K610" s="144">
        <f t="shared" ca="1" si="72"/>
        <v>0.93403458727045829</v>
      </c>
      <c r="L610" s="144">
        <f t="shared" ca="1" si="72"/>
        <v>0.65225530397575338</v>
      </c>
      <c r="M610" s="144">
        <f t="shared" ca="1" si="72"/>
        <v>124.772686753432</v>
      </c>
      <c r="N610" s="144">
        <f t="shared" ca="1" si="72"/>
        <v>7.8521126760563389</v>
      </c>
      <c r="O610" s="144">
        <f t="shared" ca="1" si="72"/>
        <v>55.990372615439476</v>
      </c>
      <c r="P610" s="144">
        <f t="shared" ca="1" si="72"/>
        <v>1</v>
      </c>
      <c r="Q610" s="144">
        <f t="shared" ca="1" si="72"/>
        <v>0.89142449634515963</v>
      </c>
    </row>
    <row r="611" spans="1:17" x14ac:dyDescent="0.25">
      <c r="A611" s="145">
        <v>42159</v>
      </c>
      <c r="B611" s="144">
        <v>1.1316999999999999</v>
      </c>
      <c r="C611" s="144">
        <v>62.169499999999999</v>
      </c>
      <c r="D611" s="144">
        <v>8.7370000000000001</v>
      </c>
      <c r="E611" s="144">
        <v>140.47</v>
      </c>
      <c r="F611" s="144">
        <v>0.73540000000000005</v>
      </c>
      <c r="G611" s="144">
        <v>1.0550999999999999</v>
      </c>
      <c r="I611" s="144">
        <v>1</v>
      </c>
      <c r="J611" s="145">
        <f t="shared" si="69"/>
        <v>42159</v>
      </c>
      <c r="K611" s="144">
        <f t="shared" ca="1" si="72"/>
        <v>0.93231421754882038</v>
      </c>
      <c r="L611" s="144">
        <f t="shared" ca="1" si="72"/>
        <v>0.64981885658743488</v>
      </c>
      <c r="M611" s="144">
        <f t="shared" ca="1" si="72"/>
        <v>124.12300079526376</v>
      </c>
      <c r="N611" s="144">
        <f t="shared" ca="1" si="72"/>
        <v>7.7202438808871614</v>
      </c>
      <c r="O611" s="144">
        <f t="shared" ca="1" si="72"/>
        <v>54.934611646195989</v>
      </c>
      <c r="P611" s="144">
        <f t="shared" ca="1" si="72"/>
        <v>1</v>
      </c>
      <c r="Q611" s="144">
        <f t="shared" ca="1" si="72"/>
        <v>0.8836264027569144</v>
      </c>
    </row>
    <row r="612" spans="1:17" x14ac:dyDescent="0.25">
      <c r="A612" s="145">
        <v>42158</v>
      </c>
      <c r="B612" s="144">
        <v>1.1133999999999999</v>
      </c>
      <c r="C612" s="144">
        <v>59.77</v>
      </c>
      <c r="D612" s="144">
        <v>8.7144999999999992</v>
      </c>
      <c r="E612" s="144">
        <v>138.46</v>
      </c>
      <c r="F612" s="144">
        <v>0.72750000000000004</v>
      </c>
      <c r="G612" s="144">
        <v>1.0427</v>
      </c>
      <c r="I612" s="144">
        <v>1</v>
      </c>
      <c r="J612" s="145">
        <f t="shared" si="69"/>
        <v>42158</v>
      </c>
      <c r="K612" s="144">
        <f t="shared" ca="1" si="72"/>
        <v>0.93650080833483029</v>
      </c>
      <c r="L612" s="144">
        <f t="shared" ca="1" si="72"/>
        <v>0.65340398778516262</v>
      </c>
      <c r="M612" s="144">
        <f t="shared" ca="1" si="72"/>
        <v>124.35782288485721</v>
      </c>
      <c r="N612" s="144">
        <f t="shared" ca="1" si="72"/>
        <v>7.8269265313454284</v>
      </c>
      <c r="O612" s="144">
        <f t="shared" ca="1" si="72"/>
        <v>53.68241422669302</v>
      </c>
      <c r="P612" s="144">
        <f t="shared" ca="1" si="72"/>
        <v>1</v>
      </c>
      <c r="Q612" s="144">
        <f t="shared" ca="1" si="72"/>
        <v>0.89814981138853967</v>
      </c>
    </row>
    <row r="613" spans="1:17" x14ac:dyDescent="0.25">
      <c r="A613" s="145">
        <v>42157</v>
      </c>
      <c r="B613" s="144">
        <v>1.1029</v>
      </c>
      <c r="C613" s="144">
        <v>58.564</v>
      </c>
      <c r="D613" s="144">
        <v>8.6754999999999995</v>
      </c>
      <c r="E613" s="144">
        <v>137.52000000000001</v>
      </c>
      <c r="F613" s="144">
        <v>0.72430000000000005</v>
      </c>
      <c r="G613" s="144">
        <v>1.0390999999999999</v>
      </c>
      <c r="I613" s="144">
        <v>1</v>
      </c>
      <c r="J613" s="145">
        <f t="shared" si="69"/>
        <v>42157</v>
      </c>
      <c r="K613" s="144">
        <f t="shared" ca="1" si="72"/>
        <v>0.94215250702692899</v>
      </c>
      <c r="L613" s="144">
        <f t="shared" ca="1" si="72"/>
        <v>0.6567231843322151</v>
      </c>
      <c r="M613" s="144">
        <f t="shared" ca="1" si="72"/>
        <v>124.6894550729894</v>
      </c>
      <c r="N613" s="144">
        <f t="shared" ca="1" si="72"/>
        <v>7.8660803336657894</v>
      </c>
      <c r="O613" s="144">
        <f t="shared" ca="1" si="72"/>
        <v>53.100009067005168</v>
      </c>
      <c r="P613" s="144">
        <f t="shared" ca="1" si="72"/>
        <v>1</v>
      </c>
      <c r="Q613" s="144">
        <f t="shared" ca="1" si="72"/>
        <v>0.90670051681929464</v>
      </c>
    </row>
    <row r="614" spans="1:17" x14ac:dyDescent="0.25">
      <c r="A614" s="145">
        <v>42156</v>
      </c>
      <c r="B614" s="144">
        <v>1.0944</v>
      </c>
      <c r="C614" s="144">
        <v>58.256700000000002</v>
      </c>
      <c r="D614" s="144">
        <v>8.7065000000000001</v>
      </c>
      <c r="E614" s="144">
        <v>135.79</v>
      </c>
      <c r="F614" s="144">
        <v>0.71924999999999994</v>
      </c>
      <c r="G614" s="144">
        <v>1.0330999999999999</v>
      </c>
      <c r="I614" s="144">
        <v>1</v>
      </c>
      <c r="J614" s="145">
        <f t="shared" si="69"/>
        <v>42156</v>
      </c>
      <c r="K614" s="144">
        <f t="shared" ca="1" si="72"/>
        <v>0.94398757309941506</v>
      </c>
      <c r="L614" s="144">
        <f t="shared" ca="1" si="72"/>
        <v>0.65720942982456132</v>
      </c>
      <c r="M614" s="144">
        <f t="shared" ca="1" si="72"/>
        <v>124.07711988304092</v>
      </c>
      <c r="N614" s="144">
        <f t="shared" ca="1" si="72"/>
        <v>7.9555007309941521</v>
      </c>
      <c r="O614" s="144">
        <f t="shared" ca="1" si="72"/>
        <v>53.231633771929822</v>
      </c>
      <c r="P614" s="144">
        <f t="shared" ca="1" si="72"/>
        <v>1</v>
      </c>
      <c r="Q614" s="144">
        <f t="shared" ca="1" si="72"/>
        <v>0.91374269005847952</v>
      </c>
    </row>
    <row r="615" spans="1:17" x14ac:dyDescent="0.25">
      <c r="A615" s="145">
        <v>42155</v>
      </c>
      <c r="B615" s="144">
        <v>1.097</v>
      </c>
      <c r="C615" s="144">
        <v>57.463799999999999</v>
      </c>
      <c r="D615" s="144">
        <v>8.5359999999999996</v>
      </c>
      <c r="E615" s="144">
        <v>135.94999999999999</v>
      </c>
      <c r="F615" s="144">
        <v>0.71899999999999997</v>
      </c>
      <c r="G615" s="144">
        <v>1.0341</v>
      </c>
      <c r="I615" s="144">
        <v>1</v>
      </c>
      <c r="J615" s="145">
        <f t="shared" si="69"/>
        <v>42155</v>
      </c>
      <c r="K615" s="144">
        <f t="shared" ref="K615:Q624" ca="1" si="73">OFFSET($A615,0,K$3)/OFFSET($A615,0,$P$3)</f>
        <v>0.94266180492251594</v>
      </c>
      <c r="L615" s="144">
        <f t="shared" ca="1" si="73"/>
        <v>0.65542388331814039</v>
      </c>
      <c r="M615" s="144">
        <f t="shared" ca="1" si="73"/>
        <v>123.9288969917958</v>
      </c>
      <c r="N615" s="144">
        <f t="shared" ca="1" si="73"/>
        <v>7.7812215132178668</v>
      </c>
      <c r="O615" s="144">
        <f t="shared" ca="1" si="73"/>
        <v>52.382680036463078</v>
      </c>
      <c r="P615" s="144">
        <f t="shared" ca="1" si="73"/>
        <v>1</v>
      </c>
      <c r="Q615" s="144">
        <f t="shared" ca="1" si="73"/>
        <v>0.91157702825888787</v>
      </c>
    </row>
    <row r="616" spans="1:17" x14ac:dyDescent="0.25">
      <c r="A616" s="145">
        <v>42154</v>
      </c>
      <c r="B616" s="144">
        <v>1.097</v>
      </c>
      <c r="C616" s="144">
        <v>57.463799999999999</v>
      </c>
      <c r="D616" s="144">
        <v>8.5359999999999996</v>
      </c>
      <c r="E616" s="144">
        <v>135.94999999999999</v>
      </c>
      <c r="F616" s="144">
        <v>0.71899999999999997</v>
      </c>
      <c r="G616" s="144">
        <v>1.0341</v>
      </c>
      <c r="I616" s="144">
        <v>1</v>
      </c>
      <c r="J616" s="145">
        <f t="shared" si="69"/>
        <v>42154</v>
      </c>
      <c r="K616" s="144">
        <f t="shared" ca="1" si="73"/>
        <v>0.94266180492251594</v>
      </c>
      <c r="L616" s="144">
        <f t="shared" ca="1" si="73"/>
        <v>0.65542388331814039</v>
      </c>
      <c r="M616" s="144">
        <f t="shared" ca="1" si="73"/>
        <v>123.9288969917958</v>
      </c>
      <c r="N616" s="144">
        <f t="shared" ca="1" si="73"/>
        <v>7.7812215132178668</v>
      </c>
      <c r="O616" s="144">
        <f t="shared" ca="1" si="73"/>
        <v>52.382680036463078</v>
      </c>
      <c r="P616" s="144">
        <f t="shared" ca="1" si="73"/>
        <v>1</v>
      </c>
      <c r="Q616" s="144">
        <f t="shared" ca="1" si="73"/>
        <v>0.91157702825888787</v>
      </c>
    </row>
    <row r="617" spans="1:17" x14ac:dyDescent="0.25">
      <c r="A617" s="145">
        <v>42153</v>
      </c>
      <c r="B617" s="144">
        <v>1.097</v>
      </c>
      <c r="C617" s="144">
        <v>57.463799999999999</v>
      </c>
      <c r="D617" s="144">
        <v>8.5359999999999996</v>
      </c>
      <c r="E617" s="144">
        <v>135.94999999999999</v>
      </c>
      <c r="F617" s="144">
        <v>0.71899999999999997</v>
      </c>
      <c r="G617" s="144">
        <v>1.0341</v>
      </c>
      <c r="I617" s="144">
        <v>1</v>
      </c>
      <c r="J617" s="145">
        <f t="shared" si="69"/>
        <v>42153</v>
      </c>
      <c r="K617" s="144">
        <f t="shared" ca="1" si="73"/>
        <v>0.94266180492251594</v>
      </c>
      <c r="L617" s="144">
        <f t="shared" ca="1" si="73"/>
        <v>0.65542388331814039</v>
      </c>
      <c r="M617" s="144">
        <f t="shared" ca="1" si="73"/>
        <v>123.9288969917958</v>
      </c>
      <c r="N617" s="144">
        <f t="shared" ca="1" si="73"/>
        <v>7.7812215132178668</v>
      </c>
      <c r="O617" s="144">
        <f t="shared" ca="1" si="73"/>
        <v>52.382680036463078</v>
      </c>
      <c r="P617" s="144">
        <f t="shared" ca="1" si="73"/>
        <v>1</v>
      </c>
      <c r="Q617" s="144">
        <f t="shared" ca="1" si="73"/>
        <v>0.91157702825888787</v>
      </c>
    </row>
    <row r="618" spans="1:17" x14ac:dyDescent="0.25">
      <c r="A618" s="145">
        <v>42152</v>
      </c>
      <c r="B618" s="144">
        <v>1.0895999999999999</v>
      </c>
      <c r="C618" s="144">
        <v>57.127699999999997</v>
      </c>
      <c r="D618" s="144">
        <v>8.4909999999999997</v>
      </c>
      <c r="E618" s="144">
        <v>135.36000000000001</v>
      </c>
      <c r="F618" s="144">
        <v>0.71240000000000003</v>
      </c>
      <c r="G618" s="144">
        <v>1.0344</v>
      </c>
      <c r="I618" s="144">
        <v>1</v>
      </c>
      <c r="J618" s="145">
        <f t="shared" si="69"/>
        <v>42152</v>
      </c>
      <c r="K618" s="144">
        <f t="shared" ca="1" si="73"/>
        <v>0.9493392070484582</v>
      </c>
      <c r="L618" s="144">
        <f t="shared" ca="1" si="73"/>
        <v>0.65381791483113083</v>
      </c>
      <c r="M618" s="144">
        <f t="shared" ca="1" si="73"/>
        <v>124.22907488986786</v>
      </c>
      <c r="N618" s="144">
        <f t="shared" ca="1" si="73"/>
        <v>7.79276798825257</v>
      </c>
      <c r="O618" s="144">
        <f t="shared" ca="1" si="73"/>
        <v>52.429974302496333</v>
      </c>
      <c r="P618" s="144">
        <f t="shared" ca="1" si="73"/>
        <v>1</v>
      </c>
      <c r="Q618" s="144">
        <f t="shared" ca="1" si="73"/>
        <v>0.91776798825256978</v>
      </c>
    </row>
    <row r="619" spans="1:17" x14ac:dyDescent="0.25">
      <c r="A619" s="145">
        <v>42151</v>
      </c>
      <c r="B619" s="144">
        <v>1.0863</v>
      </c>
      <c r="C619" s="144">
        <v>56.41</v>
      </c>
      <c r="D619" s="144">
        <v>8.4254999999999995</v>
      </c>
      <c r="E619" s="144">
        <v>134.37</v>
      </c>
      <c r="F619" s="144">
        <v>0.70699999999999996</v>
      </c>
      <c r="G619" s="144">
        <v>1.0330999999999999</v>
      </c>
      <c r="I619" s="144">
        <v>1</v>
      </c>
      <c r="J619" s="145">
        <f t="shared" si="69"/>
        <v>42151</v>
      </c>
      <c r="K619" s="144">
        <f t="shared" ca="1" si="73"/>
        <v>0.95102641995765425</v>
      </c>
      <c r="L619" s="144">
        <f t="shared" ca="1" si="73"/>
        <v>0.6508331031943293</v>
      </c>
      <c r="M619" s="144">
        <f t="shared" ca="1" si="73"/>
        <v>123.69511184755592</v>
      </c>
      <c r="N619" s="144">
        <f t="shared" ca="1" si="73"/>
        <v>7.7561447114056881</v>
      </c>
      <c r="O619" s="144">
        <f t="shared" ca="1" si="73"/>
        <v>51.928564853171309</v>
      </c>
      <c r="P619" s="144">
        <f t="shared" ca="1" si="73"/>
        <v>1</v>
      </c>
      <c r="Q619" s="144">
        <f t="shared" ca="1" si="73"/>
        <v>0.92055601583356339</v>
      </c>
    </row>
    <row r="620" spans="1:17" x14ac:dyDescent="0.25">
      <c r="A620" s="145">
        <v>42150</v>
      </c>
      <c r="B620" s="144">
        <v>1.0926</v>
      </c>
      <c r="C620" s="144">
        <v>55.099499999999999</v>
      </c>
      <c r="D620" s="144">
        <v>8.3684999999999992</v>
      </c>
      <c r="E620" s="144">
        <v>134.07</v>
      </c>
      <c r="F620" s="144">
        <v>0.70960000000000001</v>
      </c>
      <c r="G620" s="144">
        <v>1.0350999999999999</v>
      </c>
      <c r="I620" s="144">
        <v>1</v>
      </c>
      <c r="J620" s="145">
        <f t="shared" si="69"/>
        <v>42150</v>
      </c>
      <c r="K620" s="144">
        <f t="shared" ca="1" si="73"/>
        <v>0.94737323814753793</v>
      </c>
      <c r="L620" s="144">
        <f t="shared" ca="1" si="73"/>
        <v>0.6494600036609921</v>
      </c>
      <c r="M620" s="144">
        <f t="shared" ca="1" si="73"/>
        <v>122.70730367929708</v>
      </c>
      <c r="N620" s="144">
        <f t="shared" ca="1" si="73"/>
        <v>7.6592531576057103</v>
      </c>
      <c r="O620" s="144">
        <f t="shared" ca="1" si="73"/>
        <v>50.429708951125754</v>
      </c>
      <c r="P620" s="144">
        <f t="shared" ca="1" si="73"/>
        <v>1</v>
      </c>
      <c r="Q620" s="144">
        <f t="shared" ca="1" si="73"/>
        <v>0.91524803221673068</v>
      </c>
    </row>
    <row r="621" spans="1:17" x14ac:dyDescent="0.25">
      <c r="A621" s="145">
        <v>42149</v>
      </c>
      <c r="B621" s="144">
        <v>1.0978000000000001</v>
      </c>
      <c r="C621" s="144">
        <v>54.881</v>
      </c>
      <c r="D621" s="144">
        <v>8.39</v>
      </c>
      <c r="E621" s="144">
        <v>133.38999999999999</v>
      </c>
      <c r="F621" s="144">
        <v>0.71</v>
      </c>
      <c r="G621" s="144">
        <v>1.0348999999999999</v>
      </c>
      <c r="I621" s="144">
        <v>1</v>
      </c>
      <c r="J621" s="145">
        <f t="shared" si="69"/>
        <v>42149</v>
      </c>
      <c r="K621" s="144">
        <f t="shared" ca="1" si="73"/>
        <v>0.94270358899617401</v>
      </c>
      <c r="L621" s="144">
        <f t="shared" ca="1" si="73"/>
        <v>0.64674804153762055</v>
      </c>
      <c r="M621" s="144">
        <f t="shared" ca="1" si="73"/>
        <v>121.50664966296226</v>
      </c>
      <c r="N621" s="144">
        <f t="shared" ca="1" si="73"/>
        <v>7.6425578429586443</v>
      </c>
      <c r="O621" s="144">
        <f t="shared" ca="1" si="73"/>
        <v>49.991801785388958</v>
      </c>
      <c r="P621" s="144">
        <f t="shared" ca="1" si="73"/>
        <v>1</v>
      </c>
      <c r="Q621" s="144">
        <f t="shared" ca="1" si="73"/>
        <v>0.91091273456002908</v>
      </c>
    </row>
    <row r="622" spans="1:17" x14ac:dyDescent="0.25">
      <c r="A622" s="145">
        <v>42148</v>
      </c>
      <c r="B622" s="144">
        <v>1.1164000000000001</v>
      </c>
      <c r="C622" s="144">
        <v>55.85</v>
      </c>
      <c r="D622" s="144">
        <v>8.4135000000000009</v>
      </c>
      <c r="E622" s="144">
        <v>135.01</v>
      </c>
      <c r="F622" s="144">
        <v>0.71379999999999999</v>
      </c>
      <c r="G622" s="144">
        <v>1.0417000000000001</v>
      </c>
      <c r="I622" s="144">
        <v>1</v>
      </c>
      <c r="J622" s="145">
        <f t="shared" si="69"/>
        <v>42148</v>
      </c>
      <c r="K622" s="144">
        <f t="shared" ca="1" si="73"/>
        <v>0.93308849874596922</v>
      </c>
      <c r="L622" s="144">
        <f t="shared" ca="1" si="73"/>
        <v>0.63937656753851657</v>
      </c>
      <c r="M622" s="144">
        <f t="shared" ca="1" si="73"/>
        <v>120.93335721963453</v>
      </c>
      <c r="N622" s="144">
        <f t="shared" ca="1" si="73"/>
        <v>7.536277319957005</v>
      </c>
      <c r="O622" s="144">
        <f t="shared" ca="1" si="73"/>
        <v>50.02687208885704</v>
      </c>
      <c r="P622" s="144">
        <f t="shared" ca="1" si="73"/>
        <v>1</v>
      </c>
      <c r="Q622" s="144">
        <f t="shared" ca="1" si="73"/>
        <v>0.8957362952346829</v>
      </c>
    </row>
    <row r="623" spans="1:17" x14ac:dyDescent="0.25">
      <c r="A623" s="145">
        <v>42147</v>
      </c>
      <c r="B623" s="144">
        <v>1.1164000000000001</v>
      </c>
      <c r="C623" s="144">
        <v>55.85</v>
      </c>
      <c r="D623" s="144">
        <v>8.4135000000000009</v>
      </c>
      <c r="E623" s="144">
        <v>135.01</v>
      </c>
      <c r="F623" s="144">
        <v>0.71379999999999999</v>
      </c>
      <c r="G623" s="144">
        <v>1.0417000000000001</v>
      </c>
      <c r="I623" s="144">
        <v>1</v>
      </c>
      <c r="J623" s="145">
        <f t="shared" si="69"/>
        <v>42147</v>
      </c>
      <c r="K623" s="144">
        <f t="shared" ca="1" si="73"/>
        <v>0.93308849874596922</v>
      </c>
      <c r="L623" s="144">
        <f t="shared" ca="1" si="73"/>
        <v>0.63937656753851657</v>
      </c>
      <c r="M623" s="144">
        <f t="shared" ca="1" si="73"/>
        <v>120.93335721963453</v>
      </c>
      <c r="N623" s="144">
        <f t="shared" ca="1" si="73"/>
        <v>7.536277319957005</v>
      </c>
      <c r="O623" s="144">
        <f t="shared" ca="1" si="73"/>
        <v>50.02687208885704</v>
      </c>
      <c r="P623" s="144">
        <f t="shared" ca="1" si="73"/>
        <v>1</v>
      </c>
      <c r="Q623" s="144">
        <f t="shared" ca="1" si="73"/>
        <v>0.8957362952346829</v>
      </c>
    </row>
    <row r="624" spans="1:17" x14ac:dyDescent="0.25">
      <c r="A624" s="145">
        <v>42146</v>
      </c>
      <c r="B624" s="144">
        <v>1.1164000000000001</v>
      </c>
      <c r="C624" s="144">
        <v>55.85</v>
      </c>
      <c r="D624" s="144">
        <v>8.4135000000000009</v>
      </c>
      <c r="E624" s="144">
        <v>135.01</v>
      </c>
      <c r="F624" s="144">
        <v>0.71379999999999999</v>
      </c>
      <c r="G624" s="144">
        <v>1.0417000000000001</v>
      </c>
      <c r="I624" s="144">
        <v>1</v>
      </c>
      <c r="J624" s="145">
        <f t="shared" si="69"/>
        <v>42146</v>
      </c>
      <c r="K624" s="144">
        <f t="shared" ca="1" si="73"/>
        <v>0.93308849874596922</v>
      </c>
      <c r="L624" s="144">
        <f t="shared" ca="1" si="73"/>
        <v>0.63937656753851657</v>
      </c>
      <c r="M624" s="144">
        <f t="shared" ca="1" si="73"/>
        <v>120.93335721963453</v>
      </c>
      <c r="N624" s="144">
        <f t="shared" ca="1" si="73"/>
        <v>7.536277319957005</v>
      </c>
      <c r="O624" s="144">
        <f t="shared" ca="1" si="73"/>
        <v>50.02687208885704</v>
      </c>
      <c r="P624" s="144">
        <f t="shared" ca="1" si="73"/>
        <v>1</v>
      </c>
      <c r="Q624" s="144">
        <f t="shared" ca="1" si="73"/>
        <v>0.8957362952346829</v>
      </c>
    </row>
    <row r="625" spans="1:17" x14ac:dyDescent="0.25">
      <c r="A625" s="145">
        <v>42145</v>
      </c>
      <c r="B625" s="144">
        <v>1.1133</v>
      </c>
      <c r="C625" s="144">
        <v>55.268500000000003</v>
      </c>
      <c r="D625" s="144">
        <v>8.4329999999999998</v>
      </c>
      <c r="E625" s="144">
        <v>134.79</v>
      </c>
      <c r="F625" s="144">
        <v>0.70989999999999998</v>
      </c>
      <c r="G625" s="144">
        <v>1.0394000000000001</v>
      </c>
      <c r="I625" s="144">
        <v>1</v>
      </c>
      <c r="J625" s="145">
        <f t="shared" si="69"/>
        <v>42145</v>
      </c>
      <c r="K625" s="144">
        <f t="shared" ref="K625:Q634" ca="1" si="74">OFFSET($A625,0,K$3)/OFFSET($A625,0,$P$3)</f>
        <v>0.93362076708883512</v>
      </c>
      <c r="L625" s="144">
        <f t="shared" ca="1" si="74"/>
        <v>0.63765382197071774</v>
      </c>
      <c r="M625" s="144">
        <f t="shared" ca="1" si="74"/>
        <v>121.07248720021558</v>
      </c>
      <c r="N625" s="144">
        <f t="shared" ca="1" si="74"/>
        <v>7.5747776879547297</v>
      </c>
      <c r="O625" s="144">
        <f t="shared" ca="1" si="74"/>
        <v>49.643851612323729</v>
      </c>
      <c r="P625" s="144">
        <f t="shared" ca="1" si="74"/>
        <v>1</v>
      </c>
      <c r="Q625" s="144">
        <f t="shared" ca="1" si="74"/>
        <v>0.89823048594269295</v>
      </c>
    </row>
    <row r="626" spans="1:17" x14ac:dyDescent="0.25">
      <c r="A626" s="145">
        <v>42144</v>
      </c>
      <c r="B626" s="144">
        <v>1.1117999999999999</v>
      </c>
      <c r="C626" s="144">
        <v>55.471499999999999</v>
      </c>
      <c r="D626" s="144">
        <v>8.3975000000000009</v>
      </c>
      <c r="E626" s="144">
        <v>134.43</v>
      </c>
      <c r="F626" s="144">
        <v>0.7157</v>
      </c>
      <c r="G626" s="144">
        <v>1.0428999999999999</v>
      </c>
      <c r="I626" s="144">
        <v>1</v>
      </c>
      <c r="J626" s="145">
        <f t="shared" si="69"/>
        <v>42144</v>
      </c>
      <c r="K626" s="144">
        <f t="shared" ca="1" si="74"/>
        <v>0.93802842237812556</v>
      </c>
      <c r="L626" s="144">
        <f t="shared" ca="1" si="74"/>
        <v>0.64373088685015301</v>
      </c>
      <c r="M626" s="144">
        <f t="shared" ca="1" si="74"/>
        <v>120.9120345385861</v>
      </c>
      <c r="N626" s="144">
        <f t="shared" ca="1" si="74"/>
        <v>7.5530670983989943</v>
      </c>
      <c r="O626" s="144">
        <f t="shared" ca="1" si="74"/>
        <v>49.893416082029148</v>
      </c>
      <c r="P626" s="144">
        <f t="shared" ca="1" si="74"/>
        <v>1</v>
      </c>
      <c r="Q626" s="144">
        <f t="shared" ca="1" si="74"/>
        <v>0.89944234574563775</v>
      </c>
    </row>
    <row r="627" spans="1:17" x14ac:dyDescent="0.25">
      <c r="A627" s="145">
        <v>42143</v>
      </c>
      <c r="B627" s="144">
        <v>1.1180000000000001</v>
      </c>
      <c r="C627" s="144">
        <v>55.203499999999998</v>
      </c>
      <c r="D627" s="144">
        <v>8.3544999999999998</v>
      </c>
      <c r="E627" s="144">
        <v>134.36000000000001</v>
      </c>
      <c r="F627" s="144">
        <v>0.72184999999999999</v>
      </c>
      <c r="G627" s="144">
        <v>1.042</v>
      </c>
      <c r="I627" s="144">
        <v>1</v>
      </c>
      <c r="J627" s="145">
        <f t="shared" si="69"/>
        <v>42143</v>
      </c>
      <c r="K627" s="144">
        <f t="shared" ca="1" si="74"/>
        <v>0.93202146690518783</v>
      </c>
      <c r="L627" s="144">
        <f t="shared" ca="1" si="74"/>
        <v>0.64566189624329151</v>
      </c>
      <c r="M627" s="144">
        <f t="shared" ca="1" si="74"/>
        <v>120.17889087656529</v>
      </c>
      <c r="N627" s="144">
        <f t="shared" ca="1" si="74"/>
        <v>7.4727191413237914</v>
      </c>
      <c r="O627" s="144">
        <f t="shared" ca="1" si="74"/>
        <v>49.377012522361355</v>
      </c>
      <c r="P627" s="144">
        <f t="shared" ca="1" si="74"/>
        <v>1</v>
      </c>
      <c r="Q627" s="144">
        <f t="shared" ca="1" si="74"/>
        <v>0.89445438282647571</v>
      </c>
    </row>
    <row r="628" spans="1:17" x14ac:dyDescent="0.25">
      <c r="A628" s="145">
        <v>42142</v>
      </c>
      <c r="B628" s="144">
        <v>1.1389</v>
      </c>
      <c r="C628" s="144">
        <v>56.001600000000003</v>
      </c>
      <c r="D628" s="144">
        <v>8.3815000000000008</v>
      </c>
      <c r="E628" s="144">
        <v>136.33000000000001</v>
      </c>
      <c r="F628" s="144">
        <v>0.72699999999999998</v>
      </c>
      <c r="G628" s="144">
        <v>1.0482</v>
      </c>
      <c r="I628" s="144">
        <v>1</v>
      </c>
      <c r="J628" s="145">
        <f t="shared" si="69"/>
        <v>42142</v>
      </c>
      <c r="K628" s="144">
        <f t="shared" ca="1" si="74"/>
        <v>0.92036175256826758</v>
      </c>
      <c r="L628" s="144">
        <f t="shared" ca="1" si="74"/>
        <v>0.63833523575379747</v>
      </c>
      <c r="M628" s="144">
        <f t="shared" ca="1" si="74"/>
        <v>119.70322240758628</v>
      </c>
      <c r="N628" s="144">
        <f t="shared" ca="1" si="74"/>
        <v>7.3592940556677497</v>
      </c>
      <c r="O628" s="144">
        <f t="shared" ca="1" si="74"/>
        <v>49.171656861884273</v>
      </c>
      <c r="P628" s="144">
        <f t="shared" ca="1" si="74"/>
        <v>1</v>
      </c>
      <c r="Q628" s="144">
        <f t="shared" ca="1" si="74"/>
        <v>0.87804021424181222</v>
      </c>
    </row>
    <row r="629" spans="1:17" x14ac:dyDescent="0.25">
      <c r="A629" s="145">
        <v>42141</v>
      </c>
      <c r="B629" s="144">
        <v>1.1328</v>
      </c>
      <c r="C629" s="144">
        <v>56.747500000000002</v>
      </c>
      <c r="D629" s="144">
        <v>8.3744999999999994</v>
      </c>
      <c r="E629" s="144">
        <v>135.78</v>
      </c>
      <c r="F629" s="144">
        <v>0.72109999999999996</v>
      </c>
      <c r="G629" s="144">
        <v>1.0463</v>
      </c>
      <c r="I629" s="144">
        <v>1</v>
      </c>
      <c r="J629" s="145">
        <f t="shared" si="69"/>
        <v>42141</v>
      </c>
      <c r="K629" s="144">
        <f t="shared" ca="1" si="74"/>
        <v>0.92364053672316382</v>
      </c>
      <c r="L629" s="144">
        <f t="shared" ca="1" si="74"/>
        <v>0.63656426553672307</v>
      </c>
      <c r="M629" s="144">
        <f t="shared" ca="1" si="74"/>
        <v>119.86228813559322</v>
      </c>
      <c r="N629" s="144">
        <f t="shared" ca="1" si="74"/>
        <v>7.3927436440677958</v>
      </c>
      <c r="O629" s="144">
        <f t="shared" ca="1" si="74"/>
        <v>50.094897598870055</v>
      </c>
      <c r="P629" s="144">
        <f t="shared" ca="1" si="74"/>
        <v>1</v>
      </c>
      <c r="Q629" s="144">
        <f t="shared" ca="1" si="74"/>
        <v>0.88276836158192085</v>
      </c>
    </row>
    <row r="630" spans="1:17" x14ac:dyDescent="0.25">
      <c r="A630" s="145">
        <v>42140</v>
      </c>
      <c r="B630" s="144">
        <v>1.1328</v>
      </c>
      <c r="C630" s="144">
        <v>56.747500000000002</v>
      </c>
      <c r="D630" s="144">
        <v>8.3744999999999994</v>
      </c>
      <c r="E630" s="144">
        <v>135.78</v>
      </c>
      <c r="F630" s="144">
        <v>0.72109999999999996</v>
      </c>
      <c r="G630" s="144">
        <v>1.0463</v>
      </c>
      <c r="I630" s="144">
        <v>1</v>
      </c>
      <c r="J630" s="145">
        <f t="shared" si="69"/>
        <v>42140</v>
      </c>
      <c r="K630" s="144">
        <f t="shared" ca="1" si="74"/>
        <v>0.92364053672316382</v>
      </c>
      <c r="L630" s="144">
        <f t="shared" ca="1" si="74"/>
        <v>0.63656426553672307</v>
      </c>
      <c r="M630" s="144">
        <f t="shared" ca="1" si="74"/>
        <v>119.86228813559322</v>
      </c>
      <c r="N630" s="144">
        <f t="shared" ca="1" si="74"/>
        <v>7.3927436440677958</v>
      </c>
      <c r="O630" s="144">
        <f t="shared" ca="1" si="74"/>
        <v>50.094897598870055</v>
      </c>
      <c r="P630" s="144">
        <f t="shared" ca="1" si="74"/>
        <v>1</v>
      </c>
      <c r="Q630" s="144">
        <f t="shared" ca="1" si="74"/>
        <v>0.88276836158192085</v>
      </c>
    </row>
    <row r="631" spans="1:17" x14ac:dyDescent="0.25">
      <c r="A631" s="145">
        <v>42139</v>
      </c>
      <c r="B631" s="144">
        <v>1.1328</v>
      </c>
      <c r="C631" s="144">
        <v>56.747500000000002</v>
      </c>
      <c r="D631" s="144">
        <v>8.3744999999999994</v>
      </c>
      <c r="E631" s="144">
        <v>135.78</v>
      </c>
      <c r="F631" s="144">
        <v>0.72109999999999996</v>
      </c>
      <c r="G631" s="144">
        <v>1.0463</v>
      </c>
      <c r="I631" s="144">
        <v>1</v>
      </c>
      <c r="J631" s="145">
        <f t="shared" si="69"/>
        <v>42139</v>
      </c>
      <c r="K631" s="144">
        <f t="shared" ca="1" si="74"/>
        <v>0.92364053672316382</v>
      </c>
      <c r="L631" s="144">
        <f t="shared" ca="1" si="74"/>
        <v>0.63656426553672307</v>
      </c>
      <c r="M631" s="144">
        <f t="shared" ca="1" si="74"/>
        <v>119.86228813559322</v>
      </c>
      <c r="N631" s="144">
        <f t="shared" ca="1" si="74"/>
        <v>7.3927436440677958</v>
      </c>
      <c r="O631" s="144">
        <f t="shared" ca="1" si="74"/>
        <v>50.094897598870055</v>
      </c>
      <c r="P631" s="144">
        <f t="shared" ca="1" si="74"/>
        <v>1</v>
      </c>
      <c r="Q631" s="144">
        <f t="shared" ca="1" si="74"/>
        <v>0.88276836158192085</v>
      </c>
    </row>
    <row r="632" spans="1:17" x14ac:dyDescent="0.25">
      <c r="A632" s="145">
        <v>42138</v>
      </c>
      <c r="B632" s="144">
        <v>1.1418999999999999</v>
      </c>
      <c r="C632" s="144">
        <v>57.061</v>
      </c>
      <c r="D632" s="144">
        <v>8.4328000000000003</v>
      </c>
      <c r="E632" s="144">
        <v>136.12</v>
      </c>
      <c r="F632" s="144">
        <v>0.72309999999999997</v>
      </c>
      <c r="G632" s="144">
        <v>1.0386</v>
      </c>
      <c r="I632" s="144">
        <v>1</v>
      </c>
      <c r="J632" s="145">
        <f t="shared" si="69"/>
        <v>42138</v>
      </c>
      <c r="K632" s="144">
        <f t="shared" ca="1" si="74"/>
        <v>0.90953673701725202</v>
      </c>
      <c r="L632" s="144">
        <f t="shared" ca="1" si="74"/>
        <v>0.63324284087923632</v>
      </c>
      <c r="M632" s="144">
        <f t="shared" ca="1" si="74"/>
        <v>119.20483404851565</v>
      </c>
      <c r="N632" s="144">
        <f t="shared" ca="1" si="74"/>
        <v>7.3848848410543839</v>
      </c>
      <c r="O632" s="144">
        <f t="shared" ca="1" si="74"/>
        <v>49.97022506349068</v>
      </c>
      <c r="P632" s="144">
        <f t="shared" ca="1" si="74"/>
        <v>1</v>
      </c>
      <c r="Q632" s="144">
        <f t="shared" ca="1" si="74"/>
        <v>0.87573342674489896</v>
      </c>
    </row>
    <row r="633" spans="1:17" x14ac:dyDescent="0.25">
      <c r="A633" s="145">
        <v>42137</v>
      </c>
      <c r="B633" s="144">
        <v>1.1221000000000001</v>
      </c>
      <c r="C633" s="144">
        <v>55.607999999999997</v>
      </c>
      <c r="D633" s="144">
        <v>8.3569999999999993</v>
      </c>
      <c r="E633" s="144">
        <v>134.31</v>
      </c>
      <c r="F633" s="144">
        <v>0.71740000000000004</v>
      </c>
      <c r="G633" s="144">
        <v>1.0409999999999999</v>
      </c>
      <c r="I633" s="144">
        <v>1</v>
      </c>
      <c r="J633" s="145">
        <f t="shared" si="69"/>
        <v>42137</v>
      </c>
      <c r="K633" s="144">
        <f t="shared" ca="1" si="74"/>
        <v>0.9277248017110773</v>
      </c>
      <c r="L633" s="144">
        <f t="shared" ca="1" si="74"/>
        <v>0.63933695749041974</v>
      </c>
      <c r="M633" s="144">
        <f t="shared" ca="1" si="74"/>
        <v>119.69521433027359</v>
      </c>
      <c r="N633" s="144">
        <f t="shared" ca="1" si="74"/>
        <v>7.4476428125835472</v>
      </c>
      <c r="O633" s="144">
        <f t="shared" ca="1" si="74"/>
        <v>49.557080474111032</v>
      </c>
      <c r="P633" s="144">
        <f t="shared" ca="1" si="74"/>
        <v>1</v>
      </c>
      <c r="Q633" s="144">
        <f t="shared" ca="1" si="74"/>
        <v>0.89118616879066026</v>
      </c>
    </row>
    <row r="634" spans="1:17" x14ac:dyDescent="0.25">
      <c r="A634" s="145">
        <v>42136</v>
      </c>
      <c r="B634" s="144">
        <v>1.1238999999999999</v>
      </c>
      <c r="C634" s="144">
        <v>56.93</v>
      </c>
      <c r="D634" s="144">
        <v>8.3945000000000007</v>
      </c>
      <c r="E634" s="144">
        <v>134.85</v>
      </c>
      <c r="F634" s="144">
        <v>0.71640000000000004</v>
      </c>
      <c r="G634" s="144">
        <v>1.0396000000000001</v>
      </c>
      <c r="I634" s="144">
        <v>1</v>
      </c>
      <c r="J634" s="145">
        <f t="shared" si="69"/>
        <v>42136</v>
      </c>
      <c r="K634" s="144">
        <f t="shared" ca="1" si="74"/>
        <v>0.92499332680843505</v>
      </c>
      <c r="L634" s="144">
        <f t="shared" ca="1" si="74"/>
        <v>0.63742325829700164</v>
      </c>
      <c r="M634" s="144">
        <f t="shared" ca="1" si="74"/>
        <v>119.98398434024379</v>
      </c>
      <c r="N634" s="144">
        <f t="shared" ca="1" si="74"/>
        <v>7.46908087908177</v>
      </c>
      <c r="O634" s="144">
        <f t="shared" ca="1" si="74"/>
        <v>50.65397277337842</v>
      </c>
      <c r="P634" s="144">
        <f t="shared" ca="1" si="74"/>
        <v>1</v>
      </c>
      <c r="Q634" s="144">
        <f t="shared" ca="1" si="74"/>
        <v>0.8897588753447816</v>
      </c>
    </row>
    <row r="635" spans="1:17" x14ac:dyDescent="0.25">
      <c r="A635" s="145">
        <v>42135</v>
      </c>
      <c r="B635" s="144">
        <v>1.1142000000000001</v>
      </c>
      <c r="C635" s="144">
        <v>57.371299999999998</v>
      </c>
      <c r="D635" s="144">
        <v>8.4245000000000001</v>
      </c>
      <c r="E635" s="144">
        <v>133.63999999999999</v>
      </c>
      <c r="F635" s="144">
        <v>0.71960000000000002</v>
      </c>
      <c r="G635" s="144">
        <v>1.0403</v>
      </c>
      <c r="I635" s="144">
        <v>1</v>
      </c>
      <c r="J635" s="145">
        <f t="shared" si="69"/>
        <v>42135</v>
      </c>
      <c r="K635" s="144">
        <f t="shared" ref="K635:Q644" ca="1" si="75">OFFSET($A635,0,K$3)/OFFSET($A635,0,$P$3)</f>
        <v>0.93367438520911861</v>
      </c>
      <c r="L635" s="144">
        <f t="shared" ca="1" si="75"/>
        <v>0.64584455214503678</v>
      </c>
      <c r="M635" s="144">
        <f t="shared" ca="1" si="75"/>
        <v>119.94255968407825</v>
      </c>
      <c r="N635" s="144">
        <f t="shared" ca="1" si="75"/>
        <v>7.561030335666846</v>
      </c>
      <c r="O635" s="144">
        <f t="shared" ca="1" si="75"/>
        <v>51.491024950637225</v>
      </c>
      <c r="P635" s="144">
        <f t="shared" ca="1" si="75"/>
        <v>1</v>
      </c>
      <c r="Q635" s="144">
        <f t="shared" ca="1" si="75"/>
        <v>0.89750493627714945</v>
      </c>
    </row>
    <row r="636" spans="1:17" x14ac:dyDescent="0.25">
      <c r="A636" s="145">
        <v>42134</v>
      </c>
      <c r="B636" s="144">
        <v>1.1221000000000001</v>
      </c>
      <c r="C636" s="144">
        <v>56.905000000000001</v>
      </c>
      <c r="D636" s="144">
        <v>8.3815000000000008</v>
      </c>
      <c r="E636" s="144">
        <v>134.9</v>
      </c>
      <c r="F636" s="144">
        <v>0.72799999999999998</v>
      </c>
      <c r="G636" s="144">
        <v>1.0385</v>
      </c>
      <c r="I636" s="144">
        <v>1</v>
      </c>
      <c r="J636" s="145">
        <f t="shared" si="69"/>
        <v>42134</v>
      </c>
      <c r="K636" s="144">
        <f t="shared" ca="1" si="75"/>
        <v>0.92549683628910073</v>
      </c>
      <c r="L636" s="144">
        <f t="shared" ca="1" si="75"/>
        <v>0.64878353087960072</v>
      </c>
      <c r="M636" s="144">
        <f t="shared" ca="1" si="75"/>
        <v>120.22101416986008</v>
      </c>
      <c r="N636" s="144">
        <f t="shared" ca="1" si="75"/>
        <v>7.4694768737189197</v>
      </c>
      <c r="O636" s="144">
        <f t="shared" ca="1" si="75"/>
        <v>50.712948935032522</v>
      </c>
      <c r="P636" s="144">
        <f t="shared" ca="1" si="75"/>
        <v>1</v>
      </c>
      <c r="Q636" s="144">
        <f t="shared" ca="1" si="75"/>
        <v>0.89118616879066026</v>
      </c>
    </row>
    <row r="637" spans="1:17" x14ac:dyDescent="0.25">
      <c r="A637" s="145">
        <v>42133</v>
      </c>
      <c r="B637" s="144">
        <v>1.1221000000000001</v>
      </c>
      <c r="C637" s="144">
        <v>56.905000000000001</v>
      </c>
      <c r="D637" s="144">
        <v>8.3815000000000008</v>
      </c>
      <c r="E637" s="144">
        <v>134.9</v>
      </c>
      <c r="F637" s="144">
        <v>0.72799999999999998</v>
      </c>
      <c r="G637" s="144">
        <v>1.0385</v>
      </c>
      <c r="I637" s="144">
        <v>1</v>
      </c>
      <c r="J637" s="145">
        <f t="shared" si="69"/>
        <v>42133</v>
      </c>
      <c r="K637" s="144">
        <f t="shared" ca="1" si="75"/>
        <v>0.92549683628910073</v>
      </c>
      <c r="L637" s="144">
        <f t="shared" ca="1" si="75"/>
        <v>0.64878353087960072</v>
      </c>
      <c r="M637" s="144">
        <f t="shared" ca="1" si="75"/>
        <v>120.22101416986008</v>
      </c>
      <c r="N637" s="144">
        <f t="shared" ca="1" si="75"/>
        <v>7.4694768737189197</v>
      </c>
      <c r="O637" s="144">
        <f t="shared" ca="1" si="75"/>
        <v>50.712948935032522</v>
      </c>
      <c r="P637" s="144">
        <f t="shared" ca="1" si="75"/>
        <v>1</v>
      </c>
      <c r="Q637" s="144">
        <f t="shared" ca="1" si="75"/>
        <v>0.89118616879066026</v>
      </c>
    </row>
    <row r="638" spans="1:17" x14ac:dyDescent="0.25">
      <c r="A638" s="145">
        <v>42132</v>
      </c>
      <c r="B638" s="144">
        <v>1.1221000000000001</v>
      </c>
      <c r="C638" s="144">
        <v>56.905000000000001</v>
      </c>
      <c r="D638" s="144">
        <v>8.3815000000000008</v>
      </c>
      <c r="E638" s="144">
        <v>134.9</v>
      </c>
      <c r="F638" s="144">
        <v>0.72799999999999998</v>
      </c>
      <c r="G638" s="144">
        <v>1.0385</v>
      </c>
      <c r="I638" s="144">
        <v>1</v>
      </c>
      <c r="J638" s="145">
        <f t="shared" si="69"/>
        <v>42132</v>
      </c>
      <c r="K638" s="144">
        <f t="shared" ca="1" si="75"/>
        <v>0.92549683628910073</v>
      </c>
      <c r="L638" s="144">
        <f t="shared" ca="1" si="75"/>
        <v>0.64878353087960072</v>
      </c>
      <c r="M638" s="144">
        <f t="shared" ca="1" si="75"/>
        <v>120.22101416986008</v>
      </c>
      <c r="N638" s="144">
        <f t="shared" ca="1" si="75"/>
        <v>7.4694768737189197</v>
      </c>
      <c r="O638" s="144">
        <f t="shared" ca="1" si="75"/>
        <v>50.712948935032522</v>
      </c>
      <c r="P638" s="144">
        <f t="shared" ca="1" si="75"/>
        <v>1</v>
      </c>
      <c r="Q638" s="144">
        <f t="shared" ca="1" si="75"/>
        <v>0.89118616879066026</v>
      </c>
    </row>
    <row r="639" spans="1:17" x14ac:dyDescent="0.25">
      <c r="A639" s="145">
        <v>42131</v>
      </c>
      <c r="B639" s="144">
        <v>1.1305000000000001</v>
      </c>
      <c r="C639" s="144">
        <v>57.055</v>
      </c>
      <c r="D639" s="144">
        <v>8.3275000000000006</v>
      </c>
      <c r="E639" s="144">
        <v>134.72</v>
      </c>
      <c r="F639" s="144">
        <v>0.74250000000000005</v>
      </c>
      <c r="G639" s="144">
        <v>1.0343</v>
      </c>
      <c r="I639" s="144">
        <v>1</v>
      </c>
      <c r="J639" s="145">
        <f t="shared" si="69"/>
        <v>42131</v>
      </c>
      <c r="K639" s="144">
        <f t="shared" ca="1" si="75"/>
        <v>0.91490490933215385</v>
      </c>
      <c r="L639" s="144">
        <f t="shared" ca="1" si="75"/>
        <v>0.65678903140203448</v>
      </c>
      <c r="M639" s="144">
        <f t="shared" ca="1" si="75"/>
        <v>119.16850950906678</v>
      </c>
      <c r="N639" s="144">
        <f t="shared" ca="1" si="75"/>
        <v>7.3662096417514373</v>
      </c>
      <c r="O639" s="144">
        <f t="shared" ca="1" si="75"/>
        <v>50.468819106590004</v>
      </c>
      <c r="P639" s="144">
        <f t="shared" ca="1" si="75"/>
        <v>1</v>
      </c>
      <c r="Q639" s="144">
        <f t="shared" ca="1" si="75"/>
        <v>0.8845643520566121</v>
      </c>
    </row>
    <row r="640" spans="1:17" x14ac:dyDescent="0.25">
      <c r="A640" s="145">
        <v>42130</v>
      </c>
      <c r="B640" s="144">
        <v>1.123</v>
      </c>
      <c r="C640" s="144">
        <v>56.0901</v>
      </c>
      <c r="D640" s="144">
        <v>8.4130000000000003</v>
      </c>
      <c r="E640" s="144">
        <v>134.59</v>
      </c>
      <c r="F640" s="144">
        <v>0.73760000000000003</v>
      </c>
      <c r="G640" s="144">
        <v>1.0374000000000001</v>
      </c>
      <c r="I640" s="144">
        <v>1</v>
      </c>
      <c r="J640" s="145">
        <f t="shared" si="69"/>
        <v>42130</v>
      </c>
      <c r="K640" s="144">
        <f t="shared" ca="1" si="75"/>
        <v>0.92377560106856638</v>
      </c>
      <c r="L640" s="144">
        <f t="shared" ca="1" si="75"/>
        <v>0.65681211041852183</v>
      </c>
      <c r="M640" s="144">
        <f t="shared" ca="1" si="75"/>
        <v>119.84861976847729</v>
      </c>
      <c r="N640" s="144">
        <f t="shared" ca="1" si="75"/>
        <v>7.491540516473731</v>
      </c>
      <c r="O640" s="144">
        <f t="shared" ca="1" si="75"/>
        <v>49.946660730186998</v>
      </c>
      <c r="P640" s="144">
        <f t="shared" ca="1" si="75"/>
        <v>1</v>
      </c>
      <c r="Q640" s="144">
        <f t="shared" ca="1" si="75"/>
        <v>0.89047195013357083</v>
      </c>
    </row>
    <row r="641" spans="1:17" x14ac:dyDescent="0.25">
      <c r="A641" s="145">
        <v>42129</v>
      </c>
      <c r="B641" s="144">
        <v>1.1116999999999999</v>
      </c>
      <c r="C641" s="144">
        <v>57.16</v>
      </c>
      <c r="D641" s="144">
        <v>8.4474999999999998</v>
      </c>
      <c r="E641" s="144">
        <v>133.91999999999999</v>
      </c>
      <c r="F641" s="144">
        <v>0.73499999999999999</v>
      </c>
      <c r="G641" s="144">
        <v>1.0376000000000001</v>
      </c>
      <c r="I641" s="144">
        <v>1</v>
      </c>
      <c r="J641" s="145">
        <f t="shared" si="69"/>
        <v>42129</v>
      </c>
      <c r="K641" s="144">
        <f t="shared" ca="1" si="75"/>
        <v>0.93334532697670247</v>
      </c>
      <c r="L641" s="144">
        <f t="shared" ca="1" si="75"/>
        <v>0.66114959071692003</v>
      </c>
      <c r="M641" s="144">
        <f t="shared" ca="1" si="75"/>
        <v>120.46415399838085</v>
      </c>
      <c r="N641" s="144">
        <f t="shared" ca="1" si="75"/>
        <v>7.5987226769812004</v>
      </c>
      <c r="O641" s="144">
        <f t="shared" ca="1" si="75"/>
        <v>51.416749122964831</v>
      </c>
      <c r="P641" s="144">
        <f t="shared" ca="1" si="75"/>
        <v>1</v>
      </c>
      <c r="Q641" s="144">
        <f t="shared" ca="1" si="75"/>
        <v>0.8995232526760818</v>
      </c>
    </row>
    <row r="642" spans="1:17" x14ac:dyDescent="0.25">
      <c r="A642" s="145">
        <v>42128</v>
      </c>
      <c r="B642" s="144">
        <v>1.1152</v>
      </c>
      <c r="C642" s="144">
        <v>57.765099999999997</v>
      </c>
      <c r="D642" s="144">
        <v>8.4629999999999992</v>
      </c>
      <c r="E642" s="144">
        <v>134.07</v>
      </c>
      <c r="F642" s="144">
        <v>0.73787999999999998</v>
      </c>
      <c r="G642" s="144">
        <v>1.0430999999999999</v>
      </c>
      <c r="I642" s="144">
        <v>1</v>
      </c>
      <c r="J642" s="145">
        <f t="shared" si="69"/>
        <v>42128</v>
      </c>
      <c r="K642" s="144">
        <f t="shared" ca="1" si="75"/>
        <v>0.9353479196556671</v>
      </c>
      <c r="L642" s="144">
        <f t="shared" ca="1" si="75"/>
        <v>0.66165710186513627</v>
      </c>
      <c r="M642" s="144">
        <f t="shared" ca="1" si="75"/>
        <v>120.22058823529412</v>
      </c>
      <c r="N642" s="144">
        <f t="shared" ca="1" si="75"/>
        <v>7.5887733142037295</v>
      </c>
      <c r="O642" s="144">
        <f t="shared" ca="1" si="75"/>
        <v>51.797973457675752</v>
      </c>
      <c r="P642" s="144">
        <f t="shared" ca="1" si="75"/>
        <v>1</v>
      </c>
      <c r="Q642" s="144">
        <f t="shared" ca="1" si="75"/>
        <v>0.89670014347202298</v>
      </c>
    </row>
    <row r="643" spans="1:17" x14ac:dyDescent="0.25">
      <c r="A643" s="145">
        <v>42127</v>
      </c>
      <c r="B643" s="144">
        <v>1.1214999999999999</v>
      </c>
      <c r="C643" s="144">
        <v>57.646500000000003</v>
      </c>
      <c r="D643" s="144">
        <v>8.3844999999999992</v>
      </c>
      <c r="E643" s="144">
        <v>133.26</v>
      </c>
      <c r="F643" s="144">
        <v>0.72670000000000001</v>
      </c>
      <c r="G643" s="144">
        <v>1.0486</v>
      </c>
      <c r="I643" s="144">
        <v>1</v>
      </c>
      <c r="J643" s="145">
        <f t="shared" si="69"/>
        <v>42127</v>
      </c>
      <c r="K643" s="144">
        <f t="shared" ca="1" si="75"/>
        <v>0.93499777084262148</v>
      </c>
      <c r="L643" s="144">
        <f t="shared" ca="1" si="75"/>
        <v>0.64797146678555506</v>
      </c>
      <c r="M643" s="144">
        <f t="shared" ca="1" si="75"/>
        <v>118.82300490414623</v>
      </c>
      <c r="N643" s="144">
        <f t="shared" ca="1" si="75"/>
        <v>7.4761480160499332</v>
      </c>
      <c r="O643" s="144">
        <f t="shared" ca="1" si="75"/>
        <v>51.40124832813197</v>
      </c>
      <c r="P643" s="144">
        <f t="shared" ca="1" si="75"/>
        <v>1</v>
      </c>
      <c r="Q643" s="144">
        <f t="shared" ca="1" si="75"/>
        <v>0.89166295140436924</v>
      </c>
    </row>
    <row r="644" spans="1:17" x14ac:dyDescent="0.25">
      <c r="A644" s="145">
        <v>42126</v>
      </c>
      <c r="B644" s="144">
        <v>1.1214999999999999</v>
      </c>
      <c r="C644" s="144">
        <v>57.646500000000003</v>
      </c>
      <c r="D644" s="144">
        <v>8.3844999999999992</v>
      </c>
      <c r="E644" s="144">
        <v>133.26</v>
      </c>
      <c r="F644" s="144">
        <v>0.72670000000000001</v>
      </c>
      <c r="G644" s="144">
        <v>1.0486</v>
      </c>
      <c r="I644" s="144">
        <v>1</v>
      </c>
      <c r="J644" s="145">
        <f t="shared" si="69"/>
        <v>42126</v>
      </c>
      <c r="K644" s="144">
        <f t="shared" ca="1" si="75"/>
        <v>0.93499777084262148</v>
      </c>
      <c r="L644" s="144">
        <f t="shared" ca="1" si="75"/>
        <v>0.64797146678555506</v>
      </c>
      <c r="M644" s="144">
        <f t="shared" ca="1" si="75"/>
        <v>118.82300490414623</v>
      </c>
      <c r="N644" s="144">
        <f t="shared" ca="1" si="75"/>
        <v>7.4761480160499332</v>
      </c>
      <c r="O644" s="144">
        <f t="shared" ca="1" si="75"/>
        <v>51.40124832813197</v>
      </c>
      <c r="P644" s="144">
        <f t="shared" ca="1" si="75"/>
        <v>1</v>
      </c>
      <c r="Q644" s="144">
        <f t="shared" ca="1" si="75"/>
        <v>0.89166295140436924</v>
      </c>
    </row>
    <row r="645" spans="1:17" x14ac:dyDescent="0.25">
      <c r="A645" s="145">
        <v>42125</v>
      </c>
      <c r="B645" s="144">
        <v>1.1214999999999999</v>
      </c>
      <c r="C645" s="144">
        <v>57.646500000000003</v>
      </c>
      <c r="D645" s="144">
        <v>8.3844999999999992</v>
      </c>
      <c r="E645" s="144">
        <v>133.26</v>
      </c>
      <c r="F645" s="144">
        <v>0.72670000000000001</v>
      </c>
      <c r="G645" s="144">
        <v>1.0486</v>
      </c>
      <c r="I645" s="144">
        <v>1</v>
      </c>
      <c r="J645" s="145">
        <f t="shared" ref="J645:J708" si="76">A645</f>
        <v>42125</v>
      </c>
      <c r="K645" s="144">
        <f t="shared" ref="K645:Q654" ca="1" si="77">OFFSET($A645,0,K$3)/OFFSET($A645,0,$P$3)</f>
        <v>0.93499777084262148</v>
      </c>
      <c r="L645" s="144">
        <f t="shared" ca="1" si="77"/>
        <v>0.64797146678555506</v>
      </c>
      <c r="M645" s="144">
        <f t="shared" ca="1" si="77"/>
        <v>118.82300490414623</v>
      </c>
      <c r="N645" s="144">
        <f t="shared" ca="1" si="77"/>
        <v>7.4761480160499332</v>
      </c>
      <c r="O645" s="144">
        <f t="shared" ca="1" si="77"/>
        <v>51.40124832813197</v>
      </c>
      <c r="P645" s="144">
        <f t="shared" ca="1" si="77"/>
        <v>1</v>
      </c>
      <c r="Q645" s="144">
        <f t="shared" ca="1" si="77"/>
        <v>0.89166295140436924</v>
      </c>
    </row>
    <row r="646" spans="1:17" x14ac:dyDescent="0.25">
      <c r="A646" s="145">
        <v>42124</v>
      </c>
      <c r="B646" s="144">
        <v>1.1214999999999999</v>
      </c>
      <c r="C646" s="144">
        <v>57.646500000000003</v>
      </c>
      <c r="D646" s="144">
        <v>8.3844999999999992</v>
      </c>
      <c r="E646" s="144">
        <v>133.26</v>
      </c>
      <c r="F646" s="144">
        <v>0.72670000000000001</v>
      </c>
      <c r="G646" s="144">
        <v>1.0486</v>
      </c>
      <c r="I646" s="144">
        <v>1</v>
      </c>
      <c r="J646" s="145">
        <f t="shared" si="76"/>
        <v>42124</v>
      </c>
      <c r="K646" s="144">
        <f t="shared" ca="1" si="77"/>
        <v>0.93499777084262148</v>
      </c>
      <c r="L646" s="144">
        <f t="shared" ca="1" si="77"/>
        <v>0.64797146678555506</v>
      </c>
      <c r="M646" s="144">
        <f t="shared" ca="1" si="77"/>
        <v>118.82300490414623</v>
      </c>
      <c r="N646" s="144">
        <f t="shared" ca="1" si="77"/>
        <v>7.4761480160499332</v>
      </c>
      <c r="O646" s="144">
        <f t="shared" ca="1" si="77"/>
        <v>51.40124832813197</v>
      </c>
      <c r="P646" s="144">
        <f t="shared" ca="1" si="77"/>
        <v>1</v>
      </c>
      <c r="Q646" s="144">
        <f t="shared" ca="1" si="77"/>
        <v>0.89166295140436924</v>
      </c>
    </row>
    <row r="647" spans="1:17" x14ac:dyDescent="0.25">
      <c r="A647" s="145">
        <v>42123</v>
      </c>
      <c r="B647" s="144">
        <v>1.1002000000000001</v>
      </c>
      <c r="C647" s="144">
        <v>56.784999999999997</v>
      </c>
      <c r="D647" s="144">
        <v>8.3849999999999998</v>
      </c>
      <c r="E647" s="144">
        <v>131.19999999999999</v>
      </c>
      <c r="F647" s="144">
        <v>0.71609999999999996</v>
      </c>
      <c r="G647" s="144">
        <v>1.0490999999999999</v>
      </c>
      <c r="I647" s="144">
        <v>1</v>
      </c>
      <c r="J647" s="145">
        <f t="shared" si="76"/>
        <v>42123</v>
      </c>
      <c r="K647" s="144">
        <f t="shared" ca="1" si="77"/>
        <v>0.95355389929103784</v>
      </c>
      <c r="L647" s="144">
        <f t="shared" ca="1" si="77"/>
        <v>0.65088165788038532</v>
      </c>
      <c r="M647" s="144">
        <f t="shared" ca="1" si="77"/>
        <v>119.25104526449735</v>
      </c>
      <c r="N647" s="144">
        <f t="shared" ca="1" si="77"/>
        <v>7.6213415742592252</v>
      </c>
      <c r="O647" s="144">
        <f t="shared" ca="1" si="77"/>
        <v>51.613343028540257</v>
      </c>
      <c r="P647" s="144">
        <f t="shared" ca="1" si="77"/>
        <v>1</v>
      </c>
      <c r="Q647" s="144">
        <f t="shared" ca="1" si="77"/>
        <v>0.90892564988183966</v>
      </c>
    </row>
    <row r="648" spans="1:17" x14ac:dyDescent="0.25">
      <c r="A648" s="145">
        <v>42122</v>
      </c>
      <c r="B648" s="144">
        <v>1.0927</v>
      </c>
      <c r="C648" s="144">
        <v>57.031500000000001</v>
      </c>
      <c r="D648" s="144">
        <v>8.3919999999999995</v>
      </c>
      <c r="E648" s="144">
        <v>130.09</v>
      </c>
      <c r="F648" s="144">
        <v>0.71499999999999997</v>
      </c>
      <c r="G648" s="144">
        <v>1.0464</v>
      </c>
      <c r="I648" s="144">
        <v>1</v>
      </c>
      <c r="J648" s="145">
        <f t="shared" si="76"/>
        <v>42122</v>
      </c>
      <c r="K648" s="144">
        <f t="shared" ca="1" si="77"/>
        <v>0.95762789420701011</v>
      </c>
      <c r="L648" s="144">
        <f t="shared" ca="1" si="77"/>
        <v>0.65434245447057748</v>
      </c>
      <c r="M648" s="144">
        <f t="shared" ca="1" si="77"/>
        <v>119.05372014276563</v>
      </c>
      <c r="N648" s="144">
        <f t="shared" ca="1" si="77"/>
        <v>7.680058570513407</v>
      </c>
      <c r="O648" s="144">
        <f t="shared" ca="1" si="77"/>
        <v>52.193191177816416</v>
      </c>
      <c r="P648" s="144">
        <f t="shared" ca="1" si="77"/>
        <v>1</v>
      </c>
      <c r="Q648" s="144">
        <f t="shared" ca="1" si="77"/>
        <v>0.9151642719868216</v>
      </c>
    </row>
    <row r="649" spans="1:17" x14ac:dyDescent="0.25">
      <c r="A649" s="145">
        <v>42121</v>
      </c>
      <c r="B649" s="144">
        <v>1.0822000000000001</v>
      </c>
      <c r="C649" s="144">
        <v>55.850299999999997</v>
      </c>
      <c r="D649" s="144">
        <v>8.4344999999999999</v>
      </c>
      <c r="E649" s="144">
        <v>129.22999999999999</v>
      </c>
      <c r="F649" s="144">
        <v>0.71619999999999995</v>
      </c>
      <c r="G649" s="144">
        <v>1.0367</v>
      </c>
      <c r="I649" s="144">
        <v>1</v>
      </c>
      <c r="J649" s="145">
        <f t="shared" si="76"/>
        <v>42121</v>
      </c>
      <c r="K649" s="144">
        <f t="shared" ca="1" si="77"/>
        <v>0.95795601552393261</v>
      </c>
      <c r="L649" s="144">
        <f t="shared" ca="1" si="77"/>
        <v>0.6618000369617445</v>
      </c>
      <c r="M649" s="144">
        <f t="shared" ca="1" si="77"/>
        <v>119.41415634817962</v>
      </c>
      <c r="N649" s="144">
        <f t="shared" ca="1" si="77"/>
        <v>7.7938458695250414</v>
      </c>
      <c r="O649" s="144">
        <f t="shared" ca="1" si="77"/>
        <v>51.608113102938454</v>
      </c>
      <c r="P649" s="144">
        <f t="shared" ca="1" si="77"/>
        <v>1</v>
      </c>
      <c r="Q649" s="144">
        <f t="shared" ca="1" si="77"/>
        <v>0.9240436148586213</v>
      </c>
    </row>
    <row r="650" spans="1:17" x14ac:dyDescent="0.25">
      <c r="A650" s="145">
        <v>42120</v>
      </c>
      <c r="B650" s="144">
        <v>1.0824</v>
      </c>
      <c r="C650" s="144">
        <v>55.435499999999998</v>
      </c>
      <c r="D650" s="144">
        <v>8.4749999999999996</v>
      </c>
      <c r="E650" s="144">
        <v>129.36000000000001</v>
      </c>
      <c r="F650" s="144">
        <v>0.71589999999999998</v>
      </c>
      <c r="G650" s="144">
        <v>1.0338000000000001</v>
      </c>
      <c r="I650" s="144">
        <v>1</v>
      </c>
      <c r="J650" s="145">
        <f t="shared" si="76"/>
        <v>42120</v>
      </c>
      <c r="K650" s="144">
        <f t="shared" ca="1" si="77"/>
        <v>0.95509977827050996</v>
      </c>
      <c r="L650" s="144">
        <f t="shared" ca="1" si="77"/>
        <v>0.66140059127864004</v>
      </c>
      <c r="M650" s="144">
        <f t="shared" ca="1" si="77"/>
        <v>119.51219512195122</v>
      </c>
      <c r="N650" s="144">
        <f t="shared" ca="1" si="77"/>
        <v>7.8298226164079816</v>
      </c>
      <c r="O650" s="144">
        <f t="shared" ca="1" si="77"/>
        <v>51.215354767184031</v>
      </c>
      <c r="P650" s="144">
        <f t="shared" ca="1" si="77"/>
        <v>1</v>
      </c>
      <c r="Q650" s="144">
        <f t="shared" ca="1" si="77"/>
        <v>0.92387287509238725</v>
      </c>
    </row>
    <row r="651" spans="1:17" x14ac:dyDescent="0.25">
      <c r="A651" s="145">
        <v>42119</v>
      </c>
      <c r="B651" s="144">
        <v>1.0824</v>
      </c>
      <c r="C651" s="144">
        <v>55.435499999999998</v>
      </c>
      <c r="D651" s="144">
        <v>8.4749999999999996</v>
      </c>
      <c r="E651" s="144">
        <v>129.36000000000001</v>
      </c>
      <c r="F651" s="144">
        <v>0.71589999999999998</v>
      </c>
      <c r="G651" s="144">
        <v>1.0338000000000001</v>
      </c>
      <c r="I651" s="144">
        <v>1</v>
      </c>
      <c r="J651" s="145">
        <f t="shared" si="76"/>
        <v>42119</v>
      </c>
      <c r="K651" s="144">
        <f t="shared" ca="1" si="77"/>
        <v>0.95509977827050996</v>
      </c>
      <c r="L651" s="144">
        <f t="shared" ca="1" si="77"/>
        <v>0.66140059127864004</v>
      </c>
      <c r="M651" s="144">
        <f t="shared" ca="1" si="77"/>
        <v>119.51219512195122</v>
      </c>
      <c r="N651" s="144">
        <f t="shared" ca="1" si="77"/>
        <v>7.8298226164079816</v>
      </c>
      <c r="O651" s="144">
        <f t="shared" ca="1" si="77"/>
        <v>51.215354767184031</v>
      </c>
      <c r="P651" s="144">
        <f t="shared" ca="1" si="77"/>
        <v>1</v>
      </c>
      <c r="Q651" s="144">
        <f t="shared" ca="1" si="77"/>
        <v>0.92387287509238725</v>
      </c>
    </row>
    <row r="652" spans="1:17" x14ac:dyDescent="0.25">
      <c r="A652" s="145">
        <v>42118</v>
      </c>
      <c r="B652" s="144">
        <v>1.0824</v>
      </c>
      <c r="C652" s="144">
        <v>55.435499999999998</v>
      </c>
      <c r="D652" s="144">
        <v>8.4749999999999996</v>
      </c>
      <c r="E652" s="144">
        <v>129.36000000000001</v>
      </c>
      <c r="F652" s="144">
        <v>0.71589999999999998</v>
      </c>
      <c r="G652" s="144">
        <v>1.0338000000000001</v>
      </c>
      <c r="I652" s="144">
        <v>1</v>
      </c>
      <c r="J652" s="145">
        <f t="shared" si="76"/>
        <v>42118</v>
      </c>
      <c r="K652" s="144">
        <f t="shared" ca="1" si="77"/>
        <v>0.95509977827050996</v>
      </c>
      <c r="L652" s="144">
        <f t="shared" ca="1" si="77"/>
        <v>0.66140059127864004</v>
      </c>
      <c r="M652" s="144">
        <f t="shared" ca="1" si="77"/>
        <v>119.51219512195122</v>
      </c>
      <c r="N652" s="144">
        <f t="shared" ca="1" si="77"/>
        <v>7.8298226164079816</v>
      </c>
      <c r="O652" s="144">
        <f t="shared" ca="1" si="77"/>
        <v>51.215354767184031</v>
      </c>
      <c r="P652" s="144">
        <f t="shared" ca="1" si="77"/>
        <v>1</v>
      </c>
      <c r="Q652" s="144">
        <f t="shared" ca="1" si="77"/>
        <v>0.92387287509238725</v>
      </c>
    </row>
    <row r="653" spans="1:17" x14ac:dyDescent="0.25">
      <c r="A653" s="145">
        <v>42117</v>
      </c>
      <c r="B653" s="144">
        <v>1.0771999999999999</v>
      </c>
      <c r="C653" s="144">
        <v>55.295200000000001</v>
      </c>
      <c r="D653" s="144">
        <v>8.516</v>
      </c>
      <c r="E653" s="144">
        <v>129.36000000000001</v>
      </c>
      <c r="F653" s="144">
        <v>0.71699999999999997</v>
      </c>
      <c r="G653" s="144">
        <v>1.0383</v>
      </c>
      <c r="I653" s="144">
        <v>1</v>
      </c>
      <c r="J653" s="145">
        <f t="shared" si="76"/>
        <v>42117</v>
      </c>
      <c r="K653" s="144">
        <f t="shared" ca="1" si="77"/>
        <v>0.96388785740809513</v>
      </c>
      <c r="L653" s="144">
        <f t="shared" ca="1" si="77"/>
        <v>0.66561455625696253</v>
      </c>
      <c r="M653" s="144">
        <f t="shared" ca="1" si="77"/>
        <v>120.08911994058673</v>
      </c>
      <c r="N653" s="144">
        <f t="shared" ca="1" si="77"/>
        <v>7.9056813962124028</v>
      </c>
      <c r="O653" s="144">
        <f t="shared" ca="1" si="77"/>
        <v>51.332343111771266</v>
      </c>
      <c r="P653" s="144">
        <f t="shared" ca="1" si="77"/>
        <v>1</v>
      </c>
      <c r="Q653" s="144">
        <f t="shared" ca="1" si="77"/>
        <v>0.9283327144448571</v>
      </c>
    </row>
    <row r="654" spans="1:17" x14ac:dyDescent="0.25">
      <c r="A654" s="145">
        <v>42116</v>
      </c>
      <c r="B654" s="144">
        <v>1.0743</v>
      </c>
      <c r="C654" s="144">
        <v>56.817999999999998</v>
      </c>
      <c r="D654" s="144">
        <v>8.4429999999999996</v>
      </c>
      <c r="E654" s="144">
        <v>128.44999999999999</v>
      </c>
      <c r="F654" s="144">
        <v>0.71289999999999998</v>
      </c>
      <c r="G654" s="144">
        <v>1.0323</v>
      </c>
      <c r="I654" s="144">
        <v>1</v>
      </c>
      <c r="J654" s="145">
        <f t="shared" si="76"/>
        <v>42116</v>
      </c>
      <c r="K654" s="144">
        <f t="shared" ca="1" si="77"/>
        <v>0.96090477520245743</v>
      </c>
      <c r="L654" s="144">
        <f t="shared" ca="1" si="77"/>
        <v>0.66359489900400259</v>
      </c>
      <c r="M654" s="144">
        <f t="shared" ca="1" si="77"/>
        <v>119.5662291724844</v>
      </c>
      <c r="N654" s="144">
        <f t="shared" ca="1" si="77"/>
        <v>7.8590710229917153</v>
      </c>
      <c r="O654" s="144">
        <f t="shared" ca="1" si="77"/>
        <v>52.888392441589872</v>
      </c>
      <c r="P654" s="144">
        <f t="shared" ca="1" si="77"/>
        <v>1</v>
      </c>
      <c r="Q654" s="144">
        <f t="shared" ca="1" si="77"/>
        <v>0.93083868565577588</v>
      </c>
    </row>
    <row r="655" spans="1:17" x14ac:dyDescent="0.25">
      <c r="A655" s="145">
        <v>42115</v>
      </c>
      <c r="B655" s="144">
        <v>1.07</v>
      </c>
      <c r="C655" s="144">
        <v>57.4375</v>
      </c>
      <c r="D655" s="144">
        <v>8.4250000000000007</v>
      </c>
      <c r="E655" s="144">
        <v>127.75</v>
      </c>
      <c r="F655" s="144">
        <v>0.71870000000000001</v>
      </c>
      <c r="G655" s="144">
        <v>1.0251999999999999</v>
      </c>
      <c r="I655" s="144">
        <v>1</v>
      </c>
      <c r="J655" s="145">
        <f t="shared" si="76"/>
        <v>42115</v>
      </c>
      <c r="K655" s="144">
        <f t="shared" ref="K655:Q664" ca="1" si="78">OFFSET($A655,0,K$3)/OFFSET($A655,0,$P$3)</f>
        <v>0.95813084112149516</v>
      </c>
      <c r="L655" s="144">
        <f t="shared" ca="1" si="78"/>
        <v>0.67168224299065415</v>
      </c>
      <c r="M655" s="144">
        <f t="shared" ca="1" si="78"/>
        <v>119.39252336448597</v>
      </c>
      <c r="N655" s="144">
        <f t="shared" ca="1" si="78"/>
        <v>7.8738317757009346</v>
      </c>
      <c r="O655" s="144">
        <f t="shared" ca="1" si="78"/>
        <v>53.679906542056074</v>
      </c>
      <c r="P655" s="144">
        <f t="shared" ca="1" si="78"/>
        <v>1</v>
      </c>
      <c r="Q655" s="144">
        <f t="shared" ca="1" si="78"/>
        <v>0.93457943925233644</v>
      </c>
    </row>
    <row r="656" spans="1:17" x14ac:dyDescent="0.25">
      <c r="A656" s="145">
        <v>42114</v>
      </c>
      <c r="B656" s="144">
        <v>1.0723</v>
      </c>
      <c r="C656" s="144">
        <v>57.177</v>
      </c>
      <c r="D656" s="144">
        <v>8.4420000000000002</v>
      </c>
      <c r="E656" s="144">
        <v>127.68</v>
      </c>
      <c r="F656" s="144">
        <v>0.71955000000000002</v>
      </c>
      <c r="G656" s="144">
        <v>1.0283</v>
      </c>
      <c r="I656" s="144">
        <v>1</v>
      </c>
      <c r="J656" s="145">
        <f t="shared" si="76"/>
        <v>42114</v>
      </c>
      <c r="K656" s="144">
        <f t="shared" ca="1" si="78"/>
        <v>0.95896670707824294</v>
      </c>
      <c r="L656" s="144">
        <f t="shared" ca="1" si="78"/>
        <v>0.67103422549659608</v>
      </c>
      <c r="M656" s="144">
        <f t="shared" ca="1" si="78"/>
        <v>119.07115546022568</v>
      </c>
      <c r="N656" s="144">
        <f t="shared" ca="1" si="78"/>
        <v>7.8727967919425534</v>
      </c>
      <c r="O656" s="144">
        <f t="shared" ca="1" si="78"/>
        <v>53.321831576984053</v>
      </c>
      <c r="P656" s="144">
        <f t="shared" ca="1" si="78"/>
        <v>1</v>
      </c>
      <c r="Q656" s="144">
        <f t="shared" ca="1" si="78"/>
        <v>0.93257483913084027</v>
      </c>
    </row>
    <row r="657" spans="1:17" x14ac:dyDescent="0.25">
      <c r="A657" s="145">
        <v>42113</v>
      </c>
      <c r="B657" s="144">
        <v>1.0813999999999999</v>
      </c>
      <c r="C657" s="144">
        <v>54.9086</v>
      </c>
      <c r="D657" s="144">
        <v>8.3970000000000002</v>
      </c>
      <c r="E657" s="144">
        <v>128.44999999999999</v>
      </c>
      <c r="F657" s="144">
        <v>0.71989999999999998</v>
      </c>
      <c r="G657" s="144">
        <v>1.0297000000000001</v>
      </c>
      <c r="I657" s="144">
        <v>1</v>
      </c>
      <c r="J657" s="145">
        <f t="shared" si="76"/>
        <v>42113</v>
      </c>
      <c r="K657" s="144">
        <f t="shared" ca="1" si="78"/>
        <v>0.9521916034769744</v>
      </c>
      <c r="L657" s="144">
        <f t="shared" ca="1" si="78"/>
        <v>0.66571111522100979</v>
      </c>
      <c r="M657" s="144">
        <f t="shared" ca="1" si="78"/>
        <v>118.78120954318476</v>
      </c>
      <c r="N657" s="144">
        <f t="shared" ca="1" si="78"/>
        <v>7.7649343443684122</v>
      </c>
      <c r="O657" s="144">
        <f t="shared" ca="1" si="78"/>
        <v>50.775476234510826</v>
      </c>
      <c r="P657" s="144">
        <f t="shared" ca="1" si="78"/>
        <v>1</v>
      </c>
      <c r="Q657" s="144">
        <f t="shared" ca="1" si="78"/>
        <v>0.92472720547438514</v>
      </c>
    </row>
    <row r="658" spans="1:17" x14ac:dyDescent="0.25">
      <c r="A658" s="145">
        <v>42112</v>
      </c>
      <c r="B658" s="144">
        <v>1.0813999999999999</v>
      </c>
      <c r="C658" s="144">
        <v>54.9086</v>
      </c>
      <c r="D658" s="144">
        <v>8.3970000000000002</v>
      </c>
      <c r="E658" s="144">
        <v>128.44999999999999</v>
      </c>
      <c r="F658" s="144">
        <v>0.71989999999999998</v>
      </c>
      <c r="G658" s="144">
        <v>1.0297000000000001</v>
      </c>
      <c r="I658" s="144">
        <v>1</v>
      </c>
      <c r="J658" s="145">
        <f t="shared" si="76"/>
        <v>42112</v>
      </c>
      <c r="K658" s="144">
        <f t="shared" ca="1" si="78"/>
        <v>0.9521916034769744</v>
      </c>
      <c r="L658" s="144">
        <f t="shared" ca="1" si="78"/>
        <v>0.66571111522100979</v>
      </c>
      <c r="M658" s="144">
        <f t="shared" ca="1" si="78"/>
        <v>118.78120954318476</v>
      </c>
      <c r="N658" s="144">
        <f t="shared" ca="1" si="78"/>
        <v>7.7649343443684122</v>
      </c>
      <c r="O658" s="144">
        <f t="shared" ca="1" si="78"/>
        <v>50.775476234510826</v>
      </c>
      <c r="P658" s="144">
        <f t="shared" ca="1" si="78"/>
        <v>1</v>
      </c>
      <c r="Q658" s="144">
        <f t="shared" ca="1" si="78"/>
        <v>0.92472720547438514</v>
      </c>
    </row>
    <row r="659" spans="1:17" x14ac:dyDescent="0.25">
      <c r="A659" s="145">
        <v>42111</v>
      </c>
      <c r="B659" s="144">
        <v>1.0813999999999999</v>
      </c>
      <c r="C659" s="144">
        <v>54.9086</v>
      </c>
      <c r="D659" s="144">
        <v>8.3970000000000002</v>
      </c>
      <c r="E659" s="144">
        <v>128.44999999999999</v>
      </c>
      <c r="F659" s="144">
        <v>0.71989999999999998</v>
      </c>
      <c r="G659" s="144">
        <v>1.0297000000000001</v>
      </c>
      <c r="I659" s="144">
        <v>1</v>
      </c>
      <c r="J659" s="145">
        <f t="shared" si="76"/>
        <v>42111</v>
      </c>
      <c r="K659" s="144">
        <f t="shared" ca="1" si="78"/>
        <v>0.9521916034769744</v>
      </c>
      <c r="L659" s="144">
        <f t="shared" ca="1" si="78"/>
        <v>0.66571111522100979</v>
      </c>
      <c r="M659" s="144">
        <f t="shared" ca="1" si="78"/>
        <v>118.78120954318476</v>
      </c>
      <c r="N659" s="144">
        <f t="shared" ca="1" si="78"/>
        <v>7.7649343443684122</v>
      </c>
      <c r="O659" s="144">
        <f t="shared" ca="1" si="78"/>
        <v>50.775476234510826</v>
      </c>
      <c r="P659" s="144">
        <f t="shared" ca="1" si="78"/>
        <v>1</v>
      </c>
      <c r="Q659" s="144">
        <f t="shared" ca="1" si="78"/>
        <v>0.92472720547438514</v>
      </c>
    </row>
    <row r="660" spans="1:17" x14ac:dyDescent="0.25">
      <c r="A660" s="145">
        <v>42110</v>
      </c>
      <c r="B660" s="144">
        <v>1.0710999999999999</v>
      </c>
      <c r="C660" s="144">
        <v>53.411099999999998</v>
      </c>
      <c r="D660" s="144">
        <v>8.3725000000000005</v>
      </c>
      <c r="E660" s="144">
        <v>127.64</v>
      </c>
      <c r="F660" s="144">
        <v>0.71889999999999998</v>
      </c>
      <c r="G660" s="144">
        <v>1.0327</v>
      </c>
      <c r="I660" s="144">
        <v>1</v>
      </c>
      <c r="J660" s="145">
        <f t="shared" si="76"/>
        <v>42110</v>
      </c>
      <c r="K660" s="144">
        <f t="shared" ca="1" si="78"/>
        <v>0.96414900569507989</v>
      </c>
      <c r="L660" s="144">
        <f t="shared" ca="1" si="78"/>
        <v>0.67117916160956026</v>
      </c>
      <c r="M660" s="144">
        <f t="shared" ca="1" si="78"/>
        <v>119.16721127812529</v>
      </c>
      <c r="N660" s="144">
        <f t="shared" ca="1" si="78"/>
        <v>7.8167304640089634</v>
      </c>
      <c r="O660" s="144">
        <f t="shared" ca="1" si="78"/>
        <v>49.865652133320886</v>
      </c>
      <c r="P660" s="144">
        <f t="shared" ca="1" si="78"/>
        <v>1</v>
      </c>
      <c r="Q660" s="144">
        <f t="shared" ca="1" si="78"/>
        <v>0.9336196433572963</v>
      </c>
    </row>
    <row r="661" spans="1:17" x14ac:dyDescent="0.25">
      <c r="A661" s="145">
        <v>42109</v>
      </c>
      <c r="B661" s="144">
        <v>1.0579000000000001</v>
      </c>
      <c r="C661" s="144">
        <v>53.610999999999997</v>
      </c>
      <c r="D661" s="144">
        <v>8.4149999999999991</v>
      </c>
      <c r="E661" s="144">
        <v>126.52</v>
      </c>
      <c r="F661" s="144">
        <v>0.71679999999999999</v>
      </c>
      <c r="G661" s="144">
        <v>1.0321</v>
      </c>
      <c r="I661" s="144">
        <v>1</v>
      </c>
      <c r="J661" s="145">
        <f t="shared" si="76"/>
        <v>42109</v>
      </c>
      <c r="K661" s="144">
        <f t="shared" ca="1" si="78"/>
        <v>0.97561206163153413</v>
      </c>
      <c r="L661" s="144">
        <f t="shared" ca="1" si="78"/>
        <v>0.67756876831458546</v>
      </c>
      <c r="M661" s="144">
        <f t="shared" ca="1" si="78"/>
        <v>119.59542489838358</v>
      </c>
      <c r="N661" s="144">
        <f t="shared" ca="1" si="78"/>
        <v>7.9544380376217019</v>
      </c>
      <c r="O661" s="144">
        <f t="shared" ca="1" si="78"/>
        <v>50.676812553171374</v>
      </c>
      <c r="P661" s="144">
        <f t="shared" ca="1" si="78"/>
        <v>1</v>
      </c>
      <c r="Q661" s="144">
        <f t="shared" ca="1" si="78"/>
        <v>0.94526892901030335</v>
      </c>
    </row>
    <row r="662" spans="1:17" x14ac:dyDescent="0.25">
      <c r="A662" s="145">
        <v>42108</v>
      </c>
      <c r="B662" s="144">
        <v>1.0564</v>
      </c>
      <c r="C662" s="144">
        <v>54.935000000000002</v>
      </c>
      <c r="D662" s="144">
        <v>8.4819999999999993</v>
      </c>
      <c r="E662" s="144">
        <v>126.67</v>
      </c>
      <c r="F662" s="144">
        <v>0.72170000000000001</v>
      </c>
      <c r="G662" s="144">
        <v>1.0344</v>
      </c>
      <c r="I662" s="144">
        <v>1</v>
      </c>
      <c r="J662" s="145">
        <f t="shared" si="76"/>
        <v>42108</v>
      </c>
      <c r="K662" s="144">
        <f t="shared" ca="1" si="78"/>
        <v>0.97917455509276785</v>
      </c>
      <c r="L662" s="144">
        <f t="shared" ca="1" si="78"/>
        <v>0.68316925407042783</v>
      </c>
      <c r="M662" s="144">
        <f t="shared" ca="1" si="78"/>
        <v>119.9072321090496</v>
      </c>
      <c r="N662" s="144">
        <f t="shared" ca="1" si="78"/>
        <v>8.0291556228701246</v>
      </c>
      <c r="O662" s="144">
        <f t="shared" ca="1" si="78"/>
        <v>52.002082544490726</v>
      </c>
      <c r="P662" s="144">
        <f t="shared" ca="1" si="78"/>
        <v>1</v>
      </c>
      <c r="Q662" s="144">
        <f t="shared" ca="1" si="78"/>
        <v>0.94661113214691406</v>
      </c>
    </row>
    <row r="663" spans="1:17" x14ac:dyDescent="0.25">
      <c r="A663" s="145">
        <v>42107</v>
      </c>
      <c r="B663" s="144">
        <v>1.0551999999999999</v>
      </c>
      <c r="C663" s="144">
        <v>55.2605</v>
      </c>
      <c r="D663" s="144">
        <v>8.548</v>
      </c>
      <c r="E663" s="144">
        <v>127.2</v>
      </c>
      <c r="F663" s="144">
        <v>0.72150000000000003</v>
      </c>
      <c r="G663" s="144">
        <v>1.0373000000000001</v>
      </c>
      <c r="I663" s="144">
        <v>1</v>
      </c>
      <c r="J663" s="145">
        <f t="shared" si="76"/>
        <v>42107</v>
      </c>
      <c r="K663" s="144">
        <f t="shared" ca="1" si="78"/>
        <v>0.98303639120545883</v>
      </c>
      <c r="L663" s="144">
        <f t="shared" ca="1" si="78"/>
        <v>0.68375663381349516</v>
      </c>
      <c r="M663" s="144">
        <f t="shared" ca="1" si="78"/>
        <v>120.54586808188023</v>
      </c>
      <c r="N663" s="144">
        <f t="shared" ca="1" si="78"/>
        <v>8.100833965125096</v>
      </c>
      <c r="O663" s="144">
        <f t="shared" ca="1" si="78"/>
        <v>52.369692949203944</v>
      </c>
      <c r="P663" s="144">
        <f t="shared" ca="1" si="78"/>
        <v>1</v>
      </c>
      <c r="Q663" s="144">
        <f t="shared" ca="1" si="78"/>
        <v>0.94768764215314638</v>
      </c>
    </row>
    <row r="664" spans="1:17" x14ac:dyDescent="0.25">
      <c r="A664" s="145">
        <v>42106</v>
      </c>
      <c r="B664" s="144">
        <v>1.0569999999999999</v>
      </c>
      <c r="C664" s="144">
        <v>54.536999999999999</v>
      </c>
      <c r="D664" s="144">
        <v>8.6129999999999995</v>
      </c>
      <c r="E664" s="144">
        <v>127.32</v>
      </c>
      <c r="F664" s="144">
        <v>0.72440000000000004</v>
      </c>
      <c r="G664" s="144">
        <v>1.0389999999999999</v>
      </c>
      <c r="I664" s="144">
        <v>1</v>
      </c>
      <c r="J664" s="145">
        <f t="shared" si="76"/>
        <v>42106</v>
      </c>
      <c r="K664" s="144">
        <f t="shared" ca="1" si="78"/>
        <v>0.9829706717123935</v>
      </c>
      <c r="L664" s="144">
        <f t="shared" ca="1" si="78"/>
        <v>0.68533585619678339</v>
      </c>
      <c r="M664" s="144">
        <f t="shared" ca="1" si="78"/>
        <v>120.45411542100284</v>
      </c>
      <c r="N664" s="144">
        <f t="shared" ca="1" si="78"/>
        <v>8.1485335856196777</v>
      </c>
      <c r="O664" s="144">
        <f t="shared" ca="1" si="78"/>
        <v>51.59602649006623</v>
      </c>
      <c r="P664" s="144">
        <f t="shared" ca="1" si="78"/>
        <v>1</v>
      </c>
      <c r="Q664" s="144">
        <f t="shared" ca="1" si="78"/>
        <v>0.94607379375591305</v>
      </c>
    </row>
    <row r="665" spans="1:17" x14ac:dyDescent="0.25">
      <c r="A665" s="145">
        <v>42105</v>
      </c>
      <c r="B665" s="144">
        <v>1.0569999999999999</v>
      </c>
      <c r="C665" s="144">
        <v>54.536999999999999</v>
      </c>
      <c r="D665" s="144">
        <v>8.6129999999999995</v>
      </c>
      <c r="E665" s="144">
        <v>127.32</v>
      </c>
      <c r="F665" s="144">
        <v>0.72440000000000004</v>
      </c>
      <c r="G665" s="144">
        <v>1.0389999999999999</v>
      </c>
      <c r="I665" s="144">
        <v>1</v>
      </c>
      <c r="J665" s="145">
        <f t="shared" si="76"/>
        <v>42105</v>
      </c>
      <c r="K665" s="144">
        <f t="shared" ref="K665:Q674" ca="1" si="79">OFFSET($A665,0,K$3)/OFFSET($A665,0,$P$3)</f>
        <v>0.9829706717123935</v>
      </c>
      <c r="L665" s="144">
        <f t="shared" ca="1" si="79"/>
        <v>0.68533585619678339</v>
      </c>
      <c r="M665" s="144">
        <f t="shared" ca="1" si="79"/>
        <v>120.45411542100284</v>
      </c>
      <c r="N665" s="144">
        <f t="shared" ca="1" si="79"/>
        <v>8.1485335856196777</v>
      </c>
      <c r="O665" s="144">
        <f t="shared" ca="1" si="79"/>
        <v>51.59602649006623</v>
      </c>
      <c r="P665" s="144">
        <f t="shared" ca="1" si="79"/>
        <v>1</v>
      </c>
      <c r="Q665" s="144">
        <f t="shared" ca="1" si="79"/>
        <v>0.94607379375591305</v>
      </c>
    </row>
    <row r="666" spans="1:17" x14ac:dyDescent="0.25">
      <c r="A666" s="145">
        <v>42104</v>
      </c>
      <c r="B666" s="144">
        <v>1.0569999999999999</v>
      </c>
      <c r="C666" s="144">
        <v>54.536999999999999</v>
      </c>
      <c r="D666" s="144">
        <v>8.6129999999999995</v>
      </c>
      <c r="E666" s="144">
        <v>127.32</v>
      </c>
      <c r="F666" s="144">
        <v>0.72440000000000004</v>
      </c>
      <c r="G666" s="144">
        <v>1.0389999999999999</v>
      </c>
      <c r="I666" s="144">
        <v>1</v>
      </c>
      <c r="J666" s="145">
        <f t="shared" si="76"/>
        <v>42104</v>
      </c>
      <c r="K666" s="144">
        <f t="shared" ca="1" si="79"/>
        <v>0.9829706717123935</v>
      </c>
      <c r="L666" s="144">
        <f t="shared" ca="1" si="79"/>
        <v>0.68533585619678339</v>
      </c>
      <c r="M666" s="144">
        <f t="shared" ca="1" si="79"/>
        <v>120.45411542100284</v>
      </c>
      <c r="N666" s="144">
        <f t="shared" ca="1" si="79"/>
        <v>8.1485335856196777</v>
      </c>
      <c r="O666" s="144">
        <f t="shared" ca="1" si="79"/>
        <v>51.59602649006623</v>
      </c>
      <c r="P666" s="144">
        <f t="shared" ca="1" si="79"/>
        <v>1</v>
      </c>
      <c r="Q666" s="144">
        <f t="shared" ca="1" si="79"/>
        <v>0.94607379375591305</v>
      </c>
    </row>
    <row r="667" spans="1:17" x14ac:dyDescent="0.25">
      <c r="A667" s="145">
        <v>42103</v>
      </c>
      <c r="B667" s="144">
        <v>1.0773999999999999</v>
      </c>
      <c r="C667" s="144">
        <v>55.999000000000002</v>
      </c>
      <c r="D667" s="144">
        <v>8.6620000000000008</v>
      </c>
      <c r="E667" s="144">
        <v>129.22</v>
      </c>
      <c r="F667" s="144">
        <v>0.7268</v>
      </c>
      <c r="G667" s="144">
        <v>1.0447</v>
      </c>
      <c r="I667" s="144">
        <v>1</v>
      </c>
      <c r="J667" s="145">
        <f t="shared" si="76"/>
        <v>42103</v>
      </c>
      <c r="K667" s="144">
        <f t="shared" ca="1" si="79"/>
        <v>0.96964915537404872</v>
      </c>
      <c r="L667" s="144">
        <f t="shared" ca="1" si="79"/>
        <v>0.67458696862817902</v>
      </c>
      <c r="M667" s="144">
        <f t="shared" ca="1" si="79"/>
        <v>119.93688509374421</v>
      </c>
      <c r="N667" s="144">
        <f t="shared" ca="1" si="79"/>
        <v>8.0397252645257122</v>
      </c>
      <c r="O667" s="144">
        <f t="shared" ca="1" si="79"/>
        <v>51.976053462038244</v>
      </c>
      <c r="P667" s="144">
        <f t="shared" ca="1" si="79"/>
        <v>1</v>
      </c>
      <c r="Q667" s="144">
        <f t="shared" ca="1" si="79"/>
        <v>0.92816038611472074</v>
      </c>
    </row>
    <row r="668" spans="1:17" x14ac:dyDescent="0.25">
      <c r="A668" s="145">
        <v>42102</v>
      </c>
      <c r="B668" s="144">
        <v>1.0862000000000001</v>
      </c>
      <c r="C668" s="144">
        <v>58.600499999999997</v>
      </c>
      <c r="D668" s="144">
        <v>8.6766000000000005</v>
      </c>
      <c r="E668" s="144">
        <v>130.09</v>
      </c>
      <c r="F668" s="144">
        <v>0.72640000000000005</v>
      </c>
      <c r="G668" s="144">
        <v>1.0438000000000001</v>
      </c>
      <c r="I668" s="144">
        <v>1</v>
      </c>
      <c r="J668" s="145">
        <f t="shared" si="76"/>
        <v>42102</v>
      </c>
      <c r="K668" s="144">
        <f t="shared" ca="1" si="79"/>
        <v>0.96096483152273982</v>
      </c>
      <c r="L668" s="144">
        <f t="shared" ca="1" si="79"/>
        <v>0.66875345240287243</v>
      </c>
      <c r="M668" s="144">
        <f t="shared" ca="1" si="79"/>
        <v>119.76615724544283</v>
      </c>
      <c r="N668" s="144">
        <f t="shared" ca="1" si="79"/>
        <v>7.9880316700423499</v>
      </c>
      <c r="O668" s="144">
        <f t="shared" ca="1" si="79"/>
        <v>53.950009206407657</v>
      </c>
      <c r="P668" s="144">
        <f t="shared" ca="1" si="79"/>
        <v>1</v>
      </c>
      <c r="Q668" s="144">
        <f t="shared" ca="1" si="79"/>
        <v>0.92064076597311728</v>
      </c>
    </row>
    <row r="669" spans="1:17" x14ac:dyDescent="0.25">
      <c r="A669" s="145">
        <v>42101</v>
      </c>
      <c r="B669" s="144">
        <v>1.0847</v>
      </c>
      <c r="C669" s="144">
        <v>59.826500000000003</v>
      </c>
      <c r="D669" s="144">
        <v>8.73</v>
      </c>
      <c r="E669" s="144">
        <v>130.33000000000001</v>
      </c>
      <c r="F669" s="144">
        <v>0.72860000000000003</v>
      </c>
      <c r="G669" s="144">
        <v>1.0438000000000001</v>
      </c>
      <c r="I669" s="144">
        <v>1</v>
      </c>
      <c r="J669" s="145">
        <f t="shared" si="76"/>
        <v>42101</v>
      </c>
      <c r="K669" s="144">
        <f t="shared" ca="1" si="79"/>
        <v>0.96229372176638706</v>
      </c>
      <c r="L669" s="144">
        <f t="shared" ca="1" si="79"/>
        <v>0.67170646261639166</v>
      </c>
      <c r="M669" s="144">
        <f t="shared" ca="1" si="79"/>
        <v>120.15303770627824</v>
      </c>
      <c r="N669" s="144">
        <f t="shared" ca="1" si="79"/>
        <v>8.0483082880059005</v>
      </c>
      <c r="O669" s="144">
        <f t="shared" ca="1" si="79"/>
        <v>55.154881534064721</v>
      </c>
      <c r="P669" s="144">
        <f t="shared" ca="1" si="79"/>
        <v>1</v>
      </c>
      <c r="Q669" s="144">
        <f t="shared" ca="1" si="79"/>
        <v>0.92191389324237116</v>
      </c>
    </row>
    <row r="670" spans="1:17" x14ac:dyDescent="0.25">
      <c r="A670" s="145">
        <v>42100</v>
      </c>
      <c r="B670" s="144">
        <v>1.083</v>
      </c>
      <c r="C670" s="144">
        <v>61.828499999999998</v>
      </c>
      <c r="D670" s="144">
        <v>8.6506000000000007</v>
      </c>
      <c r="E670" s="144">
        <v>129.59</v>
      </c>
      <c r="F670" s="144">
        <v>0.73160000000000003</v>
      </c>
      <c r="G670" s="144">
        <v>1.04</v>
      </c>
      <c r="I670" s="144">
        <v>1</v>
      </c>
      <c r="J670" s="145">
        <f t="shared" si="76"/>
        <v>42100</v>
      </c>
      <c r="K670" s="144">
        <f t="shared" ca="1" si="79"/>
        <v>0.96029547553093264</v>
      </c>
      <c r="L670" s="144">
        <f t="shared" ca="1" si="79"/>
        <v>0.67553093259464458</v>
      </c>
      <c r="M670" s="144">
        <f t="shared" ca="1" si="79"/>
        <v>119.6583564173592</v>
      </c>
      <c r="N670" s="144">
        <f t="shared" ca="1" si="79"/>
        <v>7.9876269621421985</v>
      </c>
      <c r="O670" s="144">
        <f t="shared" ca="1" si="79"/>
        <v>57.090027700831023</v>
      </c>
      <c r="P670" s="144">
        <f t="shared" ca="1" si="79"/>
        <v>1</v>
      </c>
      <c r="Q670" s="144">
        <f t="shared" ca="1" si="79"/>
        <v>0.92336103416435833</v>
      </c>
    </row>
    <row r="671" spans="1:17" x14ac:dyDescent="0.25">
      <c r="A671" s="145">
        <v>42099</v>
      </c>
      <c r="B671" s="144">
        <v>1.083</v>
      </c>
      <c r="C671" s="144">
        <v>61.828499999999998</v>
      </c>
      <c r="D671" s="144">
        <v>8.6506000000000007</v>
      </c>
      <c r="E671" s="144">
        <v>129.59</v>
      </c>
      <c r="F671" s="144">
        <v>0.73160000000000003</v>
      </c>
      <c r="G671" s="144">
        <v>1.04</v>
      </c>
      <c r="I671" s="144">
        <v>1</v>
      </c>
      <c r="J671" s="145">
        <f t="shared" si="76"/>
        <v>42099</v>
      </c>
      <c r="K671" s="144">
        <f t="shared" ca="1" si="79"/>
        <v>0.96029547553093264</v>
      </c>
      <c r="L671" s="144">
        <f t="shared" ca="1" si="79"/>
        <v>0.67553093259464458</v>
      </c>
      <c r="M671" s="144">
        <f t="shared" ca="1" si="79"/>
        <v>119.6583564173592</v>
      </c>
      <c r="N671" s="144">
        <f t="shared" ca="1" si="79"/>
        <v>7.9876269621421985</v>
      </c>
      <c r="O671" s="144">
        <f t="shared" ca="1" si="79"/>
        <v>57.090027700831023</v>
      </c>
      <c r="P671" s="144">
        <f t="shared" ca="1" si="79"/>
        <v>1</v>
      </c>
      <c r="Q671" s="144">
        <f t="shared" ca="1" si="79"/>
        <v>0.92336103416435833</v>
      </c>
    </row>
    <row r="672" spans="1:17" x14ac:dyDescent="0.25">
      <c r="A672" s="145">
        <v>42098</v>
      </c>
      <c r="B672" s="144">
        <v>1.083</v>
      </c>
      <c r="C672" s="144">
        <v>61.828499999999998</v>
      </c>
      <c r="D672" s="144">
        <v>8.6506000000000007</v>
      </c>
      <c r="E672" s="144">
        <v>129.59</v>
      </c>
      <c r="F672" s="144">
        <v>0.73160000000000003</v>
      </c>
      <c r="G672" s="144">
        <v>1.04</v>
      </c>
      <c r="I672" s="144">
        <v>1</v>
      </c>
      <c r="J672" s="145">
        <f t="shared" si="76"/>
        <v>42098</v>
      </c>
      <c r="K672" s="144">
        <f t="shared" ca="1" si="79"/>
        <v>0.96029547553093264</v>
      </c>
      <c r="L672" s="144">
        <f t="shared" ca="1" si="79"/>
        <v>0.67553093259464458</v>
      </c>
      <c r="M672" s="144">
        <f t="shared" ca="1" si="79"/>
        <v>119.6583564173592</v>
      </c>
      <c r="N672" s="144">
        <f t="shared" ca="1" si="79"/>
        <v>7.9876269621421985</v>
      </c>
      <c r="O672" s="144">
        <f t="shared" ca="1" si="79"/>
        <v>57.090027700831023</v>
      </c>
      <c r="P672" s="144">
        <f t="shared" ca="1" si="79"/>
        <v>1</v>
      </c>
      <c r="Q672" s="144">
        <f t="shared" ca="1" si="79"/>
        <v>0.92336103416435833</v>
      </c>
    </row>
    <row r="673" spans="1:17" x14ac:dyDescent="0.25">
      <c r="A673" s="145">
        <v>42097</v>
      </c>
      <c r="B673" s="144">
        <v>1.083</v>
      </c>
      <c r="C673" s="144">
        <v>61.828499999999998</v>
      </c>
      <c r="D673" s="144">
        <v>8.6506000000000007</v>
      </c>
      <c r="E673" s="144">
        <v>129.59</v>
      </c>
      <c r="F673" s="144">
        <v>0.73160000000000003</v>
      </c>
      <c r="G673" s="144">
        <v>1.04</v>
      </c>
      <c r="I673" s="144">
        <v>1</v>
      </c>
      <c r="J673" s="145">
        <f t="shared" si="76"/>
        <v>42097</v>
      </c>
      <c r="K673" s="144">
        <f t="shared" ca="1" si="79"/>
        <v>0.96029547553093264</v>
      </c>
      <c r="L673" s="144">
        <f t="shared" ca="1" si="79"/>
        <v>0.67553093259464458</v>
      </c>
      <c r="M673" s="144">
        <f t="shared" ca="1" si="79"/>
        <v>119.6583564173592</v>
      </c>
      <c r="N673" s="144">
        <f t="shared" ca="1" si="79"/>
        <v>7.9876269621421985</v>
      </c>
      <c r="O673" s="144">
        <f t="shared" ca="1" si="79"/>
        <v>57.090027700831023</v>
      </c>
      <c r="P673" s="144">
        <f t="shared" ca="1" si="79"/>
        <v>1</v>
      </c>
      <c r="Q673" s="144">
        <f t="shared" ca="1" si="79"/>
        <v>0.92336103416435833</v>
      </c>
    </row>
    <row r="674" spans="1:17" x14ac:dyDescent="0.25">
      <c r="A674" s="145">
        <v>42096</v>
      </c>
      <c r="B674" s="144">
        <v>1.083</v>
      </c>
      <c r="C674" s="144">
        <v>61.828499999999998</v>
      </c>
      <c r="D674" s="144">
        <v>8.6506000000000007</v>
      </c>
      <c r="E674" s="144">
        <v>129.59</v>
      </c>
      <c r="F674" s="144">
        <v>0.73160000000000003</v>
      </c>
      <c r="G674" s="144">
        <v>1.04</v>
      </c>
      <c r="I674" s="144">
        <v>1</v>
      </c>
      <c r="J674" s="145">
        <f t="shared" si="76"/>
        <v>42096</v>
      </c>
      <c r="K674" s="144">
        <f t="shared" ca="1" si="79"/>
        <v>0.96029547553093264</v>
      </c>
      <c r="L674" s="144">
        <f t="shared" ca="1" si="79"/>
        <v>0.67553093259464458</v>
      </c>
      <c r="M674" s="144">
        <f t="shared" ca="1" si="79"/>
        <v>119.6583564173592</v>
      </c>
      <c r="N674" s="144">
        <f t="shared" ca="1" si="79"/>
        <v>7.9876269621421985</v>
      </c>
      <c r="O674" s="144">
        <f t="shared" ca="1" si="79"/>
        <v>57.090027700831023</v>
      </c>
      <c r="P674" s="144">
        <f t="shared" ca="1" si="79"/>
        <v>1</v>
      </c>
      <c r="Q674" s="144">
        <f t="shared" ca="1" si="79"/>
        <v>0.92336103416435833</v>
      </c>
    </row>
    <row r="675" spans="1:17" x14ac:dyDescent="0.25">
      <c r="A675" s="145">
        <v>42095</v>
      </c>
      <c r="B675" s="144">
        <v>1.0754999999999999</v>
      </c>
      <c r="C675" s="144">
        <v>62.436300000000003</v>
      </c>
      <c r="D675" s="144">
        <v>8.6694999999999993</v>
      </c>
      <c r="E675" s="144">
        <v>129.29</v>
      </c>
      <c r="F675" s="144">
        <v>0.72850000000000004</v>
      </c>
      <c r="G675" s="144">
        <v>1.0426</v>
      </c>
      <c r="I675" s="144">
        <v>1</v>
      </c>
      <c r="J675" s="145">
        <f t="shared" si="76"/>
        <v>42095</v>
      </c>
      <c r="K675" s="144">
        <f t="shared" ref="K675:Q684" ca="1" si="80">OFFSET($A675,0,K$3)/OFFSET($A675,0,$P$3)</f>
        <v>0.96940957694095775</v>
      </c>
      <c r="L675" s="144">
        <f t="shared" ca="1" si="80"/>
        <v>0.67735936773593686</v>
      </c>
      <c r="M675" s="144">
        <f t="shared" ca="1" si="80"/>
        <v>120.2138540213854</v>
      </c>
      <c r="N675" s="144">
        <f t="shared" ca="1" si="80"/>
        <v>8.0609019060901907</v>
      </c>
      <c r="O675" s="144">
        <f t="shared" ca="1" si="80"/>
        <v>58.053277545327759</v>
      </c>
      <c r="P675" s="144">
        <f t="shared" ca="1" si="80"/>
        <v>1</v>
      </c>
      <c r="Q675" s="144">
        <f t="shared" ca="1" si="80"/>
        <v>0.92980009298000943</v>
      </c>
    </row>
    <row r="676" spans="1:17" x14ac:dyDescent="0.25">
      <c r="A676" s="145">
        <v>42094</v>
      </c>
      <c r="B676" s="144">
        <v>1.0759000000000001</v>
      </c>
      <c r="C676" s="144">
        <v>62.44</v>
      </c>
      <c r="D676" s="144">
        <v>8.7035</v>
      </c>
      <c r="E676" s="144">
        <v>128.94999999999999</v>
      </c>
      <c r="F676" s="144">
        <v>0.72729999999999995</v>
      </c>
      <c r="G676" s="144">
        <v>1.0463</v>
      </c>
      <c r="I676" s="144">
        <v>1</v>
      </c>
      <c r="J676" s="145">
        <f t="shared" si="76"/>
        <v>42094</v>
      </c>
      <c r="K676" s="144">
        <f t="shared" ca="1" si="80"/>
        <v>0.97248814945626916</v>
      </c>
      <c r="L676" s="144">
        <f t="shared" ca="1" si="80"/>
        <v>0.67599219258295373</v>
      </c>
      <c r="M676" s="144">
        <f t="shared" ca="1" si="80"/>
        <v>119.85314620317871</v>
      </c>
      <c r="N676" s="144">
        <f t="shared" ca="1" si="80"/>
        <v>8.0895064597081507</v>
      </c>
      <c r="O676" s="144">
        <f t="shared" ca="1" si="80"/>
        <v>58.035133376707869</v>
      </c>
      <c r="P676" s="144">
        <f t="shared" ca="1" si="80"/>
        <v>1</v>
      </c>
      <c r="Q676" s="144">
        <f t="shared" ca="1" si="80"/>
        <v>0.92945441026117659</v>
      </c>
    </row>
    <row r="677" spans="1:17" x14ac:dyDescent="0.25">
      <c r="A677" s="145">
        <v>42093</v>
      </c>
      <c r="B677" s="144">
        <v>1.0845</v>
      </c>
      <c r="C677" s="144">
        <v>62.5595</v>
      </c>
      <c r="D677" s="144">
        <v>8.6545000000000005</v>
      </c>
      <c r="E677" s="144">
        <v>130.02000000000001</v>
      </c>
      <c r="F677" s="144">
        <v>0.73280000000000001</v>
      </c>
      <c r="G677" s="144">
        <v>1.0439000000000001</v>
      </c>
      <c r="I677" s="144">
        <v>1</v>
      </c>
      <c r="J677" s="145">
        <f t="shared" si="76"/>
        <v>42093</v>
      </c>
      <c r="K677" s="144">
        <f t="shared" ca="1" si="80"/>
        <v>0.96256339326878748</v>
      </c>
      <c r="L677" s="144">
        <f t="shared" ca="1" si="80"/>
        <v>0.67570308898109732</v>
      </c>
      <c r="M677" s="144">
        <f t="shared" ca="1" si="80"/>
        <v>119.88934993084371</v>
      </c>
      <c r="N677" s="144">
        <f t="shared" ca="1" si="80"/>
        <v>7.9801751959428309</v>
      </c>
      <c r="O677" s="144">
        <f t="shared" ca="1" si="80"/>
        <v>57.68510834485938</v>
      </c>
      <c r="P677" s="144">
        <f t="shared" ca="1" si="80"/>
        <v>1</v>
      </c>
      <c r="Q677" s="144">
        <f t="shared" ca="1" si="80"/>
        <v>0.9220839096357768</v>
      </c>
    </row>
    <row r="678" spans="1:17" x14ac:dyDescent="0.25">
      <c r="A678" s="145">
        <v>42092</v>
      </c>
      <c r="B678" s="144">
        <v>1.0855999999999999</v>
      </c>
      <c r="C678" s="144">
        <v>62.231999999999999</v>
      </c>
      <c r="D678" s="144">
        <v>8.6449999999999996</v>
      </c>
      <c r="E678" s="144">
        <v>129.38999999999999</v>
      </c>
      <c r="F678" s="144">
        <v>0.7298</v>
      </c>
      <c r="G678" s="144">
        <v>1.0476000000000001</v>
      </c>
      <c r="I678" s="144">
        <v>1</v>
      </c>
      <c r="J678" s="145">
        <f t="shared" si="76"/>
        <v>42092</v>
      </c>
      <c r="K678" s="144">
        <f t="shared" ca="1" si="80"/>
        <v>0.96499631540162134</v>
      </c>
      <c r="L678" s="144">
        <f t="shared" ca="1" si="80"/>
        <v>0.67225497420781144</v>
      </c>
      <c r="M678" s="144">
        <f t="shared" ca="1" si="80"/>
        <v>119.18754605747974</v>
      </c>
      <c r="N678" s="144">
        <f t="shared" ca="1" si="80"/>
        <v>7.9633382461311717</v>
      </c>
      <c r="O678" s="144">
        <f t="shared" ca="1" si="80"/>
        <v>57.32498157700811</v>
      </c>
      <c r="P678" s="144">
        <f t="shared" ca="1" si="80"/>
        <v>1</v>
      </c>
      <c r="Q678" s="144">
        <f t="shared" ca="1" si="80"/>
        <v>0.92114959469417845</v>
      </c>
    </row>
    <row r="679" spans="1:17" x14ac:dyDescent="0.25">
      <c r="A679" s="145">
        <v>42091</v>
      </c>
      <c r="B679" s="144">
        <v>1.0855999999999999</v>
      </c>
      <c r="C679" s="144">
        <v>62.231999999999999</v>
      </c>
      <c r="D679" s="144">
        <v>8.6449999999999996</v>
      </c>
      <c r="E679" s="144">
        <v>129.38999999999999</v>
      </c>
      <c r="F679" s="144">
        <v>0.7298</v>
      </c>
      <c r="G679" s="144">
        <v>1.0476000000000001</v>
      </c>
      <c r="I679" s="144">
        <v>1</v>
      </c>
      <c r="J679" s="145">
        <f t="shared" si="76"/>
        <v>42091</v>
      </c>
      <c r="K679" s="144">
        <f t="shared" ca="1" si="80"/>
        <v>0.96499631540162134</v>
      </c>
      <c r="L679" s="144">
        <f t="shared" ca="1" si="80"/>
        <v>0.67225497420781144</v>
      </c>
      <c r="M679" s="144">
        <f t="shared" ca="1" si="80"/>
        <v>119.18754605747974</v>
      </c>
      <c r="N679" s="144">
        <f t="shared" ca="1" si="80"/>
        <v>7.9633382461311717</v>
      </c>
      <c r="O679" s="144">
        <f t="shared" ca="1" si="80"/>
        <v>57.32498157700811</v>
      </c>
      <c r="P679" s="144">
        <f t="shared" ca="1" si="80"/>
        <v>1</v>
      </c>
      <c r="Q679" s="144">
        <f t="shared" ca="1" si="80"/>
        <v>0.92114959469417845</v>
      </c>
    </row>
    <row r="680" spans="1:17" x14ac:dyDescent="0.25">
      <c r="A680" s="145">
        <v>42090</v>
      </c>
      <c r="B680" s="144">
        <v>1.0855999999999999</v>
      </c>
      <c r="C680" s="144">
        <v>62.231999999999999</v>
      </c>
      <c r="D680" s="144">
        <v>8.6449999999999996</v>
      </c>
      <c r="E680" s="144">
        <v>129.38999999999999</v>
      </c>
      <c r="F680" s="144">
        <v>0.7298</v>
      </c>
      <c r="G680" s="144">
        <v>1.0476000000000001</v>
      </c>
      <c r="I680" s="144">
        <v>1</v>
      </c>
      <c r="J680" s="145">
        <f t="shared" si="76"/>
        <v>42090</v>
      </c>
      <c r="K680" s="144">
        <f t="shared" ca="1" si="80"/>
        <v>0.96499631540162134</v>
      </c>
      <c r="L680" s="144">
        <f t="shared" ca="1" si="80"/>
        <v>0.67225497420781144</v>
      </c>
      <c r="M680" s="144">
        <f t="shared" ca="1" si="80"/>
        <v>119.18754605747974</v>
      </c>
      <c r="N680" s="144">
        <f t="shared" ca="1" si="80"/>
        <v>7.9633382461311717</v>
      </c>
      <c r="O680" s="144">
        <f t="shared" ca="1" si="80"/>
        <v>57.32498157700811</v>
      </c>
      <c r="P680" s="144">
        <f t="shared" ca="1" si="80"/>
        <v>1</v>
      </c>
      <c r="Q680" s="144">
        <f t="shared" ca="1" si="80"/>
        <v>0.92114959469417845</v>
      </c>
    </row>
    <row r="681" spans="1:17" x14ac:dyDescent="0.25">
      <c r="A681" s="145">
        <v>42089</v>
      </c>
      <c r="B681" s="144">
        <v>1.0972999999999999</v>
      </c>
      <c r="C681" s="144">
        <v>62.770699999999998</v>
      </c>
      <c r="D681" s="144">
        <v>8.6005000000000003</v>
      </c>
      <c r="E681" s="144">
        <v>130.66999999999999</v>
      </c>
      <c r="F681" s="144">
        <v>0.73709999999999998</v>
      </c>
      <c r="G681" s="144">
        <v>1.0498000000000001</v>
      </c>
      <c r="I681" s="144">
        <v>1</v>
      </c>
      <c r="J681" s="145">
        <f t="shared" si="76"/>
        <v>42089</v>
      </c>
      <c r="K681" s="144">
        <f t="shared" ca="1" si="80"/>
        <v>0.95671192928096249</v>
      </c>
      <c r="L681" s="144">
        <f t="shared" ca="1" si="80"/>
        <v>0.67173972477900301</v>
      </c>
      <c r="M681" s="144">
        <f t="shared" ca="1" si="80"/>
        <v>119.083204228561</v>
      </c>
      <c r="N681" s="144">
        <f t="shared" ca="1" si="80"/>
        <v>7.8378747835596467</v>
      </c>
      <c r="O681" s="144">
        <f t="shared" ca="1" si="80"/>
        <v>57.204684224915702</v>
      </c>
      <c r="P681" s="144">
        <f t="shared" ca="1" si="80"/>
        <v>1</v>
      </c>
      <c r="Q681" s="144">
        <f t="shared" ca="1" si="80"/>
        <v>0.91132780461131879</v>
      </c>
    </row>
    <row r="682" spans="1:17" x14ac:dyDescent="0.25">
      <c r="A682" s="145">
        <v>42088</v>
      </c>
      <c r="B682" s="144">
        <v>1.0985</v>
      </c>
      <c r="C682" s="144">
        <v>62.573799999999999</v>
      </c>
      <c r="D682" s="144">
        <v>8.593</v>
      </c>
      <c r="E682" s="144">
        <v>131.13</v>
      </c>
      <c r="F682" s="144">
        <v>0.73650000000000004</v>
      </c>
      <c r="G682" s="144">
        <v>1.0517000000000001</v>
      </c>
      <c r="I682" s="144">
        <v>1</v>
      </c>
      <c r="J682" s="145">
        <f t="shared" si="76"/>
        <v>42088</v>
      </c>
      <c r="K682" s="144">
        <f t="shared" ca="1" si="80"/>
        <v>0.95739644970414206</v>
      </c>
      <c r="L682" s="144">
        <f t="shared" ca="1" si="80"/>
        <v>0.67045971779699587</v>
      </c>
      <c r="M682" s="144">
        <f t="shared" ca="1" si="80"/>
        <v>119.37187073281747</v>
      </c>
      <c r="N682" s="144">
        <f t="shared" ca="1" si="80"/>
        <v>7.8224852071005913</v>
      </c>
      <c r="O682" s="144">
        <f t="shared" ca="1" si="80"/>
        <v>56.96294947655894</v>
      </c>
      <c r="P682" s="144">
        <f t="shared" ca="1" si="80"/>
        <v>1</v>
      </c>
      <c r="Q682" s="144">
        <f t="shared" ca="1" si="80"/>
        <v>0.91033227127901684</v>
      </c>
    </row>
    <row r="683" spans="1:17" x14ac:dyDescent="0.25">
      <c r="A683" s="145">
        <v>42087</v>
      </c>
      <c r="B683" s="144">
        <v>1.095</v>
      </c>
      <c r="C683" s="144">
        <v>63.423200000000001</v>
      </c>
      <c r="D683" s="144">
        <v>8.5935000000000006</v>
      </c>
      <c r="E683" s="144">
        <v>130.88999999999999</v>
      </c>
      <c r="F683" s="144">
        <v>0.73440000000000005</v>
      </c>
      <c r="G683" s="144">
        <v>1.0490999999999999</v>
      </c>
      <c r="I683" s="144">
        <v>1</v>
      </c>
      <c r="J683" s="145">
        <f t="shared" si="76"/>
        <v>42087</v>
      </c>
      <c r="K683" s="144">
        <f t="shared" ca="1" si="80"/>
        <v>0.95808219178082188</v>
      </c>
      <c r="L683" s="144">
        <f t="shared" ca="1" si="80"/>
        <v>0.67068493150684938</v>
      </c>
      <c r="M683" s="144">
        <f t="shared" ca="1" si="80"/>
        <v>119.53424657534245</v>
      </c>
      <c r="N683" s="144">
        <f t="shared" ca="1" si="80"/>
        <v>7.8479452054794532</v>
      </c>
      <c r="O683" s="144">
        <f t="shared" ca="1" si="80"/>
        <v>57.92073059360731</v>
      </c>
      <c r="P683" s="144">
        <f t="shared" ca="1" si="80"/>
        <v>1</v>
      </c>
      <c r="Q683" s="144">
        <f t="shared" ca="1" si="80"/>
        <v>0.91324200913242015</v>
      </c>
    </row>
    <row r="684" spans="1:17" x14ac:dyDescent="0.25">
      <c r="A684" s="145">
        <v>42086</v>
      </c>
      <c r="B684" s="144">
        <v>1.0911999999999999</v>
      </c>
      <c r="C684" s="144">
        <v>64.388599999999997</v>
      </c>
      <c r="D684" s="144">
        <v>8.6274999999999995</v>
      </c>
      <c r="E684" s="144">
        <v>130.80000000000001</v>
      </c>
      <c r="F684" s="144">
        <v>0.73180000000000001</v>
      </c>
      <c r="G684" s="144">
        <v>1.0561</v>
      </c>
      <c r="I684" s="144">
        <v>1</v>
      </c>
      <c r="J684" s="145">
        <f t="shared" si="76"/>
        <v>42086</v>
      </c>
      <c r="K684" s="144">
        <f t="shared" ca="1" si="80"/>
        <v>0.96783357771261003</v>
      </c>
      <c r="L684" s="144">
        <f t="shared" ca="1" si="80"/>
        <v>0.67063782991202348</v>
      </c>
      <c r="M684" s="144">
        <f t="shared" ca="1" si="80"/>
        <v>119.86803519061586</v>
      </c>
      <c r="N684" s="144">
        <f t="shared" ca="1" si="80"/>
        <v>7.9064332844574778</v>
      </c>
      <c r="O684" s="144">
        <f t="shared" ca="1" si="80"/>
        <v>59.007148093841643</v>
      </c>
      <c r="P684" s="144">
        <f t="shared" ca="1" si="80"/>
        <v>1</v>
      </c>
      <c r="Q684" s="144">
        <f t="shared" ca="1" si="80"/>
        <v>0.9164222873900294</v>
      </c>
    </row>
    <row r="685" spans="1:17" x14ac:dyDescent="0.25">
      <c r="A685" s="145">
        <v>42085</v>
      </c>
      <c r="B685" s="144">
        <v>1.0775999999999999</v>
      </c>
      <c r="C685" s="144">
        <v>64.927599999999998</v>
      </c>
      <c r="D685" s="144">
        <v>8.7125000000000004</v>
      </c>
      <c r="E685" s="144">
        <v>130.26</v>
      </c>
      <c r="F685" s="144">
        <v>0.72550000000000003</v>
      </c>
      <c r="G685" s="144">
        <v>1.0551999999999999</v>
      </c>
      <c r="I685" s="144">
        <v>1</v>
      </c>
      <c r="J685" s="145">
        <f t="shared" si="76"/>
        <v>42085</v>
      </c>
      <c r="K685" s="144">
        <f t="shared" ref="K685:Q694" ca="1" si="81">OFFSET($A685,0,K$3)/OFFSET($A685,0,$P$3)</f>
        <v>0.97921306607275427</v>
      </c>
      <c r="L685" s="144">
        <f t="shared" ca="1" si="81"/>
        <v>0.67325538233110627</v>
      </c>
      <c r="M685" s="144">
        <f t="shared" ca="1" si="81"/>
        <v>120.87973273942094</v>
      </c>
      <c r="N685" s="144">
        <f t="shared" ca="1" si="81"/>
        <v>8.0850965107646626</v>
      </c>
      <c r="O685" s="144">
        <f t="shared" ca="1" si="81"/>
        <v>60.252041573867857</v>
      </c>
      <c r="P685" s="144">
        <f t="shared" ca="1" si="81"/>
        <v>1</v>
      </c>
      <c r="Q685" s="144">
        <f t="shared" ca="1" si="81"/>
        <v>0.92798812175204171</v>
      </c>
    </row>
    <row r="686" spans="1:17" x14ac:dyDescent="0.25">
      <c r="A686" s="145">
        <v>42084</v>
      </c>
      <c r="B686" s="144">
        <v>1.0775999999999999</v>
      </c>
      <c r="C686" s="144">
        <v>64.927599999999998</v>
      </c>
      <c r="D686" s="144">
        <v>8.7125000000000004</v>
      </c>
      <c r="E686" s="144">
        <v>130.26</v>
      </c>
      <c r="F686" s="144">
        <v>0.72550000000000003</v>
      </c>
      <c r="G686" s="144">
        <v>1.0551999999999999</v>
      </c>
      <c r="I686" s="144">
        <v>1</v>
      </c>
      <c r="J686" s="145">
        <f t="shared" si="76"/>
        <v>42084</v>
      </c>
      <c r="K686" s="144">
        <f t="shared" ca="1" si="81"/>
        <v>0.97921306607275427</v>
      </c>
      <c r="L686" s="144">
        <f t="shared" ca="1" si="81"/>
        <v>0.67325538233110627</v>
      </c>
      <c r="M686" s="144">
        <f t="shared" ca="1" si="81"/>
        <v>120.87973273942094</v>
      </c>
      <c r="N686" s="144">
        <f t="shared" ca="1" si="81"/>
        <v>8.0850965107646626</v>
      </c>
      <c r="O686" s="144">
        <f t="shared" ca="1" si="81"/>
        <v>60.252041573867857</v>
      </c>
      <c r="P686" s="144">
        <f t="shared" ca="1" si="81"/>
        <v>1</v>
      </c>
      <c r="Q686" s="144">
        <f t="shared" ca="1" si="81"/>
        <v>0.92798812175204171</v>
      </c>
    </row>
    <row r="687" spans="1:17" x14ac:dyDescent="0.25">
      <c r="A687" s="145">
        <v>42083</v>
      </c>
      <c r="B687" s="144">
        <v>1.0775999999999999</v>
      </c>
      <c r="C687" s="144">
        <v>64.927599999999998</v>
      </c>
      <c r="D687" s="144">
        <v>8.7125000000000004</v>
      </c>
      <c r="E687" s="144">
        <v>130.26</v>
      </c>
      <c r="F687" s="144">
        <v>0.72550000000000003</v>
      </c>
      <c r="G687" s="144">
        <v>1.0551999999999999</v>
      </c>
      <c r="I687" s="144">
        <v>1</v>
      </c>
      <c r="J687" s="145">
        <f t="shared" si="76"/>
        <v>42083</v>
      </c>
      <c r="K687" s="144">
        <f t="shared" ca="1" si="81"/>
        <v>0.97921306607275427</v>
      </c>
      <c r="L687" s="144">
        <f t="shared" ca="1" si="81"/>
        <v>0.67325538233110627</v>
      </c>
      <c r="M687" s="144">
        <f t="shared" ca="1" si="81"/>
        <v>120.87973273942094</v>
      </c>
      <c r="N687" s="144">
        <f t="shared" ca="1" si="81"/>
        <v>8.0850965107646626</v>
      </c>
      <c r="O687" s="144">
        <f t="shared" ca="1" si="81"/>
        <v>60.252041573867857</v>
      </c>
      <c r="P687" s="144">
        <f t="shared" ca="1" si="81"/>
        <v>1</v>
      </c>
      <c r="Q687" s="144">
        <f t="shared" ca="1" si="81"/>
        <v>0.92798812175204171</v>
      </c>
    </row>
    <row r="688" spans="1:17" x14ac:dyDescent="0.25">
      <c r="A688" s="145">
        <v>42082</v>
      </c>
      <c r="B688" s="144">
        <v>1.0677000000000001</v>
      </c>
      <c r="C688" s="144">
        <v>64.1691</v>
      </c>
      <c r="D688" s="144">
        <v>8.6355000000000004</v>
      </c>
      <c r="E688" s="144">
        <v>129.12</v>
      </c>
      <c r="F688" s="144">
        <v>0.71830000000000005</v>
      </c>
      <c r="G688" s="144">
        <v>1.0595000000000001</v>
      </c>
      <c r="I688" s="144">
        <v>1</v>
      </c>
      <c r="J688" s="145">
        <f t="shared" si="76"/>
        <v>42082</v>
      </c>
      <c r="K688" s="144">
        <f t="shared" ca="1" si="81"/>
        <v>0.99231994005806878</v>
      </c>
      <c r="L688" s="144">
        <f t="shared" ca="1" si="81"/>
        <v>0.67275451905966099</v>
      </c>
      <c r="M688" s="144">
        <f t="shared" ca="1" si="81"/>
        <v>120.93284630514189</v>
      </c>
      <c r="N688" s="144">
        <f t="shared" ca="1" si="81"/>
        <v>8.0879460522618718</v>
      </c>
      <c r="O688" s="144">
        <f t="shared" ca="1" si="81"/>
        <v>60.100309075583027</v>
      </c>
      <c r="P688" s="144">
        <f t="shared" ca="1" si="81"/>
        <v>1</v>
      </c>
      <c r="Q688" s="144">
        <f t="shared" ca="1" si="81"/>
        <v>0.93659267584527484</v>
      </c>
    </row>
    <row r="689" spans="1:17" x14ac:dyDescent="0.25">
      <c r="A689" s="145">
        <v>42081</v>
      </c>
      <c r="B689" s="144">
        <v>1.0591999999999999</v>
      </c>
      <c r="C689" s="144">
        <v>64.900000000000006</v>
      </c>
      <c r="D689" s="144">
        <v>8.9</v>
      </c>
      <c r="E689" s="144">
        <v>128.35</v>
      </c>
      <c r="F689" s="144">
        <v>0.72299999999999998</v>
      </c>
      <c r="G689" s="144">
        <v>1.0627</v>
      </c>
      <c r="I689" s="144">
        <v>1</v>
      </c>
      <c r="J689" s="145">
        <f t="shared" si="76"/>
        <v>42081</v>
      </c>
      <c r="K689" s="144">
        <f t="shared" ca="1" si="81"/>
        <v>1.0033043806646527</v>
      </c>
      <c r="L689" s="144">
        <f t="shared" ca="1" si="81"/>
        <v>0.6825906344410877</v>
      </c>
      <c r="M689" s="144">
        <f t="shared" ca="1" si="81"/>
        <v>121.17635951661632</v>
      </c>
      <c r="N689" s="144">
        <f t="shared" ca="1" si="81"/>
        <v>8.4025679758308165</v>
      </c>
      <c r="O689" s="144">
        <f t="shared" ca="1" si="81"/>
        <v>61.272658610271911</v>
      </c>
      <c r="P689" s="144">
        <f t="shared" ca="1" si="81"/>
        <v>1</v>
      </c>
      <c r="Q689" s="144">
        <f t="shared" ca="1" si="81"/>
        <v>0.94410876132930521</v>
      </c>
    </row>
    <row r="690" spans="1:17" x14ac:dyDescent="0.25">
      <c r="A690" s="145">
        <v>42080</v>
      </c>
      <c r="B690" s="144">
        <v>1.0634999999999999</v>
      </c>
      <c r="C690" s="144">
        <v>65.755600000000001</v>
      </c>
      <c r="D690" s="144">
        <v>8.7914999999999992</v>
      </c>
      <c r="E690" s="144">
        <v>128.9</v>
      </c>
      <c r="F690" s="144">
        <v>0.71994999999999998</v>
      </c>
      <c r="G690" s="144">
        <v>1.0660000000000001</v>
      </c>
      <c r="I690" s="144">
        <v>1</v>
      </c>
      <c r="J690" s="145">
        <f t="shared" si="76"/>
        <v>42080</v>
      </c>
      <c r="K690" s="144">
        <f t="shared" ca="1" si="81"/>
        <v>1.0023507287259052</v>
      </c>
      <c r="L690" s="144">
        <f t="shared" ca="1" si="81"/>
        <v>0.6769628584861308</v>
      </c>
      <c r="M690" s="144">
        <f t="shared" ca="1" si="81"/>
        <v>121.20357310766339</v>
      </c>
      <c r="N690" s="144">
        <f t="shared" ca="1" si="81"/>
        <v>8.2665726375176298</v>
      </c>
      <c r="O690" s="144">
        <f t="shared" ca="1" si="81"/>
        <v>61.829431123648341</v>
      </c>
      <c r="P690" s="144">
        <f t="shared" ca="1" si="81"/>
        <v>1</v>
      </c>
      <c r="Q690" s="144">
        <f t="shared" ca="1" si="81"/>
        <v>0.94029149036201232</v>
      </c>
    </row>
    <row r="691" spans="1:17" x14ac:dyDescent="0.25">
      <c r="A691" s="145">
        <v>42079</v>
      </c>
      <c r="B691" s="144">
        <v>1.0557000000000001</v>
      </c>
      <c r="C691" s="144">
        <v>65.498000000000005</v>
      </c>
      <c r="D691" s="144">
        <v>8.6859999999999999</v>
      </c>
      <c r="E691" s="144">
        <v>127.96</v>
      </c>
      <c r="F691" s="144">
        <v>0.71309999999999996</v>
      </c>
      <c r="G691" s="144">
        <v>1.0615000000000001</v>
      </c>
      <c r="I691" s="144">
        <v>1</v>
      </c>
      <c r="J691" s="145">
        <f t="shared" si="76"/>
        <v>42079</v>
      </c>
      <c r="K691" s="144">
        <f t="shared" ca="1" si="81"/>
        <v>1.0054939850336271</v>
      </c>
      <c r="L691" s="144">
        <f t="shared" ca="1" si="81"/>
        <v>0.67547598749644777</v>
      </c>
      <c r="M691" s="144">
        <f t="shared" ca="1" si="81"/>
        <v>121.20867670739791</v>
      </c>
      <c r="N691" s="144">
        <f t="shared" ca="1" si="81"/>
        <v>8.227716207255849</v>
      </c>
      <c r="O691" s="144">
        <f t="shared" ca="1" si="81"/>
        <v>62.042246850430992</v>
      </c>
      <c r="P691" s="144">
        <f t="shared" ca="1" si="81"/>
        <v>1</v>
      </c>
      <c r="Q691" s="144">
        <f t="shared" ca="1" si="81"/>
        <v>0.94723879890120288</v>
      </c>
    </row>
    <row r="692" spans="1:17" x14ac:dyDescent="0.25">
      <c r="A692" s="145">
        <v>42078</v>
      </c>
      <c r="B692" s="144">
        <v>1.0571999999999999</v>
      </c>
      <c r="C692" s="144">
        <v>64.506299999999996</v>
      </c>
      <c r="D692" s="144">
        <v>8.6255000000000006</v>
      </c>
      <c r="E692" s="144">
        <v>128.41</v>
      </c>
      <c r="F692" s="144">
        <v>0.71525000000000005</v>
      </c>
      <c r="G692" s="144">
        <v>1.0648</v>
      </c>
      <c r="I692" s="144">
        <v>1</v>
      </c>
      <c r="J692" s="145">
        <f t="shared" si="76"/>
        <v>42078</v>
      </c>
      <c r="K692" s="144">
        <f t="shared" ca="1" si="81"/>
        <v>1.0071888006053726</v>
      </c>
      <c r="L692" s="144">
        <f t="shared" ca="1" si="81"/>
        <v>0.67655126749905425</v>
      </c>
      <c r="M692" s="144">
        <f t="shared" ca="1" si="81"/>
        <v>121.46235338630345</v>
      </c>
      <c r="N692" s="144">
        <f t="shared" ca="1" si="81"/>
        <v>8.1588157396897483</v>
      </c>
      <c r="O692" s="144">
        <f t="shared" ca="1" si="81"/>
        <v>61.016174801362091</v>
      </c>
      <c r="P692" s="144">
        <f t="shared" ca="1" si="81"/>
        <v>1</v>
      </c>
      <c r="Q692" s="144">
        <f t="shared" ca="1" si="81"/>
        <v>0.94589481649640572</v>
      </c>
    </row>
    <row r="693" spans="1:17" x14ac:dyDescent="0.25">
      <c r="A693" s="145">
        <v>42077</v>
      </c>
      <c r="B693" s="144">
        <v>1.0571999999999999</v>
      </c>
      <c r="C693" s="144">
        <v>64.506299999999996</v>
      </c>
      <c r="D693" s="144">
        <v>8.6255000000000006</v>
      </c>
      <c r="E693" s="144">
        <v>128.41</v>
      </c>
      <c r="F693" s="144">
        <v>0.71525000000000005</v>
      </c>
      <c r="G693" s="144">
        <v>1.0648</v>
      </c>
      <c r="I693" s="144">
        <v>1</v>
      </c>
      <c r="J693" s="145">
        <f t="shared" si="76"/>
        <v>42077</v>
      </c>
      <c r="K693" s="144">
        <f t="shared" ca="1" si="81"/>
        <v>1.0071888006053726</v>
      </c>
      <c r="L693" s="144">
        <f t="shared" ca="1" si="81"/>
        <v>0.67655126749905425</v>
      </c>
      <c r="M693" s="144">
        <f t="shared" ca="1" si="81"/>
        <v>121.46235338630345</v>
      </c>
      <c r="N693" s="144">
        <f t="shared" ca="1" si="81"/>
        <v>8.1588157396897483</v>
      </c>
      <c r="O693" s="144">
        <f t="shared" ca="1" si="81"/>
        <v>61.016174801362091</v>
      </c>
      <c r="P693" s="144">
        <f t="shared" ca="1" si="81"/>
        <v>1</v>
      </c>
      <c r="Q693" s="144">
        <f t="shared" ca="1" si="81"/>
        <v>0.94589481649640572</v>
      </c>
    </row>
    <row r="694" spans="1:17" x14ac:dyDescent="0.25">
      <c r="A694" s="145">
        <v>42076</v>
      </c>
      <c r="B694" s="144">
        <v>1.0571999999999999</v>
      </c>
      <c r="C694" s="144">
        <v>64.506299999999996</v>
      </c>
      <c r="D694" s="144">
        <v>8.6255000000000006</v>
      </c>
      <c r="E694" s="144">
        <v>128.41</v>
      </c>
      <c r="F694" s="144">
        <v>0.71525000000000005</v>
      </c>
      <c r="G694" s="144">
        <v>1.0648</v>
      </c>
      <c r="I694" s="144">
        <v>1</v>
      </c>
      <c r="J694" s="145">
        <f t="shared" si="76"/>
        <v>42076</v>
      </c>
      <c r="K694" s="144">
        <f t="shared" ca="1" si="81"/>
        <v>1.0071888006053726</v>
      </c>
      <c r="L694" s="144">
        <f t="shared" ca="1" si="81"/>
        <v>0.67655126749905425</v>
      </c>
      <c r="M694" s="144">
        <f t="shared" ca="1" si="81"/>
        <v>121.46235338630345</v>
      </c>
      <c r="N694" s="144">
        <f t="shared" ca="1" si="81"/>
        <v>8.1588157396897483</v>
      </c>
      <c r="O694" s="144">
        <f t="shared" ca="1" si="81"/>
        <v>61.016174801362091</v>
      </c>
      <c r="P694" s="144">
        <f t="shared" ca="1" si="81"/>
        <v>1</v>
      </c>
      <c r="Q694" s="144">
        <f t="shared" ca="1" si="81"/>
        <v>0.94589481649640572</v>
      </c>
    </row>
    <row r="695" spans="1:17" x14ac:dyDescent="0.25">
      <c r="A695" s="145">
        <v>42075</v>
      </c>
      <c r="B695" s="144">
        <v>1.0612999999999999</v>
      </c>
      <c r="C695" s="144">
        <v>64.213999999999999</v>
      </c>
      <c r="D695" s="144">
        <v>8.5909999999999993</v>
      </c>
      <c r="E695" s="144">
        <v>128.29</v>
      </c>
      <c r="F695" s="144">
        <v>0.70909999999999995</v>
      </c>
      <c r="G695" s="144">
        <v>1.0636000000000001</v>
      </c>
      <c r="I695" s="144">
        <v>1</v>
      </c>
      <c r="J695" s="145">
        <f t="shared" si="76"/>
        <v>42075</v>
      </c>
      <c r="K695" s="144">
        <f t="shared" ref="K695:Q704" ca="1" si="82">OFFSET($A695,0,K$3)/OFFSET($A695,0,$P$3)</f>
        <v>1.0021671534910017</v>
      </c>
      <c r="L695" s="144">
        <f t="shared" ca="1" si="82"/>
        <v>0.6681428436822765</v>
      </c>
      <c r="M695" s="144">
        <f t="shared" ca="1" si="82"/>
        <v>120.88005276547631</v>
      </c>
      <c r="N695" s="144">
        <f t="shared" ca="1" si="82"/>
        <v>8.0947894092151138</v>
      </c>
      <c r="O695" s="144">
        <f t="shared" ca="1" si="82"/>
        <v>60.505040987468206</v>
      </c>
      <c r="P695" s="144">
        <f t="shared" ca="1" si="82"/>
        <v>1</v>
      </c>
      <c r="Q695" s="144">
        <f t="shared" ca="1" si="82"/>
        <v>0.94224064826156606</v>
      </c>
    </row>
    <row r="696" spans="1:17" x14ac:dyDescent="0.25">
      <c r="A696" s="145">
        <v>42074</v>
      </c>
      <c r="B696" s="144">
        <v>1.0578000000000001</v>
      </c>
      <c r="C696" s="144">
        <v>65.656800000000004</v>
      </c>
      <c r="D696" s="144">
        <v>8.657</v>
      </c>
      <c r="E696" s="144">
        <v>128.33000000000001</v>
      </c>
      <c r="F696" s="144">
        <v>0.70355000000000001</v>
      </c>
      <c r="G696" s="144">
        <v>1.0654999999999999</v>
      </c>
      <c r="I696" s="144">
        <v>1</v>
      </c>
      <c r="J696" s="145">
        <f t="shared" si="76"/>
        <v>42074</v>
      </c>
      <c r="K696" s="144">
        <f t="shared" ca="1" si="82"/>
        <v>1.0072792588390997</v>
      </c>
      <c r="L696" s="144">
        <f t="shared" ca="1" si="82"/>
        <v>0.66510682548685951</v>
      </c>
      <c r="M696" s="144">
        <f t="shared" ca="1" si="82"/>
        <v>121.31782945736434</v>
      </c>
      <c r="N696" s="144">
        <f t="shared" ca="1" si="82"/>
        <v>8.1839667233881634</v>
      </c>
      <c r="O696" s="144">
        <f t="shared" ca="1" si="82"/>
        <v>62.069200226885989</v>
      </c>
      <c r="P696" s="144">
        <f t="shared" ca="1" si="82"/>
        <v>1</v>
      </c>
      <c r="Q696" s="144">
        <f t="shared" ca="1" si="82"/>
        <v>0.94535829079221023</v>
      </c>
    </row>
    <row r="697" spans="1:17" x14ac:dyDescent="0.25">
      <c r="A697" s="145">
        <v>42073</v>
      </c>
      <c r="B697" s="144">
        <v>1.0738000000000001</v>
      </c>
      <c r="C697" s="144">
        <v>65.983800000000002</v>
      </c>
      <c r="D697" s="144">
        <v>8.6395</v>
      </c>
      <c r="E697" s="144">
        <v>130.29</v>
      </c>
      <c r="F697" s="144">
        <v>0.71279999999999999</v>
      </c>
      <c r="G697" s="144">
        <v>1.0703</v>
      </c>
      <c r="I697" s="144">
        <v>1</v>
      </c>
      <c r="J697" s="145">
        <f t="shared" si="76"/>
        <v>42073</v>
      </c>
      <c r="K697" s="144">
        <f t="shared" ca="1" si="82"/>
        <v>0.99674054758800512</v>
      </c>
      <c r="L697" s="144">
        <f t="shared" ca="1" si="82"/>
        <v>0.66381076550568074</v>
      </c>
      <c r="M697" s="144">
        <f t="shared" ca="1" si="82"/>
        <v>121.33544421680013</v>
      </c>
      <c r="N697" s="144">
        <f t="shared" ca="1" si="82"/>
        <v>8.045725460979698</v>
      </c>
      <c r="O697" s="144">
        <f t="shared" ca="1" si="82"/>
        <v>61.448873160737563</v>
      </c>
      <c r="P697" s="144">
        <f t="shared" ca="1" si="82"/>
        <v>1</v>
      </c>
      <c r="Q697" s="144">
        <f t="shared" ca="1" si="82"/>
        <v>0.93127211771279561</v>
      </c>
    </row>
    <row r="698" spans="1:17" x14ac:dyDescent="0.25">
      <c r="A698" s="145">
        <v>42072</v>
      </c>
      <c r="B698" s="144">
        <v>1.0860000000000001</v>
      </c>
      <c r="C698" s="144">
        <v>66.06</v>
      </c>
      <c r="D698" s="144">
        <v>8.5785</v>
      </c>
      <c r="E698" s="144">
        <v>131.31</v>
      </c>
      <c r="F698" s="144">
        <v>0.71860000000000002</v>
      </c>
      <c r="G698" s="144">
        <v>1.0690999999999999</v>
      </c>
      <c r="I698" s="144">
        <v>1</v>
      </c>
      <c r="J698" s="145">
        <f t="shared" si="76"/>
        <v>42072</v>
      </c>
      <c r="K698" s="144">
        <f t="shared" ca="1" si="82"/>
        <v>0.9844383057090238</v>
      </c>
      <c r="L698" s="144">
        <f t="shared" ca="1" si="82"/>
        <v>0.66169429097605892</v>
      </c>
      <c r="M698" s="144">
        <f t="shared" ca="1" si="82"/>
        <v>120.91160220994475</v>
      </c>
      <c r="N698" s="144">
        <f t="shared" ca="1" si="82"/>
        <v>7.8991712707182318</v>
      </c>
      <c r="O698" s="144">
        <f t="shared" ca="1" si="82"/>
        <v>60.828729281767956</v>
      </c>
      <c r="P698" s="144">
        <f t="shared" ca="1" si="82"/>
        <v>1</v>
      </c>
      <c r="Q698" s="144">
        <f t="shared" ca="1" si="82"/>
        <v>0.92081031307550643</v>
      </c>
    </row>
    <row r="699" spans="1:17" x14ac:dyDescent="0.25">
      <c r="A699" s="145">
        <v>42071</v>
      </c>
      <c r="B699" s="144">
        <v>1.0963000000000001</v>
      </c>
      <c r="C699" s="144">
        <v>65.216999999999999</v>
      </c>
      <c r="D699" s="144">
        <v>8.5419999999999998</v>
      </c>
      <c r="E699" s="144">
        <v>131.47999999999999</v>
      </c>
      <c r="F699" s="144">
        <v>0.72199999999999998</v>
      </c>
      <c r="G699" s="144">
        <v>1.07</v>
      </c>
      <c r="I699" s="144">
        <v>1</v>
      </c>
      <c r="J699" s="145">
        <f t="shared" si="76"/>
        <v>42071</v>
      </c>
      <c r="K699" s="144">
        <f t="shared" ca="1" si="82"/>
        <v>0.97601021618170214</v>
      </c>
      <c r="L699" s="144">
        <f t="shared" ca="1" si="82"/>
        <v>0.65857885615251299</v>
      </c>
      <c r="M699" s="144">
        <f t="shared" ca="1" si="82"/>
        <v>119.93067590987867</v>
      </c>
      <c r="N699" s="144">
        <f t="shared" ca="1" si="82"/>
        <v>7.791662866003831</v>
      </c>
      <c r="O699" s="144">
        <f t="shared" ca="1" si="82"/>
        <v>59.48827875581501</v>
      </c>
      <c r="P699" s="144">
        <f t="shared" ca="1" si="82"/>
        <v>1</v>
      </c>
      <c r="Q699" s="144">
        <f t="shared" ca="1" si="82"/>
        <v>0.91215908054364681</v>
      </c>
    </row>
    <row r="700" spans="1:17" x14ac:dyDescent="0.25">
      <c r="A700" s="145">
        <v>42070</v>
      </c>
      <c r="B700" s="144">
        <v>1.0963000000000001</v>
      </c>
      <c r="C700" s="144">
        <v>65.216999999999999</v>
      </c>
      <c r="D700" s="144">
        <v>8.5419999999999998</v>
      </c>
      <c r="E700" s="144">
        <v>131.47999999999999</v>
      </c>
      <c r="F700" s="144">
        <v>0.72199999999999998</v>
      </c>
      <c r="G700" s="144">
        <v>1.07</v>
      </c>
      <c r="I700" s="144">
        <v>1</v>
      </c>
      <c r="J700" s="145">
        <f t="shared" si="76"/>
        <v>42070</v>
      </c>
      <c r="K700" s="144">
        <f t="shared" ca="1" si="82"/>
        <v>0.97601021618170214</v>
      </c>
      <c r="L700" s="144">
        <f t="shared" ca="1" si="82"/>
        <v>0.65857885615251299</v>
      </c>
      <c r="M700" s="144">
        <f t="shared" ca="1" si="82"/>
        <v>119.93067590987867</v>
      </c>
      <c r="N700" s="144">
        <f t="shared" ca="1" si="82"/>
        <v>7.791662866003831</v>
      </c>
      <c r="O700" s="144">
        <f t="shared" ca="1" si="82"/>
        <v>59.48827875581501</v>
      </c>
      <c r="P700" s="144">
        <f t="shared" ca="1" si="82"/>
        <v>1</v>
      </c>
      <c r="Q700" s="144">
        <f t="shared" ca="1" si="82"/>
        <v>0.91215908054364681</v>
      </c>
    </row>
    <row r="701" spans="1:17" x14ac:dyDescent="0.25">
      <c r="A701" s="145">
        <v>42069</v>
      </c>
      <c r="B701" s="144">
        <v>1.0963000000000001</v>
      </c>
      <c r="C701" s="144">
        <v>65.216999999999999</v>
      </c>
      <c r="D701" s="144">
        <v>8.5419999999999998</v>
      </c>
      <c r="E701" s="144">
        <v>131.47999999999999</v>
      </c>
      <c r="F701" s="144">
        <v>0.72199999999999998</v>
      </c>
      <c r="G701" s="144">
        <v>1.07</v>
      </c>
      <c r="I701" s="144">
        <v>1</v>
      </c>
      <c r="J701" s="145">
        <f t="shared" si="76"/>
        <v>42069</v>
      </c>
      <c r="K701" s="144">
        <f t="shared" ca="1" si="82"/>
        <v>0.97601021618170214</v>
      </c>
      <c r="L701" s="144">
        <f t="shared" ca="1" si="82"/>
        <v>0.65857885615251299</v>
      </c>
      <c r="M701" s="144">
        <f t="shared" ca="1" si="82"/>
        <v>119.93067590987867</v>
      </c>
      <c r="N701" s="144">
        <f t="shared" ca="1" si="82"/>
        <v>7.791662866003831</v>
      </c>
      <c r="O701" s="144">
        <f t="shared" ca="1" si="82"/>
        <v>59.48827875581501</v>
      </c>
      <c r="P701" s="144">
        <f t="shared" ca="1" si="82"/>
        <v>1</v>
      </c>
      <c r="Q701" s="144">
        <f t="shared" ca="1" si="82"/>
        <v>0.91215908054364681</v>
      </c>
    </row>
    <row r="702" spans="1:17" x14ac:dyDescent="0.25">
      <c r="A702" s="145">
        <v>42068</v>
      </c>
      <c r="B702" s="144">
        <v>1.1069</v>
      </c>
      <c r="C702" s="144">
        <v>67.609499999999997</v>
      </c>
      <c r="D702" s="144">
        <v>8.5459999999999994</v>
      </c>
      <c r="E702" s="144">
        <v>133.1</v>
      </c>
      <c r="F702" s="144">
        <v>0.72509999999999997</v>
      </c>
      <c r="G702" s="144">
        <v>1.0697000000000001</v>
      </c>
      <c r="I702" s="144">
        <v>1</v>
      </c>
      <c r="J702" s="145">
        <f t="shared" si="76"/>
        <v>42068</v>
      </c>
      <c r="K702" s="144">
        <f t="shared" ca="1" si="82"/>
        <v>0.96639262806034876</v>
      </c>
      <c r="L702" s="144">
        <f t="shared" ca="1" si="82"/>
        <v>0.65507272563013819</v>
      </c>
      <c r="M702" s="144">
        <f t="shared" ca="1" si="82"/>
        <v>120.24573132170927</v>
      </c>
      <c r="N702" s="144">
        <f t="shared" ca="1" si="82"/>
        <v>7.7206613063510696</v>
      </c>
      <c r="O702" s="144">
        <f t="shared" ca="1" si="82"/>
        <v>61.080043364350885</v>
      </c>
      <c r="P702" s="144">
        <f t="shared" ca="1" si="82"/>
        <v>1</v>
      </c>
      <c r="Q702" s="144">
        <f t="shared" ca="1" si="82"/>
        <v>0.90342397687234621</v>
      </c>
    </row>
    <row r="703" spans="1:17" x14ac:dyDescent="0.25">
      <c r="A703" s="145">
        <v>42067</v>
      </c>
      <c r="B703" s="144">
        <v>1.1124000000000001</v>
      </c>
      <c r="C703" s="144">
        <v>68.634</v>
      </c>
      <c r="D703" s="144">
        <v>8.6144999999999996</v>
      </c>
      <c r="E703" s="144">
        <v>133.15</v>
      </c>
      <c r="F703" s="144">
        <v>0.72589999999999999</v>
      </c>
      <c r="G703" s="144">
        <v>1.0693999999999999</v>
      </c>
      <c r="I703" s="144">
        <v>1</v>
      </c>
      <c r="J703" s="145">
        <f t="shared" si="76"/>
        <v>42067</v>
      </c>
      <c r="K703" s="144">
        <f t="shared" ca="1" si="82"/>
        <v>0.96134483998561659</v>
      </c>
      <c r="L703" s="144">
        <f t="shared" ca="1" si="82"/>
        <v>0.6525530384753685</v>
      </c>
      <c r="M703" s="144">
        <f t="shared" ca="1" si="82"/>
        <v>119.69615246314275</v>
      </c>
      <c r="N703" s="144">
        <f t="shared" ca="1" si="82"/>
        <v>7.7440668824163961</v>
      </c>
      <c r="O703" s="144">
        <f t="shared" ca="1" si="82"/>
        <v>61.699029126213588</v>
      </c>
      <c r="P703" s="144">
        <f t="shared" ca="1" si="82"/>
        <v>1</v>
      </c>
      <c r="Q703" s="144">
        <f t="shared" ca="1" si="82"/>
        <v>0.89895720963682124</v>
      </c>
    </row>
    <row r="704" spans="1:17" x14ac:dyDescent="0.25">
      <c r="A704" s="145">
        <v>42066</v>
      </c>
      <c r="B704" s="144">
        <v>1.1168</v>
      </c>
      <c r="C704" s="144">
        <v>69.56</v>
      </c>
      <c r="D704" s="144">
        <v>8.6095000000000006</v>
      </c>
      <c r="E704" s="144">
        <v>133.74</v>
      </c>
      <c r="F704" s="144">
        <v>0.72760000000000002</v>
      </c>
      <c r="G704" s="144">
        <v>1.0736000000000001</v>
      </c>
      <c r="I704" s="144">
        <v>1</v>
      </c>
      <c r="J704" s="145">
        <f t="shared" si="76"/>
        <v>42066</v>
      </c>
      <c r="K704" s="144">
        <f t="shared" ca="1" si="82"/>
        <v>0.96131805157593131</v>
      </c>
      <c r="L704" s="144">
        <f t="shared" ca="1" si="82"/>
        <v>0.65150429799426934</v>
      </c>
      <c r="M704" s="144">
        <f t="shared" ca="1" si="82"/>
        <v>119.7528653295129</v>
      </c>
      <c r="N704" s="144">
        <f t="shared" ca="1" si="82"/>
        <v>7.7090795128939833</v>
      </c>
      <c r="O704" s="144">
        <f t="shared" ca="1" si="82"/>
        <v>62.285100286532952</v>
      </c>
      <c r="P704" s="144">
        <f t="shared" ca="1" si="82"/>
        <v>1</v>
      </c>
      <c r="Q704" s="144">
        <f t="shared" ca="1" si="82"/>
        <v>0.89541547277936961</v>
      </c>
    </row>
    <row r="705" spans="1:17" x14ac:dyDescent="0.25">
      <c r="A705" s="145">
        <v>42065</v>
      </c>
      <c r="B705" s="144">
        <v>1.1227</v>
      </c>
      <c r="C705" s="144">
        <v>70.003600000000006</v>
      </c>
      <c r="D705" s="144">
        <v>8.6084999999999994</v>
      </c>
      <c r="E705" s="144">
        <v>134.47</v>
      </c>
      <c r="F705" s="144">
        <v>0.72940000000000005</v>
      </c>
      <c r="G705" s="144">
        <v>1.0724</v>
      </c>
      <c r="I705" s="144">
        <v>1</v>
      </c>
      <c r="J705" s="145">
        <f t="shared" si="76"/>
        <v>42065</v>
      </c>
      <c r="K705" s="144">
        <f t="shared" ref="K705:Q714" ca="1" si="83">OFFSET($A705,0,K$3)/OFFSET($A705,0,$P$3)</f>
        <v>0.95519729224191685</v>
      </c>
      <c r="L705" s="144">
        <f t="shared" ca="1" si="83"/>
        <v>0.64968379798699571</v>
      </c>
      <c r="M705" s="144">
        <f t="shared" ca="1" si="83"/>
        <v>119.77375968647011</v>
      </c>
      <c r="N705" s="144">
        <f t="shared" ca="1" si="83"/>
        <v>7.667676137881891</v>
      </c>
      <c r="O705" s="144">
        <f t="shared" ca="1" si="83"/>
        <v>62.352899260710792</v>
      </c>
      <c r="P705" s="144">
        <f t="shared" ca="1" si="83"/>
        <v>1</v>
      </c>
      <c r="Q705" s="144">
        <f t="shared" ca="1" si="83"/>
        <v>0.89070989578694215</v>
      </c>
    </row>
    <row r="706" spans="1:17" x14ac:dyDescent="0.25">
      <c r="A706" s="145">
        <v>42064</v>
      </c>
      <c r="B706" s="144">
        <v>1.1240000000000001</v>
      </c>
      <c r="C706" s="144">
        <v>69.2</v>
      </c>
      <c r="D706" s="144">
        <v>8.5739999999999998</v>
      </c>
      <c r="E706" s="144">
        <v>134.05000000000001</v>
      </c>
      <c r="F706" s="144">
        <v>0.7278</v>
      </c>
      <c r="G706" s="144">
        <v>1.0636000000000001</v>
      </c>
      <c r="I706" s="144">
        <v>1</v>
      </c>
      <c r="J706" s="145">
        <f t="shared" si="76"/>
        <v>42064</v>
      </c>
      <c r="K706" s="144">
        <f t="shared" ca="1" si="83"/>
        <v>0.94626334519572952</v>
      </c>
      <c r="L706" s="144">
        <f t="shared" ca="1" si="83"/>
        <v>0.64750889679715296</v>
      </c>
      <c r="M706" s="144">
        <f t="shared" ca="1" si="83"/>
        <v>119.26156583629893</v>
      </c>
      <c r="N706" s="144">
        <f t="shared" ca="1" si="83"/>
        <v>7.6281138790035579</v>
      </c>
      <c r="O706" s="144">
        <f t="shared" ca="1" si="83"/>
        <v>61.565836298932382</v>
      </c>
      <c r="P706" s="144">
        <f t="shared" ca="1" si="83"/>
        <v>1</v>
      </c>
      <c r="Q706" s="144">
        <f t="shared" ca="1" si="83"/>
        <v>0.88967971530249101</v>
      </c>
    </row>
    <row r="707" spans="1:17" x14ac:dyDescent="0.25">
      <c r="A707" s="145">
        <v>42063</v>
      </c>
      <c r="B707" s="144">
        <v>1.1240000000000001</v>
      </c>
      <c r="C707" s="144">
        <v>69.2</v>
      </c>
      <c r="D707" s="144">
        <v>8.5739999999999998</v>
      </c>
      <c r="E707" s="144">
        <v>134.05000000000001</v>
      </c>
      <c r="F707" s="144">
        <v>0.7278</v>
      </c>
      <c r="G707" s="144">
        <v>1.0636000000000001</v>
      </c>
      <c r="I707" s="144">
        <v>1</v>
      </c>
      <c r="J707" s="145">
        <f t="shared" si="76"/>
        <v>42063</v>
      </c>
      <c r="K707" s="144">
        <f t="shared" ca="1" si="83"/>
        <v>0.94626334519572952</v>
      </c>
      <c r="L707" s="144">
        <f t="shared" ca="1" si="83"/>
        <v>0.64750889679715296</v>
      </c>
      <c r="M707" s="144">
        <f t="shared" ca="1" si="83"/>
        <v>119.26156583629893</v>
      </c>
      <c r="N707" s="144">
        <f t="shared" ca="1" si="83"/>
        <v>7.6281138790035579</v>
      </c>
      <c r="O707" s="144">
        <f t="shared" ca="1" si="83"/>
        <v>61.565836298932382</v>
      </c>
      <c r="P707" s="144">
        <f t="shared" ca="1" si="83"/>
        <v>1</v>
      </c>
      <c r="Q707" s="144">
        <f t="shared" ca="1" si="83"/>
        <v>0.88967971530249101</v>
      </c>
    </row>
    <row r="708" spans="1:17" x14ac:dyDescent="0.25">
      <c r="A708" s="145">
        <v>42062</v>
      </c>
      <c r="B708" s="144">
        <v>1.1240000000000001</v>
      </c>
      <c r="C708" s="144">
        <v>69.2</v>
      </c>
      <c r="D708" s="144">
        <v>8.5739999999999998</v>
      </c>
      <c r="E708" s="144">
        <v>134.05000000000001</v>
      </c>
      <c r="F708" s="144">
        <v>0.7278</v>
      </c>
      <c r="G708" s="144">
        <v>1.0636000000000001</v>
      </c>
      <c r="I708" s="144">
        <v>1</v>
      </c>
      <c r="J708" s="145">
        <f t="shared" si="76"/>
        <v>42062</v>
      </c>
      <c r="K708" s="144">
        <f t="shared" ca="1" si="83"/>
        <v>0.94626334519572952</v>
      </c>
      <c r="L708" s="144">
        <f t="shared" ca="1" si="83"/>
        <v>0.64750889679715296</v>
      </c>
      <c r="M708" s="144">
        <f t="shared" ca="1" si="83"/>
        <v>119.26156583629893</v>
      </c>
      <c r="N708" s="144">
        <f t="shared" ca="1" si="83"/>
        <v>7.6281138790035579</v>
      </c>
      <c r="O708" s="144">
        <f t="shared" ca="1" si="83"/>
        <v>61.565836298932382</v>
      </c>
      <c r="P708" s="144">
        <f t="shared" ca="1" si="83"/>
        <v>1</v>
      </c>
      <c r="Q708" s="144">
        <f t="shared" ca="1" si="83"/>
        <v>0.88967971530249101</v>
      </c>
    </row>
    <row r="709" spans="1:17" x14ac:dyDescent="0.25">
      <c r="A709" s="145">
        <v>42061</v>
      </c>
      <c r="B709" s="144">
        <v>1.1316999999999999</v>
      </c>
      <c r="C709" s="144">
        <v>68.816500000000005</v>
      </c>
      <c r="D709" s="144">
        <v>8.5640000000000001</v>
      </c>
      <c r="E709" s="144">
        <v>134.54</v>
      </c>
      <c r="F709" s="144">
        <v>0.73009999999999997</v>
      </c>
      <c r="G709" s="144">
        <v>1.0745</v>
      </c>
      <c r="I709" s="144">
        <v>1</v>
      </c>
      <c r="J709" s="145">
        <f t="shared" ref="J709:J772" si="84">A709</f>
        <v>42061</v>
      </c>
      <c r="K709" s="144">
        <f t="shared" ca="1" si="83"/>
        <v>0.94945656976230453</v>
      </c>
      <c r="L709" s="144">
        <f t="shared" ca="1" si="83"/>
        <v>0.64513563665282325</v>
      </c>
      <c r="M709" s="144">
        <f t="shared" ca="1" si="83"/>
        <v>118.88309622691526</v>
      </c>
      <c r="N709" s="144">
        <f t="shared" ca="1" si="83"/>
        <v>7.5673765132102151</v>
      </c>
      <c r="O709" s="144">
        <f t="shared" ca="1" si="83"/>
        <v>60.808076345321204</v>
      </c>
      <c r="P709" s="144">
        <f t="shared" ca="1" si="83"/>
        <v>1</v>
      </c>
      <c r="Q709" s="144">
        <f t="shared" ca="1" si="83"/>
        <v>0.8836264027569144</v>
      </c>
    </row>
    <row r="710" spans="1:17" x14ac:dyDescent="0.25">
      <c r="A710" s="145">
        <v>42060</v>
      </c>
      <c r="B710" s="144">
        <v>1.1346000000000001</v>
      </c>
      <c r="C710" s="144">
        <v>70.343199999999996</v>
      </c>
      <c r="D710" s="144">
        <v>8.6325000000000003</v>
      </c>
      <c r="E710" s="144">
        <v>134.91999999999999</v>
      </c>
      <c r="F710" s="144">
        <v>0.73280000000000001</v>
      </c>
      <c r="G710" s="144">
        <v>1.0772999999999999</v>
      </c>
      <c r="I710" s="144">
        <v>1</v>
      </c>
      <c r="J710" s="145">
        <f t="shared" si="84"/>
        <v>42060</v>
      </c>
      <c r="K710" s="144">
        <f t="shared" ca="1" si="83"/>
        <v>0.94949762030671592</v>
      </c>
      <c r="L710" s="144">
        <f t="shared" ca="1" si="83"/>
        <v>0.64586638462894408</v>
      </c>
      <c r="M710" s="144">
        <f t="shared" ca="1" si="83"/>
        <v>118.91415476820023</v>
      </c>
      <c r="N710" s="144">
        <f t="shared" ca="1" si="83"/>
        <v>7.608408249603384</v>
      </c>
      <c r="O710" s="144">
        <f t="shared" ca="1" si="83"/>
        <v>61.998237264234085</v>
      </c>
      <c r="P710" s="144">
        <f t="shared" ca="1" si="83"/>
        <v>1</v>
      </c>
      <c r="Q710" s="144">
        <f t="shared" ca="1" si="83"/>
        <v>0.88136788295434509</v>
      </c>
    </row>
    <row r="711" spans="1:17" x14ac:dyDescent="0.25">
      <c r="A711" s="145">
        <v>42059</v>
      </c>
      <c r="B711" s="144">
        <v>1.1328</v>
      </c>
      <c r="C711" s="144">
        <v>71.417400000000001</v>
      </c>
      <c r="D711" s="144">
        <v>8.625</v>
      </c>
      <c r="E711" s="144">
        <v>135.36000000000001</v>
      </c>
      <c r="F711" s="144">
        <v>0.73440000000000005</v>
      </c>
      <c r="G711" s="144">
        <v>1.0754999999999999</v>
      </c>
      <c r="I711" s="144">
        <v>1</v>
      </c>
      <c r="J711" s="145">
        <f t="shared" si="84"/>
        <v>42059</v>
      </c>
      <c r="K711" s="144">
        <f t="shared" ca="1" si="83"/>
        <v>0.94941737288135586</v>
      </c>
      <c r="L711" s="144">
        <f t="shared" ca="1" si="83"/>
        <v>0.64830508474576276</v>
      </c>
      <c r="M711" s="144">
        <f t="shared" ca="1" si="83"/>
        <v>119.49152542372882</v>
      </c>
      <c r="N711" s="144">
        <f t="shared" ca="1" si="83"/>
        <v>7.6138771186440675</v>
      </c>
      <c r="O711" s="144">
        <f t="shared" ca="1" si="83"/>
        <v>63.045021186440678</v>
      </c>
      <c r="P711" s="144">
        <f t="shared" ca="1" si="83"/>
        <v>1</v>
      </c>
      <c r="Q711" s="144">
        <f t="shared" ca="1" si="83"/>
        <v>0.88276836158192085</v>
      </c>
    </row>
    <row r="712" spans="1:17" x14ac:dyDescent="0.25">
      <c r="A712" s="145">
        <v>42058</v>
      </c>
      <c r="B712" s="144">
        <v>1.1297999999999999</v>
      </c>
      <c r="C712" s="144">
        <v>72.562799999999996</v>
      </c>
      <c r="D712" s="144">
        <v>8.6404999999999994</v>
      </c>
      <c r="E712" s="144">
        <v>134.5</v>
      </c>
      <c r="F712" s="144">
        <v>0.73519999999999996</v>
      </c>
      <c r="G712" s="144">
        <v>1.0727</v>
      </c>
      <c r="I712" s="144">
        <v>1</v>
      </c>
      <c r="J712" s="145">
        <f t="shared" si="84"/>
        <v>42058</v>
      </c>
      <c r="K712" s="144">
        <f t="shared" ca="1" si="83"/>
        <v>0.94946008143034166</v>
      </c>
      <c r="L712" s="144">
        <f t="shared" ca="1" si="83"/>
        <v>0.6507346432996991</v>
      </c>
      <c r="M712" s="144">
        <f t="shared" ca="1" si="83"/>
        <v>119.04761904761905</v>
      </c>
      <c r="N712" s="144">
        <f t="shared" ca="1" si="83"/>
        <v>7.647813772349088</v>
      </c>
      <c r="O712" s="144">
        <f t="shared" ca="1" si="83"/>
        <v>64.226234731810948</v>
      </c>
      <c r="P712" s="144">
        <f t="shared" ca="1" si="83"/>
        <v>1</v>
      </c>
      <c r="Q712" s="144">
        <f t="shared" ca="1" si="83"/>
        <v>0.88511240927597812</v>
      </c>
    </row>
    <row r="713" spans="1:17" x14ac:dyDescent="0.25">
      <c r="A713" s="145">
        <v>42057</v>
      </c>
      <c r="B713" s="144">
        <v>1.1297999999999999</v>
      </c>
      <c r="C713" s="144">
        <v>70.2</v>
      </c>
      <c r="D713" s="144">
        <v>8.593</v>
      </c>
      <c r="E713" s="144">
        <v>133.91</v>
      </c>
      <c r="F713" s="144">
        <v>0.73480000000000001</v>
      </c>
      <c r="G713" s="144">
        <v>1.0718000000000001</v>
      </c>
      <c r="I713" s="144">
        <v>1</v>
      </c>
      <c r="J713" s="145">
        <f t="shared" si="84"/>
        <v>42057</v>
      </c>
      <c r="K713" s="144">
        <f t="shared" ca="1" si="83"/>
        <v>0.94866348026199343</v>
      </c>
      <c r="L713" s="144">
        <f t="shared" ca="1" si="83"/>
        <v>0.65038059833598871</v>
      </c>
      <c r="M713" s="144">
        <f t="shared" ca="1" si="83"/>
        <v>118.52540272614623</v>
      </c>
      <c r="N713" s="144">
        <f t="shared" ca="1" si="83"/>
        <v>7.6057709329084799</v>
      </c>
      <c r="O713" s="144">
        <f t="shared" ca="1" si="83"/>
        <v>62.134891131173667</v>
      </c>
      <c r="P713" s="144">
        <f t="shared" ca="1" si="83"/>
        <v>1</v>
      </c>
      <c r="Q713" s="144">
        <f t="shared" ca="1" si="83"/>
        <v>0.88511240927597812</v>
      </c>
    </row>
    <row r="714" spans="1:17" x14ac:dyDescent="0.25">
      <c r="A714" s="145">
        <v>42056</v>
      </c>
      <c r="B714" s="144">
        <v>1.1297999999999999</v>
      </c>
      <c r="C714" s="144">
        <v>70.2</v>
      </c>
      <c r="D714" s="144">
        <v>8.593</v>
      </c>
      <c r="E714" s="144">
        <v>133.91</v>
      </c>
      <c r="F714" s="144">
        <v>0.73480000000000001</v>
      </c>
      <c r="G714" s="144">
        <v>1.0718000000000001</v>
      </c>
      <c r="I714" s="144">
        <v>1</v>
      </c>
      <c r="J714" s="145">
        <f t="shared" si="84"/>
        <v>42056</v>
      </c>
      <c r="K714" s="144">
        <f t="shared" ca="1" si="83"/>
        <v>0.94866348026199343</v>
      </c>
      <c r="L714" s="144">
        <f t="shared" ca="1" si="83"/>
        <v>0.65038059833598871</v>
      </c>
      <c r="M714" s="144">
        <f t="shared" ca="1" si="83"/>
        <v>118.52540272614623</v>
      </c>
      <c r="N714" s="144">
        <f t="shared" ca="1" si="83"/>
        <v>7.6057709329084799</v>
      </c>
      <c r="O714" s="144">
        <f t="shared" ca="1" si="83"/>
        <v>62.134891131173667</v>
      </c>
      <c r="P714" s="144">
        <f t="shared" ca="1" si="83"/>
        <v>1</v>
      </c>
      <c r="Q714" s="144">
        <f t="shared" ca="1" si="83"/>
        <v>0.88511240927597812</v>
      </c>
    </row>
    <row r="715" spans="1:17" x14ac:dyDescent="0.25">
      <c r="A715" s="145">
        <v>42055</v>
      </c>
      <c r="B715" s="144">
        <v>1.1297999999999999</v>
      </c>
      <c r="C715" s="144">
        <v>70.2</v>
      </c>
      <c r="D715" s="144">
        <v>8.593</v>
      </c>
      <c r="E715" s="144">
        <v>133.91</v>
      </c>
      <c r="F715" s="144">
        <v>0.73480000000000001</v>
      </c>
      <c r="G715" s="144">
        <v>1.0718000000000001</v>
      </c>
      <c r="I715" s="144">
        <v>1</v>
      </c>
      <c r="J715" s="145">
        <f t="shared" si="84"/>
        <v>42055</v>
      </c>
      <c r="K715" s="144">
        <f t="shared" ref="K715:Q724" ca="1" si="85">OFFSET($A715,0,K$3)/OFFSET($A715,0,$P$3)</f>
        <v>0.94866348026199343</v>
      </c>
      <c r="L715" s="144">
        <f t="shared" ca="1" si="85"/>
        <v>0.65038059833598871</v>
      </c>
      <c r="M715" s="144">
        <f t="shared" ca="1" si="85"/>
        <v>118.52540272614623</v>
      </c>
      <c r="N715" s="144">
        <f t="shared" ca="1" si="85"/>
        <v>7.6057709329084799</v>
      </c>
      <c r="O715" s="144">
        <f t="shared" ca="1" si="85"/>
        <v>62.134891131173667</v>
      </c>
      <c r="P715" s="144">
        <f t="shared" ca="1" si="85"/>
        <v>1</v>
      </c>
      <c r="Q715" s="144">
        <f t="shared" ca="1" si="85"/>
        <v>0.88511240927597812</v>
      </c>
    </row>
    <row r="716" spans="1:17" x14ac:dyDescent="0.25">
      <c r="A716" s="145">
        <v>42054</v>
      </c>
      <c r="B716" s="144">
        <v>1.1387</v>
      </c>
      <c r="C716" s="144">
        <v>70.713300000000004</v>
      </c>
      <c r="D716" s="144">
        <v>8.6449999999999996</v>
      </c>
      <c r="E716" s="144">
        <v>135.52000000000001</v>
      </c>
      <c r="F716" s="144">
        <v>0.7379</v>
      </c>
      <c r="G716" s="144">
        <v>1.0795999999999999</v>
      </c>
      <c r="I716" s="144">
        <v>1</v>
      </c>
      <c r="J716" s="145">
        <f t="shared" si="84"/>
        <v>42054</v>
      </c>
      <c r="K716" s="144">
        <f t="shared" ca="1" si="85"/>
        <v>0.94809870905418447</v>
      </c>
      <c r="L716" s="144">
        <f t="shared" ca="1" si="85"/>
        <v>0.64801967155528228</v>
      </c>
      <c r="M716" s="144">
        <f t="shared" ca="1" si="85"/>
        <v>119.01290945815404</v>
      </c>
      <c r="N716" s="144">
        <f t="shared" ca="1" si="85"/>
        <v>7.5919908667779037</v>
      </c>
      <c r="O716" s="144">
        <f t="shared" ca="1" si="85"/>
        <v>62.100026345832966</v>
      </c>
      <c r="P716" s="144">
        <f t="shared" ca="1" si="85"/>
        <v>1</v>
      </c>
      <c r="Q716" s="144">
        <f t="shared" ca="1" si="85"/>
        <v>0.87819443224729954</v>
      </c>
    </row>
    <row r="717" spans="1:17" x14ac:dyDescent="0.25">
      <c r="A717" s="145">
        <v>42053</v>
      </c>
      <c r="B717" s="144">
        <v>1.1372</v>
      </c>
      <c r="C717" s="144">
        <v>70.571399999999997</v>
      </c>
      <c r="D717" s="144">
        <v>8.548</v>
      </c>
      <c r="E717" s="144">
        <v>135.69</v>
      </c>
      <c r="F717" s="144">
        <v>0.73719999999999997</v>
      </c>
      <c r="G717" s="144">
        <v>1.0707</v>
      </c>
      <c r="I717" s="144">
        <v>1</v>
      </c>
      <c r="J717" s="145">
        <f t="shared" si="84"/>
        <v>42053</v>
      </c>
      <c r="K717" s="144">
        <f t="shared" ca="1" si="85"/>
        <v>0.94152303904326418</v>
      </c>
      <c r="L717" s="144">
        <f t="shared" ca="1" si="85"/>
        <v>0.64825888146324306</v>
      </c>
      <c r="M717" s="144">
        <f t="shared" ca="1" si="85"/>
        <v>119.31938093563137</v>
      </c>
      <c r="N717" s="144">
        <f t="shared" ca="1" si="85"/>
        <v>7.5167077031304963</v>
      </c>
      <c r="O717" s="144">
        <f t="shared" ca="1" si="85"/>
        <v>62.05715793176222</v>
      </c>
      <c r="P717" s="144">
        <f t="shared" ca="1" si="85"/>
        <v>1</v>
      </c>
      <c r="Q717" s="144">
        <f t="shared" ca="1" si="85"/>
        <v>0.87935279634189234</v>
      </c>
    </row>
    <row r="718" spans="1:17" x14ac:dyDescent="0.25">
      <c r="A718" s="145">
        <v>42052</v>
      </c>
      <c r="B718" s="144">
        <v>1.1415</v>
      </c>
      <c r="C718" s="144">
        <v>71.440899999999999</v>
      </c>
      <c r="D718" s="144">
        <v>8.5724999999999998</v>
      </c>
      <c r="E718" s="144">
        <v>135.61000000000001</v>
      </c>
      <c r="F718" s="144">
        <v>0.74339999999999995</v>
      </c>
      <c r="G718" s="144">
        <v>1.0630999999999999</v>
      </c>
      <c r="I718" s="144">
        <v>1</v>
      </c>
      <c r="J718" s="145">
        <f t="shared" si="84"/>
        <v>42052</v>
      </c>
      <c r="K718" s="144">
        <f t="shared" ca="1" si="85"/>
        <v>0.93131844064826974</v>
      </c>
      <c r="L718" s="144">
        <f t="shared" ca="1" si="85"/>
        <v>0.65124835742444154</v>
      </c>
      <c r="M718" s="144">
        <f t="shared" ca="1" si="85"/>
        <v>118.79982479194045</v>
      </c>
      <c r="N718" s="144">
        <f t="shared" ca="1" si="85"/>
        <v>7.5098554533508546</v>
      </c>
      <c r="O718" s="144">
        <f t="shared" ca="1" si="85"/>
        <v>62.585107314936486</v>
      </c>
      <c r="P718" s="144">
        <f t="shared" ca="1" si="85"/>
        <v>1</v>
      </c>
      <c r="Q718" s="144">
        <f t="shared" ca="1" si="85"/>
        <v>0.8760402978537013</v>
      </c>
    </row>
    <row r="719" spans="1:17" x14ac:dyDescent="0.25">
      <c r="A719" s="145">
        <v>42051</v>
      </c>
      <c r="B719" s="144">
        <v>1.1408</v>
      </c>
      <c r="C719" s="144">
        <v>71.47</v>
      </c>
      <c r="D719" s="144">
        <v>8.6035000000000004</v>
      </c>
      <c r="E719" s="144">
        <v>135.26</v>
      </c>
      <c r="F719" s="144">
        <v>0.74209999999999998</v>
      </c>
      <c r="G719" s="144">
        <v>1.0626</v>
      </c>
      <c r="I719" s="144">
        <v>1</v>
      </c>
      <c r="J719" s="145">
        <f t="shared" si="84"/>
        <v>42051</v>
      </c>
      <c r="K719" s="144">
        <f t="shared" ca="1" si="85"/>
        <v>0.93145161290322576</v>
      </c>
      <c r="L719" s="144">
        <f t="shared" ca="1" si="85"/>
        <v>0.6505084151472651</v>
      </c>
      <c r="M719" s="144">
        <f t="shared" ca="1" si="85"/>
        <v>118.56591865357643</v>
      </c>
      <c r="N719" s="144">
        <f t="shared" ca="1" si="85"/>
        <v>7.5416374474053294</v>
      </c>
      <c r="O719" s="144">
        <f t="shared" ca="1" si="85"/>
        <v>62.649018232819074</v>
      </c>
      <c r="P719" s="144">
        <f t="shared" ca="1" si="85"/>
        <v>1</v>
      </c>
      <c r="Q719" s="144">
        <f t="shared" ca="1" si="85"/>
        <v>0.87657784011220197</v>
      </c>
    </row>
    <row r="720" spans="1:17" x14ac:dyDescent="0.25">
      <c r="A720" s="145">
        <v>42050</v>
      </c>
      <c r="B720" s="144">
        <v>1.1380999999999999</v>
      </c>
      <c r="C720" s="144">
        <v>72.989000000000004</v>
      </c>
      <c r="D720" s="144">
        <v>8.6534999999999993</v>
      </c>
      <c r="E720" s="144">
        <v>135.46</v>
      </c>
      <c r="F720" s="144">
        <v>0.74009999999999998</v>
      </c>
      <c r="G720" s="144">
        <v>1.0576000000000001</v>
      </c>
      <c r="I720" s="144">
        <v>1</v>
      </c>
      <c r="J720" s="145">
        <f t="shared" si="84"/>
        <v>42050</v>
      </c>
      <c r="K720" s="144">
        <f t="shared" ca="1" si="85"/>
        <v>0.92926807837624126</v>
      </c>
      <c r="L720" s="144">
        <f t="shared" ca="1" si="85"/>
        <v>0.65029435023284421</v>
      </c>
      <c r="M720" s="144">
        <f t="shared" ca="1" si="85"/>
        <v>119.02293295843953</v>
      </c>
      <c r="N720" s="144">
        <f t="shared" ca="1" si="85"/>
        <v>7.6034619102012124</v>
      </c>
      <c r="O720" s="144">
        <f t="shared" ca="1" si="85"/>
        <v>64.132325806168183</v>
      </c>
      <c r="P720" s="144">
        <f t="shared" ca="1" si="85"/>
        <v>1</v>
      </c>
      <c r="Q720" s="144">
        <f t="shared" ca="1" si="85"/>
        <v>0.87865741147526588</v>
      </c>
    </row>
    <row r="721" spans="1:17" x14ac:dyDescent="0.25">
      <c r="A721" s="145">
        <v>42049</v>
      </c>
      <c r="B721" s="144">
        <v>1.1380999999999999</v>
      </c>
      <c r="C721" s="144">
        <v>72.989000000000004</v>
      </c>
      <c r="D721" s="144">
        <v>8.6534999999999993</v>
      </c>
      <c r="E721" s="144">
        <v>135.46</v>
      </c>
      <c r="F721" s="144">
        <v>0.74009999999999998</v>
      </c>
      <c r="G721" s="144">
        <v>1.0576000000000001</v>
      </c>
      <c r="I721" s="144">
        <v>1</v>
      </c>
      <c r="J721" s="145">
        <f t="shared" si="84"/>
        <v>42049</v>
      </c>
      <c r="K721" s="144">
        <f t="shared" ca="1" si="85"/>
        <v>0.92926807837624126</v>
      </c>
      <c r="L721" s="144">
        <f t="shared" ca="1" si="85"/>
        <v>0.65029435023284421</v>
      </c>
      <c r="M721" s="144">
        <f t="shared" ca="1" si="85"/>
        <v>119.02293295843953</v>
      </c>
      <c r="N721" s="144">
        <f t="shared" ca="1" si="85"/>
        <v>7.6034619102012124</v>
      </c>
      <c r="O721" s="144">
        <f t="shared" ca="1" si="85"/>
        <v>64.132325806168183</v>
      </c>
      <c r="P721" s="144">
        <f t="shared" ca="1" si="85"/>
        <v>1</v>
      </c>
      <c r="Q721" s="144">
        <f t="shared" ca="1" si="85"/>
        <v>0.87865741147526588</v>
      </c>
    </row>
    <row r="722" spans="1:17" x14ac:dyDescent="0.25">
      <c r="A722" s="145">
        <v>42048</v>
      </c>
      <c r="B722" s="144">
        <v>1.1380999999999999</v>
      </c>
      <c r="C722" s="144">
        <v>72.989000000000004</v>
      </c>
      <c r="D722" s="144">
        <v>8.6534999999999993</v>
      </c>
      <c r="E722" s="144">
        <v>135.46</v>
      </c>
      <c r="F722" s="144">
        <v>0.74009999999999998</v>
      </c>
      <c r="G722" s="144">
        <v>1.0576000000000001</v>
      </c>
      <c r="I722" s="144">
        <v>1</v>
      </c>
      <c r="J722" s="145">
        <f t="shared" si="84"/>
        <v>42048</v>
      </c>
      <c r="K722" s="144">
        <f t="shared" ca="1" si="85"/>
        <v>0.92926807837624126</v>
      </c>
      <c r="L722" s="144">
        <f t="shared" ca="1" si="85"/>
        <v>0.65029435023284421</v>
      </c>
      <c r="M722" s="144">
        <f t="shared" ca="1" si="85"/>
        <v>119.02293295843953</v>
      </c>
      <c r="N722" s="144">
        <f t="shared" ca="1" si="85"/>
        <v>7.6034619102012124</v>
      </c>
      <c r="O722" s="144">
        <f t="shared" ca="1" si="85"/>
        <v>64.132325806168183</v>
      </c>
      <c r="P722" s="144">
        <f t="shared" ca="1" si="85"/>
        <v>1</v>
      </c>
      <c r="Q722" s="144">
        <f t="shared" ca="1" si="85"/>
        <v>0.87865741147526588</v>
      </c>
    </row>
    <row r="723" spans="1:17" x14ac:dyDescent="0.25">
      <c r="A723" s="145">
        <v>42047</v>
      </c>
      <c r="B723" s="144">
        <v>1.1328</v>
      </c>
      <c r="C723" s="144">
        <v>75.293499999999995</v>
      </c>
      <c r="D723" s="144">
        <v>8.7424999999999997</v>
      </c>
      <c r="E723" s="144">
        <v>135.72</v>
      </c>
      <c r="F723" s="144">
        <v>0.73760000000000003</v>
      </c>
      <c r="G723" s="144">
        <v>1.0559000000000001</v>
      </c>
      <c r="I723" s="144">
        <v>1</v>
      </c>
      <c r="J723" s="145">
        <f t="shared" si="84"/>
        <v>42047</v>
      </c>
      <c r="K723" s="144">
        <f t="shared" ca="1" si="85"/>
        <v>0.93211511299435035</v>
      </c>
      <c r="L723" s="144">
        <f t="shared" ca="1" si="85"/>
        <v>0.65112994350282483</v>
      </c>
      <c r="M723" s="144">
        <f t="shared" ca="1" si="85"/>
        <v>119.8093220338983</v>
      </c>
      <c r="N723" s="144">
        <f t="shared" ca="1" si="85"/>
        <v>7.7176024011299429</v>
      </c>
      <c r="O723" s="144">
        <f t="shared" ca="1" si="85"/>
        <v>66.46671963276836</v>
      </c>
      <c r="P723" s="144">
        <f t="shared" ca="1" si="85"/>
        <v>1</v>
      </c>
      <c r="Q723" s="144">
        <f t="shared" ca="1" si="85"/>
        <v>0.88276836158192085</v>
      </c>
    </row>
    <row r="724" spans="1:17" x14ac:dyDescent="0.25">
      <c r="A724" s="145">
        <v>42046</v>
      </c>
      <c r="B724" s="144">
        <v>1.1314</v>
      </c>
      <c r="C724" s="144">
        <v>74.66</v>
      </c>
      <c r="D724" s="144">
        <v>8.6020000000000003</v>
      </c>
      <c r="E724" s="144">
        <v>135.5</v>
      </c>
      <c r="F724" s="144">
        <v>0.73960000000000004</v>
      </c>
      <c r="G724" s="144">
        <v>1.0465</v>
      </c>
      <c r="I724" s="144">
        <v>1</v>
      </c>
      <c r="J724" s="145">
        <f t="shared" si="84"/>
        <v>42046</v>
      </c>
      <c r="K724" s="144">
        <f t="shared" ca="1" si="85"/>
        <v>0.92496022626834018</v>
      </c>
      <c r="L724" s="144">
        <f t="shared" ca="1" si="85"/>
        <v>0.65370337634788767</v>
      </c>
      <c r="M724" s="144">
        <f t="shared" ca="1" si="85"/>
        <v>119.76312533144777</v>
      </c>
      <c r="N724" s="144">
        <f t="shared" ca="1" si="85"/>
        <v>7.6029697719639389</v>
      </c>
      <c r="O724" s="144">
        <f t="shared" ca="1" si="85"/>
        <v>65.989040127275942</v>
      </c>
      <c r="P724" s="144">
        <f t="shared" ca="1" si="85"/>
        <v>1</v>
      </c>
      <c r="Q724" s="144">
        <f t="shared" ca="1" si="85"/>
        <v>0.88386070355312008</v>
      </c>
    </row>
    <row r="725" spans="1:17" x14ac:dyDescent="0.25">
      <c r="A725" s="145">
        <v>42045</v>
      </c>
      <c r="B725" s="144">
        <v>1.1296999999999999</v>
      </c>
      <c r="C725" s="144">
        <v>74.5672</v>
      </c>
      <c r="D725" s="144">
        <v>8.5664999999999996</v>
      </c>
      <c r="E725" s="144">
        <v>134.66999999999999</v>
      </c>
      <c r="F725" s="144">
        <v>0.74199999999999999</v>
      </c>
      <c r="G725" s="144">
        <v>1.0457000000000001</v>
      </c>
      <c r="I725" s="144">
        <v>1</v>
      </c>
      <c r="J725" s="145">
        <f t="shared" si="84"/>
        <v>42045</v>
      </c>
      <c r="K725" s="144">
        <f t="shared" ref="K725:Q734" ca="1" si="86">OFFSET($A725,0,K$3)/OFFSET($A725,0,$P$3)</f>
        <v>0.92564397627688777</v>
      </c>
      <c r="L725" s="144">
        <f t="shared" ca="1" si="86"/>
        <v>0.65681154288749233</v>
      </c>
      <c r="M725" s="144">
        <f t="shared" ca="1" si="86"/>
        <v>119.20863946180401</v>
      </c>
      <c r="N725" s="144">
        <f t="shared" ca="1" si="86"/>
        <v>7.5829866336195453</v>
      </c>
      <c r="O725" s="144">
        <f t="shared" ca="1" si="86"/>
        <v>66.006196335310264</v>
      </c>
      <c r="P725" s="144">
        <f t="shared" ca="1" si="86"/>
        <v>1</v>
      </c>
      <c r="Q725" s="144">
        <f t="shared" ca="1" si="86"/>
        <v>0.88519075860848018</v>
      </c>
    </row>
    <row r="726" spans="1:17" x14ac:dyDescent="0.25">
      <c r="A726" s="145">
        <v>42044</v>
      </c>
      <c r="B726" s="144">
        <v>1.1274999999999999</v>
      </c>
      <c r="C726" s="144">
        <v>74.733500000000006</v>
      </c>
      <c r="D726" s="144">
        <v>8.6144999999999996</v>
      </c>
      <c r="E726" s="144">
        <v>133.72</v>
      </c>
      <c r="F726" s="144">
        <v>0.74150000000000005</v>
      </c>
      <c r="G726" s="144">
        <v>1.0427999999999999</v>
      </c>
      <c r="I726" s="144">
        <v>1</v>
      </c>
      <c r="J726" s="145">
        <f t="shared" si="84"/>
        <v>42044</v>
      </c>
      <c r="K726" s="144">
        <f t="shared" ca="1" si="86"/>
        <v>0.92487804878048785</v>
      </c>
      <c r="L726" s="144">
        <f t="shared" ca="1" si="86"/>
        <v>0.65764966740576503</v>
      </c>
      <c r="M726" s="144">
        <f t="shared" ca="1" si="86"/>
        <v>118.59866962305988</v>
      </c>
      <c r="N726" s="144">
        <f t="shared" ca="1" si="86"/>
        <v>7.6403547671840357</v>
      </c>
      <c r="O726" s="144">
        <f t="shared" ca="1" si="86"/>
        <v>66.282483370288261</v>
      </c>
      <c r="P726" s="144">
        <f t="shared" ca="1" si="86"/>
        <v>1</v>
      </c>
      <c r="Q726" s="144">
        <f t="shared" ca="1" si="86"/>
        <v>0.88691796008869184</v>
      </c>
    </row>
    <row r="727" spans="1:17" x14ac:dyDescent="0.25">
      <c r="A727" s="145">
        <v>42043</v>
      </c>
      <c r="B727" s="144">
        <v>1.1447000000000001</v>
      </c>
      <c r="C727" s="144">
        <v>76.86</v>
      </c>
      <c r="D727" s="144">
        <v>8.5715000000000003</v>
      </c>
      <c r="E727" s="144">
        <v>134.28</v>
      </c>
      <c r="F727" s="144">
        <v>0.74729999999999996</v>
      </c>
      <c r="G727" s="144">
        <v>1.0533999999999999</v>
      </c>
      <c r="I727" s="144">
        <v>1</v>
      </c>
      <c r="J727" s="145">
        <f t="shared" si="84"/>
        <v>42043</v>
      </c>
      <c r="K727" s="144">
        <f t="shared" ca="1" si="86"/>
        <v>0.92024111120817664</v>
      </c>
      <c r="L727" s="144">
        <f t="shared" ca="1" si="86"/>
        <v>0.65283480387874548</v>
      </c>
      <c r="M727" s="144">
        <f t="shared" ca="1" si="86"/>
        <v>117.30584432602429</v>
      </c>
      <c r="N727" s="144">
        <f t="shared" ca="1" si="86"/>
        <v>7.4879881191578583</v>
      </c>
      <c r="O727" s="144">
        <f t="shared" ca="1" si="86"/>
        <v>67.144229929239103</v>
      </c>
      <c r="P727" s="144">
        <f t="shared" ca="1" si="86"/>
        <v>1</v>
      </c>
      <c r="Q727" s="144">
        <f t="shared" ca="1" si="86"/>
        <v>0.87359133397396693</v>
      </c>
    </row>
    <row r="728" spans="1:17" x14ac:dyDescent="0.25">
      <c r="A728" s="145">
        <v>42042</v>
      </c>
      <c r="B728" s="144">
        <v>1.1447000000000001</v>
      </c>
      <c r="C728" s="144">
        <v>76.86</v>
      </c>
      <c r="D728" s="144">
        <v>8.5715000000000003</v>
      </c>
      <c r="E728" s="144">
        <v>134.28</v>
      </c>
      <c r="F728" s="144">
        <v>0.74729999999999996</v>
      </c>
      <c r="G728" s="144">
        <v>1.0533999999999999</v>
      </c>
      <c r="I728" s="144">
        <v>1</v>
      </c>
      <c r="J728" s="145">
        <f t="shared" si="84"/>
        <v>42042</v>
      </c>
      <c r="K728" s="144">
        <f t="shared" ca="1" si="86"/>
        <v>0.92024111120817664</v>
      </c>
      <c r="L728" s="144">
        <f t="shared" ca="1" si="86"/>
        <v>0.65283480387874548</v>
      </c>
      <c r="M728" s="144">
        <f t="shared" ca="1" si="86"/>
        <v>117.30584432602429</v>
      </c>
      <c r="N728" s="144">
        <f t="shared" ca="1" si="86"/>
        <v>7.4879881191578583</v>
      </c>
      <c r="O728" s="144">
        <f t="shared" ca="1" si="86"/>
        <v>67.144229929239103</v>
      </c>
      <c r="P728" s="144">
        <f t="shared" ca="1" si="86"/>
        <v>1</v>
      </c>
      <c r="Q728" s="144">
        <f t="shared" ca="1" si="86"/>
        <v>0.87359133397396693</v>
      </c>
    </row>
    <row r="729" spans="1:17" x14ac:dyDescent="0.25">
      <c r="A729" s="145">
        <v>42041</v>
      </c>
      <c r="B729" s="144">
        <v>1.1447000000000001</v>
      </c>
      <c r="C729" s="144">
        <v>76.86</v>
      </c>
      <c r="D729" s="144">
        <v>8.5715000000000003</v>
      </c>
      <c r="E729" s="144">
        <v>134.28</v>
      </c>
      <c r="F729" s="144">
        <v>0.74729999999999996</v>
      </c>
      <c r="G729" s="144">
        <v>1.0533999999999999</v>
      </c>
      <c r="I729" s="144">
        <v>1</v>
      </c>
      <c r="J729" s="145">
        <f t="shared" si="84"/>
        <v>42041</v>
      </c>
      <c r="K729" s="144">
        <f t="shared" ca="1" si="86"/>
        <v>0.92024111120817664</v>
      </c>
      <c r="L729" s="144">
        <f t="shared" ca="1" si="86"/>
        <v>0.65283480387874548</v>
      </c>
      <c r="M729" s="144">
        <f t="shared" ca="1" si="86"/>
        <v>117.30584432602429</v>
      </c>
      <c r="N729" s="144">
        <f t="shared" ca="1" si="86"/>
        <v>7.4879881191578583</v>
      </c>
      <c r="O729" s="144">
        <f t="shared" ca="1" si="86"/>
        <v>67.144229929239103</v>
      </c>
      <c r="P729" s="144">
        <f t="shared" ca="1" si="86"/>
        <v>1</v>
      </c>
      <c r="Q729" s="144">
        <f t="shared" ca="1" si="86"/>
        <v>0.87359133397396693</v>
      </c>
    </row>
    <row r="730" spans="1:17" x14ac:dyDescent="0.25">
      <c r="A730" s="145">
        <v>42040</v>
      </c>
      <c r="B730" s="144">
        <v>1.141</v>
      </c>
      <c r="C730" s="144">
        <v>76.27</v>
      </c>
      <c r="D730" s="144">
        <v>8.6370000000000005</v>
      </c>
      <c r="E730" s="144">
        <v>133.97999999999999</v>
      </c>
      <c r="F730" s="144">
        <v>0.74819999999999998</v>
      </c>
      <c r="G730" s="144">
        <v>1.0587</v>
      </c>
      <c r="I730" s="144">
        <v>1</v>
      </c>
      <c r="J730" s="145">
        <f t="shared" si="84"/>
        <v>42040</v>
      </c>
      <c r="K730" s="144">
        <f t="shared" ca="1" si="86"/>
        <v>0.92787028921998249</v>
      </c>
      <c r="L730" s="144">
        <f t="shared" ca="1" si="86"/>
        <v>0.65574057843996492</v>
      </c>
      <c r="M730" s="144">
        <f t="shared" ca="1" si="86"/>
        <v>117.42331288343557</v>
      </c>
      <c r="N730" s="144">
        <f t="shared" ca="1" si="86"/>
        <v>7.5696757230499561</v>
      </c>
      <c r="O730" s="144">
        <f t="shared" ca="1" si="86"/>
        <v>66.844872918492541</v>
      </c>
      <c r="P730" s="144">
        <f t="shared" ca="1" si="86"/>
        <v>1</v>
      </c>
      <c r="Q730" s="144">
        <f t="shared" ca="1" si="86"/>
        <v>0.87642418930762489</v>
      </c>
    </row>
    <row r="731" spans="1:17" x14ac:dyDescent="0.25">
      <c r="A731" s="145">
        <v>42039</v>
      </c>
      <c r="B731" s="144">
        <v>1.1446000000000001</v>
      </c>
      <c r="C731" s="144">
        <v>75.5</v>
      </c>
      <c r="D731" s="144">
        <v>8.6304999999999996</v>
      </c>
      <c r="E731" s="144">
        <v>134.49</v>
      </c>
      <c r="F731" s="144">
        <v>0.75160000000000005</v>
      </c>
      <c r="G731" s="144">
        <v>1.0602</v>
      </c>
      <c r="I731" s="144">
        <v>1</v>
      </c>
      <c r="J731" s="145">
        <f t="shared" si="84"/>
        <v>42039</v>
      </c>
      <c r="K731" s="144">
        <f t="shared" ca="1" si="86"/>
        <v>0.92626244976410976</v>
      </c>
      <c r="L731" s="144">
        <f t="shared" ca="1" si="86"/>
        <v>0.65664861086842563</v>
      </c>
      <c r="M731" s="144">
        <f t="shared" ca="1" si="86"/>
        <v>117.49956316617158</v>
      </c>
      <c r="N731" s="144">
        <f t="shared" ca="1" si="86"/>
        <v>7.5401887122138733</v>
      </c>
      <c r="O731" s="144">
        <f t="shared" ca="1" si="86"/>
        <v>65.961908090162495</v>
      </c>
      <c r="P731" s="144">
        <f t="shared" ca="1" si="86"/>
        <v>1</v>
      </c>
      <c r="Q731" s="144">
        <f t="shared" ca="1" si="86"/>
        <v>0.87366765682334435</v>
      </c>
    </row>
    <row r="732" spans="1:17" x14ac:dyDescent="0.25">
      <c r="A732" s="145">
        <v>42038</v>
      </c>
      <c r="B732" s="144">
        <v>1.1375999999999999</v>
      </c>
      <c r="C732" s="144">
        <v>75.814499999999995</v>
      </c>
      <c r="D732" s="144">
        <v>8.6370000000000005</v>
      </c>
      <c r="E732" s="144">
        <v>133.47999999999999</v>
      </c>
      <c r="F732" s="144">
        <v>0.75395000000000001</v>
      </c>
      <c r="G732" s="144">
        <v>1.0526</v>
      </c>
      <c r="I732" s="144">
        <v>1</v>
      </c>
      <c r="J732" s="145">
        <f t="shared" si="84"/>
        <v>42038</v>
      </c>
      <c r="K732" s="144">
        <f t="shared" ca="1" si="86"/>
        <v>0.92528129395218006</v>
      </c>
      <c r="L732" s="144">
        <f t="shared" ca="1" si="86"/>
        <v>0.66275492264416314</v>
      </c>
      <c r="M732" s="144">
        <f t="shared" ca="1" si="86"/>
        <v>117.33473980309424</v>
      </c>
      <c r="N732" s="144">
        <f t="shared" ca="1" si="86"/>
        <v>7.5922995780590723</v>
      </c>
      <c r="O732" s="144">
        <f t="shared" ca="1" si="86"/>
        <v>66.644251054852319</v>
      </c>
      <c r="P732" s="144">
        <f t="shared" ca="1" si="86"/>
        <v>1</v>
      </c>
      <c r="Q732" s="144">
        <f t="shared" ca="1" si="86"/>
        <v>0.8790436005625879</v>
      </c>
    </row>
    <row r="733" spans="1:17" x14ac:dyDescent="0.25">
      <c r="A733" s="145">
        <v>42037</v>
      </c>
      <c r="B733" s="144">
        <v>1.131</v>
      </c>
      <c r="C733" s="144">
        <v>78.06</v>
      </c>
      <c r="D733" s="144">
        <v>8.7225000000000001</v>
      </c>
      <c r="E733" s="144">
        <v>133.06</v>
      </c>
      <c r="F733" s="144">
        <v>0.75260000000000005</v>
      </c>
      <c r="G733" s="144">
        <v>1.0519000000000001</v>
      </c>
      <c r="I733" s="144">
        <v>1</v>
      </c>
      <c r="J733" s="145">
        <f t="shared" si="84"/>
        <v>42037</v>
      </c>
      <c r="K733" s="144">
        <f t="shared" ca="1" si="86"/>
        <v>0.93006189213085766</v>
      </c>
      <c r="L733" s="144">
        <f t="shared" ca="1" si="86"/>
        <v>0.66542882404951376</v>
      </c>
      <c r="M733" s="144">
        <f t="shared" ca="1" si="86"/>
        <v>117.64809902740937</v>
      </c>
      <c r="N733" s="144">
        <f t="shared" ca="1" si="86"/>
        <v>7.7122015915119366</v>
      </c>
      <c r="O733" s="144">
        <f t="shared" ca="1" si="86"/>
        <v>69.018567639257299</v>
      </c>
      <c r="P733" s="144">
        <f t="shared" ca="1" si="86"/>
        <v>1</v>
      </c>
      <c r="Q733" s="144">
        <f t="shared" ca="1" si="86"/>
        <v>0.88417329796640143</v>
      </c>
    </row>
    <row r="734" spans="1:17" x14ac:dyDescent="0.25">
      <c r="A734" s="145">
        <v>42036</v>
      </c>
      <c r="B734" s="144">
        <v>1.1305000000000001</v>
      </c>
      <c r="C734" s="144">
        <v>79.924999999999997</v>
      </c>
      <c r="D734" s="144">
        <v>8.8335000000000008</v>
      </c>
      <c r="E734" s="144">
        <v>133.08000000000001</v>
      </c>
      <c r="F734" s="144">
        <v>0.75109999999999999</v>
      </c>
      <c r="G734" s="144">
        <v>1.0468</v>
      </c>
      <c r="I734" s="144">
        <v>1</v>
      </c>
      <c r="J734" s="145">
        <f t="shared" si="84"/>
        <v>42036</v>
      </c>
      <c r="K734" s="144">
        <f t="shared" ca="1" si="86"/>
        <v>0.92596196373286144</v>
      </c>
      <c r="L734" s="144">
        <f t="shared" ca="1" si="86"/>
        <v>0.66439628482972135</v>
      </c>
      <c r="M734" s="144">
        <f t="shared" ca="1" si="86"/>
        <v>117.71782397169395</v>
      </c>
      <c r="N734" s="144">
        <f t="shared" ca="1" si="86"/>
        <v>7.8137992038920832</v>
      </c>
      <c r="O734" s="144">
        <f t="shared" ca="1" si="86"/>
        <v>70.698805838124713</v>
      </c>
      <c r="P734" s="144">
        <f t="shared" ca="1" si="86"/>
        <v>1</v>
      </c>
      <c r="Q734" s="144">
        <f t="shared" ca="1" si="86"/>
        <v>0.8845643520566121</v>
      </c>
    </row>
    <row r="735" spans="1:17" x14ac:dyDescent="0.25">
      <c r="A735" s="145">
        <v>42035</v>
      </c>
      <c r="B735" s="144">
        <v>1.1305000000000001</v>
      </c>
      <c r="C735" s="144">
        <v>79.924999999999997</v>
      </c>
      <c r="D735" s="144">
        <v>8.8335000000000008</v>
      </c>
      <c r="E735" s="144">
        <v>133.08000000000001</v>
      </c>
      <c r="F735" s="144">
        <v>0.75109999999999999</v>
      </c>
      <c r="G735" s="144">
        <v>1.0468</v>
      </c>
      <c r="I735" s="144">
        <v>1</v>
      </c>
      <c r="J735" s="145">
        <f t="shared" si="84"/>
        <v>42035</v>
      </c>
      <c r="K735" s="144">
        <f t="shared" ref="K735:Q744" ca="1" si="87">OFFSET($A735,0,K$3)/OFFSET($A735,0,$P$3)</f>
        <v>0.92596196373286144</v>
      </c>
      <c r="L735" s="144">
        <f t="shared" ca="1" si="87"/>
        <v>0.66439628482972135</v>
      </c>
      <c r="M735" s="144">
        <f t="shared" ca="1" si="87"/>
        <v>117.71782397169395</v>
      </c>
      <c r="N735" s="144">
        <f t="shared" ca="1" si="87"/>
        <v>7.8137992038920832</v>
      </c>
      <c r="O735" s="144">
        <f t="shared" ca="1" si="87"/>
        <v>70.698805838124713</v>
      </c>
      <c r="P735" s="144">
        <f t="shared" ca="1" si="87"/>
        <v>1</v>
      </c>
      <c r="Q735" s="144">
        <f t="shared" ca="1" si="87"/>
        <v>0.8845643520566121</v>
      </c>
    </row>
    <row r="736" spans="1:17" x14ac:dyDescent="0.25">
      <c r="A736" s="145">
        <v>42034</v>
      </c>
      <c r="B736" s="144">
        <v>1.1305000000000001</v>
      </c>
      <c r="C736" s="144">
        <v>79.924999999999997</v>
      </c>
      <c r="D736" s="144">
        <v>8.8335000000000008</v>
      </c>
      <c r="E736" s="144">
        <v>133.08000000000001</v>
      </c>
      <c r="F736" s="144">
        <v>0.75109999999999999</v>
      </c>
      <c r="G736" s="144">
        <v>1.0468</v>
      </c>
      <c r="I736" s="144">
        <v>1</v>
      </c>
      <c r="J736" s="145">
        <f t="shared" si="84"/>
        <v>42034</v>
      </c>
      <c r="K736" s="144">
        <f t="shared" ca="1" si="87"/>
        <v>0.92596196373286144</v>
      </c>
      <c r="L736" s="144">
        <f t="shared" ca="1" si="87"/>
        <v>0.66439628482972135</v>
      </c>
      <c r="M736" s="144">
        <f t="shared" ca="1" si="87"/>
        <v>117.71782397169395</v>
      </c>
      <c r="N736" s="144">
        <f t="shared" ca="1" si="87"/>
        <v>7.8137992038920832</v>
      </c>
      <c r="O736" s="144">
        <f t="shared" ca="1" si="87"/>
        <v>70.698805838124713</v>
      </c>
      <c r="P736" s="144">
        <f t="shared" ca="1" si="87"/>
        <v>1</v>
      </c>
      <c r="Q736" s="144">
        <f t="shared" ca="1" si="87"/>
        <v>0.8845643520566121</v>
      </c>
    </row>
    <row r="737" spans="1:17" x14ac:dyDescent="0.25">
      <c r="A737" s="145">
        <v>42033</v>
      </c>
      <c r="B737" s="144">
        <v>1.1315</v>
      </c>
      <c r="C737" s="144">
        <v>78.272599999999997</v>
      </c>
      <c r="D737" s="144">
        <v>8.8230000000000004</v>
      </c>
      <c r="E737" s="144">
        <v>133.43</v>
      </c>
      <c r="F737" s="144">
        <v>0.74775000000000003</v>
      </c>
      <c r="G737" s="144">
        <v>1.0371999999999999</v>
      </c>
      <c r="I737" s="144">
        <v>1</v>
      </c>
      <c r="J737" s="145">
        <f t="shared" si="84"/>
        <v>42033</v>
      </c>
      <c r="K737" s="144">
        <f t="shared" ca="1" si="87"/>
        <v>0.91665930181175426</v>
      </c>
      <c r="L737" s="144">
        <f t="shared" ca="1" si="87"/>
        <v>0.66084843128590376</v>
      </c>
      <c r="M737" s="144">
        <f t="shared" ca="1" si="87"/>
        <v>117.923110914715</v>
      </c>
      <c r="N737" s="144">
        <f t="shared" ca="1" si="87"/>
        <v>7.7976137870083964</v>
      </c>
      <c r="O737" s="144">
        <f t="shared" ca="1" si="87"/>
        <v>69.175961113566061</v>
      </c>
      <c r="P737" s="144">
        <f t="shared" ca="1" si="87"/>
        <v>1</v>
      </c>
      <c r="Q737" s="144">
        <f t="shared" ca="1" si="87"/>
        <v>0.88378258948298727</v>
      </c>
    </row>
    <row r="738" spans="1:17" x14ac:dyDescent="0.25">
      <c r="A738" s="145">
        <v>42032</v>
      </c>
      <c r="B738" s="144">
        <v>1.1344000000000001</v>
      </c>
      <c r="C738" s="144">
        <v>76.912000000000006</v>
      </c>
      <c r="D738" s="144">
        <v>8.7949999999999999</v>
      </c>
      <c r="E738" s="144">
        <v>133.69999999999999</v>
      </c>
      <c r="F738" s="144">
        <v>0.74660000000000004</v>
      </c>
      <c r="G738" s="144">
        <v>1.0242</v>
      </c>
      <c r="I738" s="144">
        <v>1</v>
      </c>
      <c r="J738" s="145">
        <f t="shared" si="84"/>
        <v>42032</v>
      </c>
      <c r="K738" s="144">
        <f t="shared" ca="1" si="87"/>
        <v>0.90285613540197451</v>
      </c>
      <c r="L738" s="144">
        <f t="shared" ca="1" si="87"/>
        <v>0.65814527503526088</v>
      </c>
      <c r="M738" s="144">
        <f t="shared" ca="1" si="87"/>
        <v>117.85966149506345</v>
      </c>
      <c r="N738" s="144">
        <f t="shared" ca="1" si="87"/>
        <v>7.7529971791255283</v>
      </c>
      <c r="O738" s="144">
        <f t="shared" ca="1" si="87"/>
        <v>67.799717912552893</v>
      </c>
      <c r="P738" s="144">
        <f t="shared" ca="1" si="87"/>
        <v>1</v>
      </c>
      <c r="Q738" s="144">
        <f t="shared" ca="1" si="87"/>
        <v>0.88152327221438642</v>
      </c>
    </row>
    <row r="739" spans="1:17" x14ac:dyDescent="0.25">
      <c r="A739" s="145">
        <v>42031</v>
      </c>
      <c r="B739" s="144">
        <v>1.1306</v>
      </c>
      <c r="C739" s="144">
        <v>76.669499999999999</v>
      </c>
      <c r="D739" s="144">
        <v>8.8130000000000006</v>
      </c>
      <c r="E739" s="144">
        <v>133.08000000000001</v>
      </c>
      <c r="F739" s="144">
        <v>0.74724999999999997</v>
      </c>
      <c r="G739" s="144">
        <v>1.0169999999999999</v>
      </c>
      <c r="I739" s="144">
        <v>1</v>
      </c>
      <c r="J739" s="145">
        <f t="shared" si="84"/>
        <v>42031</v>
      </c>
      <c r="K739" s="144">
        <f t="shared" ca="1" si="87"/>
        <v>0.89952237749867314</v>
      </c>
      <c r="L739" s="144">
        <f t="shared" ca="1" si="87"/>
        <v>0.66093224836370068</v>
      </c>
      <c r="M739" s="144">
        <f t="shared" ca="1" si="87"/>
        <v>117.70741199363171</v>
      </c>
      <c r="N739" s="144">
        <f t="shared" ca="1" si="87"/>
        <v>7.794976118874934</v>
      </c>
      <c r="O739" s="144">
        <f t="shared" ca="1" si="87"/>
        <v>67.81310808420308</v>
      </c>
      <c r="P739" s="144">
        <f t="shared" ca="1" si="87"/>
        <v>1</v>
      </c>
      <c r="Q739" s="144">
        <f t="shared" ca="1" si="87"/>
        <v>0.88448611356801699</v>
      </c>
    </row>
    <row r="740" spans="1:17" x14ac:dyDescent="0.25">
      <c r="A740" s="145">
        <v>42030</v>
      </c>
      <c r="B740" s="144">
        <v>1.1244000000000001</v>
      </c>
      <c r="C740" s="144">
        <v>73.836799999999997</v>
      </c>
      <c r="D740" s="144">
        <v>8.7345000000000006</v>
      </c>
      <c r="E740" s="144">
        <v>133.03</v>
      </c>
      <c r="F740" s="144">
        <v>0.74895</v>
      </c>
      <c r="G740" s="144">
        <v>1.0014000000000001</v>
      </c>
      <c r="I740" s="144">
        <v>1</v>
      </c>
      <c r="J740" s="145">
        <f t="shared" si="84"/>
        <v>42030</v>
      </c>
      <c r="K740" s="144">
        <f t="shared" ca="1" si="87"/>
        <v>0.89060832443970117</v>
      </c>
      <c r="L740" s="144">
        <f t="shared" ca="1" si="87"/>
        <v>0.66608858057630738</v>
      </c>
      <c r="M740" s="144">
        <f t="shared" ca="1" si="87"/>
        <v>118.31198861615083</v>
      </c>
      <c r="N740" s="144">
        <f t="shared" ca="1" si="87"/>
        <v>7.7681430096051232</v>
      </c>
      <c r="O740" s="144">
        <f t="shared" ca="1" si="87"/>
        <v>65.667733902525782</v>
      </c>
      <c r="P740" s="144">
        <f t="shared" ca="1" si="87"/>
        <v>1</v>
      </c>
      <c r="Q740" s="144">
        <f t="shared" ca="1" si="87"/>
        <v>0.88936321593738876</v>
      </c>
    </row>
    <row r="741" spans="1:17" x14ac:dyDescent="0.25">
      <c r="A741" s="145">
        <v>42029</v>
      </c>
      <c r="B741" s="144">
        <v>1.1197999999999999</v>
      </c>
      <c r="C741" s="144">
        <v>72.219499999999996</v>
      </c>
      <c r="D741" s="144">
        <v>8.7055000000000007</v>
      </c>
      <c r="E741" s="144">
        <v>132.12</v>
      </c>
      <c r="F741" s="144">
        <v>0.74729999999999996</v>
      </c>
      <c r="G741" s="144">
        <v>0.98160000000000003</v>
      </c>
      <c r="I741" s="144">
        <v>1</v>
      </c>
      <c r="J741" s="145">
        <f t="shared" si="84"/>
        <v>42029</v>
      </c>
      <c r="K741" s="144">
        <f t="shared" ca="1" si="87"/>
        <v>0.87658510448294347</v>
      </c>
      <c r="L741" s="144">
        <f t="shared" ca="1" si="87"/>
        <v>0.66735131273441683</v>
      </c>
      <c r="M741" s="144">
        <f t="shared" ca="1" si="87"/>
        <v>117.98535452759423</v>
      </c>
      <c r="N741" s="144">
        <f t="shared" ca="1" si="87"/>
        <v>7.7741560993034486</v>
      </c>
      <c r="O741" s="144">
        <f t="shared" ca="1" si="87"/>
        <v>64.493213073763172</v>
      </c>
      <c r="P741" s="144">
        <f t="shared" ca="1" si="87"/>
        <v>1</v>
      </c>
      <c r="Q741" s="144">
        <f t="shared" ca="1" si="87"/>
        <v>0.89301661010894806</v>
      </c>
    </row>
    <row r="742" spans="1:17" x14ac:dyDescent="0.25">
      <c r="A742" s="145">
        <v>42028</v>
      </c>
      <c r="B742" s="144">
        <v>1.1197999999999999</v>
      </c>
      <c r="C742" s="144">
        <v>72.219499999999996</v>
      </c>
      <c r="D742" s="144">
        <v>8.7055000000000007</v>
      </c>
      <c r="E742" s="144">
        <v>132.12</v>
      </c>
      <c r="F742" s="144">
        <v>0.74729999999999996</v>
      </c>
      <c r="G742" s="144">
        <v>0.98160000000000003</v>
      </c>
      <c r="I742" s="144">
        <v>1</v>
      </c>
      <c r="J742" s="145">
        <f t="shared" si="84"/>
        <v>42028</v>
      </c>
      <c r="K742" s="144">
        <f t="shared" ca="1" si="87"/>
        <v>0.87658510448294347</v>
      </c>
      <c r="L742" s="144">
        <f t="shared" ca="1" si="87"/>
        <v>0.66735131273441683</v>
      </c>
      <c r="M742" s="144">
        <f t="shared" ca="1" si="87"/>
        <v>117.98535452759423</v>
      </c>
      <c r="N742" s="144">
        <f t="shared" ca="1" si="87"/>
        <v>7.7741560993034486</v>
      </c>
      <c r="O742" s="144">
        <f t="shared" ca="1" si="87"/>
        <v>64.493213073763172</v>
      </c>
      <c r="P742" s="144">
        <f t="shared" ca="1" si="87"/>
        <v>1</v>
      </c>
      <c r="Q742" s="144">
        <f t="shared" ca="1" si="87"/>
        <v>0.89301661010894806</v>
      </c>
    </row>
    <row r="743" spans="1:17" x14ac:dyDescent="0.25">
      <c r="A743" s="145">
        <v>42027</v>
      </c>
      <c r="B743" s="144">
        <v>1.1197999999999999</v>
      </c>
      <c r="C743" s="144">
        <v>72.219499999999996</v>
      </c>
      <c r="D743" s="144">
        <v>8.7055000000000007</v>
      </c>
      <c r="E743" s="144">
        <v>132.12</v>
      </c>
      <c r="F743" s="144">
        <v>0.74729999999999996</v>
      </c>
      <c r="G743" s="144">
        <v>0.98160000000000003</v>
      </c>
      <c r="I743" s="144">
        <v>1</v>
      </c>
      <c r="J743" s="145">
        <f t="shared" si="84"/>
        <v>42027</v>
      </c>
      <c r="K743" s="144">
        <f t="shared" ca="1" si="87"/>
        <v>0.87658510448294347</v>
      </c>
      <c r="L743" s="144">
        <f t="shared" ca="1" si="87"/>
        <v>0.66735131273441683</v>
      </c>
      <c r="M743" s="144">
        <f t="shared" ca="1" si="87"/>
        <v>117.98535452759423</v>
      </c>
      <c r="N743" s="144">
        <f t="shared" ca="1" si="87"/>
        <v>7.7741560993034486</v>
      </c>
      <c r="O743" s="144">
        <f t="shared" ca="1" si="87"/>
        <v>64.493213073763172</v>
      </c>
      <c r="P743" s="144">
        <f t="shared" ca="1" si="87"/>
        <v>1</v>
      </c>
      <c r="Q743" s="144">
        <f t="shared" ca="1" si="87"/>
        <v>0.89301661010894806</v>
      </c>
    </row>
    <row r="744" spans="1:17" x14ac:dyDescent="0.25">
      <c r="A744" s="145">
        <v>42026</v>
      </c>
      <c r="B744" s="144">
        <v>1.1617999999999999</v>
      </c>
      <c r="C744" s="144">
        <v>74.78</v>
      </c>
      <c r="D744" s="144">
        <v>8.8309999999999995</v>
      </c>
      <c r="E744" s="144">
        <v>136.69999999999999</v>
      </c>
      <c r="F744" s="144">
        <v>0.76439999999999997</v>
      </c>
      <c r="G744" s="144">
        <v>0.99429999999999996</v>
      </c>
      <c r="I744" s="144">
        <v>1</v>
      </c>
      <c r="J744" s="145">
        <f t="shared" si="84"/>
        <v>42026</v>
      </c>
      <c r="K744" s="144">
        <f t="shared" ca="1" si="87"/>
        <v>0.85582716474436216</v>
      </c>
      <c r="L744" s="144">
        <f t="shared" ca="1" si="87"/>
        <v>0.65794456877259422</v>
      </c>
      <c r="M744" s="144">
        <f t="shared" ca="1" si="87"/>
        <v>117.66224823549663</v>
      </c>
      <c r="N744" s="144">
        <f t="shared" ca="1" si="87"/>
        <v>7.6011361680151488</v>
      </c>
      <c r="O744" s="144">
        <f t="shared" ca="1" si="87"/>
        <v>64.365639524875192</v>
      </c>
      <c r="P744" s="144">
        <f t="shared" ca="1" si="87"/>
        <v>1</v>
      </c>
      <c r="Q744" s="144">
        <f t="shared" ca="1" si="87"/>
        <v>0.86073334480977792</v>
      </c>
    </row>
    <row r="745" spans="1:17" x14ac:dyDescent="0.25">
      <c r="A745" s="145">
        <v>42025</v>
      </c>
      <c r="B745" s="144">
        <v>1.1593</v>
      </c>
      <c r="C745" s="144">
        <v>76.123000000000005</v>
      </c>
      <c r="D745" s="144">
        <v>8.8249999999999993</v>
      </c>
      <c r="E745" s="144">
        <v>136.07</v>
      </c>
      <c r="F745" s="144">
        <v>0.7671</v>
      </c>
      <c r="G745" s="144">
        <v>0.99970000000000003</v>
      </c>
      <c r="I745" s="144">
        <v>1</v>
      </c>
      <c r="J745" s="145">
        <f t="shared" si="84"/>
        <v>42025</v>
      </c>
      <c r="K745" s="144">
        <f t="shared" ref="K745:Q754" ca="1" si="88">OFFSET($A745,0,K$3)/OFFSET($A745,0,$P$3)</f>
        <v>0.86233071681186924</v>
      </c>
      <c r="L745" s="144">
        <f t="shared" ca="1" si="88"/>
        <v>0.66169240058656087</v>
      </c>
      <c r="M745" s="144">
        <f t="shared" ca="1" si="88"/>
        <v>117.37255240231174</v>
      </c>
      <c r="N745" s="144">
        <f t="shared" ca="1" si="88"/>
        <v>7.6123522815492102</v>
      </c>
      <c r="O745" s="144">
        <f t="shared" ca="1" si="88"/>
        <v>65.66290002587769</v>
      </c>
      <c r="P745" s="144">
        <f t="shared" ca="1" si="88"/>
        <v>1</v>
      </c>
      <c r="Q745" s="144">
        <f t="shared" ca="1" si="88"/>
        <v>0.86258949365996718</v>
      </c>
    </row>
    <row r="746" spans="1:17" x14ac:dyDescent="0.25">
      <c r="A746" s="145">
        <v>42024</v>
      </c>
      <c r="B746" s="144">
        <v>1.1578999999999999</v>
      </c>
      <c r="C746" s="144">
        <v>75.382499999999993</v>
      </c>
      <c r="D746" s="144">
        <v>8.8015000000000008</v>
      </c>
      <c r="E746" s="144">
        <v>137.37</v>
      </c>
      <c r="F746" s="144">
        <v>0.76370000000000005</v>
      </c>
      <c r="G746" s="144">
        <v>1.0086999999999999</v>
      </c>
      <c r="I746" s="144">
        <v>1</v>
      </c>
      <c r="J746" s="145">
        <f t="shared" si="84"/>
        <v>42024</v>
      </c>
      <c r="K746" s="144">
        <f t="shared" ca="1" si="88"/>
        <v>0.87114604024527165</v>
      </c>
      <c r="L746" s="144">
        <f t="shared" ca="1" si="88"/>
        <v>0.65955609292685036</v>
      </c>
      <c r="M746" s="144">
        <f t="shared" ca="1" si="88"/>
        <v>118.63718801278178</v>
      </c>
      <c r="N746" s="144">
        <f t="shared" ca="1" si="88"/>
        <v>7.6012609033595311</v>
      </c>
      <c r="O746" s="144">
        <f t="shared" ca="1" si="88"/>
        <v>65.102772260126088</v>
      </c>
      <c r="P746" s="144">
        <f t="shared" ca="1" si="88"/>
        <v>1</v>
      </c>
      <c r="Q746" s="144">
        <f t="shared" ca="1" si="88"/>
        <v>0.86363243803437262</v>
      </c>
    </row>
    <row r="747" spans="1:17" x14ac:dyDescent="0.25">
      <c r="A747" s="145">
        <v>42023</v>
      </c>
      <c r="B747" s="144">
        <v>1.1605000000000001</v>
      </c>
      <c r="C747" s="144">
        <v>75.028800000000004</v>
      </c>
      <c r="D747" s="144">
        <v>8.8324999999999996</v>
      </c>
      <c r="E747" s="144">
        <v>136.27000000000001</v>
      </c>
      <c r="F747" s="144">
        <v>0.76639999999999997</v>
      </c>
      <c r="G747" s="144">
        <v>1.012</v>
      </c>
      <c r="I747" s="144">
        <v>1</v>
      </c>
      <c r="J747" s="145">
        <f t="shared" si="84"/>
        <v>42023</v>
      </c>
      <c r="K747" s="144">
        <f t="shared" ca="1" si="88"/>
        <v>0.87203791469194303</v>
      </c>
      <c r="L747" s="144">
        <f t="shared" ca="1" si="88"/>
        <v>0.66040499784575601</v>
      </c>
      <c r="M747" s="144">
        <f t="shared" ca="1" si="88"/>
        <v>117.42352434295562</v>
      </c>
      <c r="N747" s="144">
        <f t="shared" ca="1" si="88"/>
        <v>7.610943558810856</v>
      </c>
      <c r="O747" s="144">
        <f t="shared" ca="1" si="88"/>
        <v>64.652132701421806</v>
      </c>
      <c r="P747" s="144">
        <f t="shared" ca="1" si="88"/>
        <v>1</v>
      </c>
      <c r="Q747" s="144">
        <f t="shared" ca="1" si="88"/>
        <v>0.86169754416199906</v>
      </c>
    </row>
    <row r="748" spans="1:17" x14ac:dyDescent="0.25">
      <c r="A748" s="145">
        <v>42022</v>
      </c>
      <c r="B748" s="144">
        <v>1.1588000000000001</v>
      </c>
      <c r="C748" s="144">
        <v>75.658000000000001</v>
      </c>
      <c r="D748" s="144">
        <v>8.7985000000000007</v>
      </c>
      <c r="E748" s="144">
        <v>135.06</v>
      </c>
      <c r="F748" s="144">
        <v>0.76370000000000005</v>
      </c>
      <c r="G748" s="144">
        <v>1.0127999999999999</v>
      </c>
      <c r="I748" s="144">
        <v>1</v>
      </c>
      <c r="J748" s="145">
        <f t="shared" si="84"/>
        <v>42022</v>
      </c>
      <c r="K748" s="144">
        <f t="shared" ca="1" si="88"/>
        <v>0.87400759406282347</v>
      </c>
      <c r="L748" s="144">
        <f t="shared" ca="1" si="88"/>
        <v>0.65904383845357262</v>
      </c>
      <c r="M748" s="144">
        <f t="shared" ca="1" si="88"/>
        <v>116.55160510873317</v>
      </c>
      <c r="N748" s="144">
        <f t="shared" ca="1" si="88"/>
        <v>7.5927683810838804</v>
      </c>
      <c r="O748" s="144">
        <f t="shared" ca="1" si="88"/>
        <v>65.289955125992407</v>
      </c>
      <c r="P748" s="144">
        <f t="shared" ca="1" si="88"/>
        <v>1</v>
      </c>
      <c r="Q748" s="144">
        <f t="shared" ca="1" si="88"/>
        <v>0.86296168450120814</v>
      </c>
    </row>
    <row r="749" spans="1:17" x14ac:dyDescent="0.25">
      <c r="A749" s="145">
        <v>42021</v>
      </c>
      <c r="B749" s="144">
        <v>1.1588000000000001</v>
      </c>
      <c r="C749" s="144">
        <v>75.658000000000001</v>
      </c>
      <c r="D749" s="144">
        <v>8.7985000000000007</v>
      </c>
      <c r="E749" s="144">
        <v>135.06</v>
      </c>
      <c r="F749" s="144">
        <v>0.76370000000000005</v>
      </c>
      <c r="G749" s="144">
        <v>1.0127999999999999</v>
      </c>
      <c r="I749" s="144">
        <v>1</v>
      </c>
      <c r="J749" s="145">
        <f t="shared" si="84"/>
        <v>42021</v>
      </c>
      <c r="K749" s="144">
        <f t="shared" ca="1" si="88"/>
        <v>0.87400759406282347</v>
      </c>
      <c r="L749" s="144">
        <f t="shared" ca="1" si="88"/>
        <v>0.65904383845357262</v>
      </c>
      <c r="M749" s="144">
        <f t="shared" ca="1" si="88"/>
        <v>116.55160510873317</v>
      </c>
      <c r="N749" s="144">
        <f t="shared" ca="1" si="88"/>
        <v>7.5927683810838804</v>
      </c>
      <c r="O749" s="144">
        <f t="shared" ca="1" si="88"/>
        <v>65.289955125992407</v>
      </c>
      <c r="P749" s="144">
        <f t="shared" ca="1" si="88"/>
        <v>1</v>
      </c>
      <c r="Q749" s="144">
        <f t="shared" ca="1" si="88"/>
        <v>0.86296168450120814</v>
      </c>
    </row>
    <row r="750" spans="1:17" x14ac:dyDescent="0.25">
      <c r="A750" s="145">
        <v>42020</v>
      </c>
      <c r="B750" s="144">
        <v>1.1588000000000001</v>
      </c>
      <c r="C750" s="144">
        <v>75.658000000000001</v>
      </c>
      <c r="D750" s="144">
        <v>8.7985000000000007</v>
      </c>
      <c r="E750" s="144">
        <v>135.06</v>
      </c>
      <c r="F750" s="144">
        <v>0.76370000000000005</v>
      </c>
      <c r="G750" s="144">
        <v>1.0127999999999999</v>
      </c>
      <c r="I750" s="144">
        <v>1</v>
      </c>
      <c r="J750" s="145">
        <f t="shared" si="84"/>
        <v>42020</v>
      </c>
      <c r="K750" s="144">
        <f t="shared" ca="1" si="88"/>
        <v>0.87400759406282347</v>
      </c>
      <c r="L750" s="144">
        <f t="shared" ca="1" si="88"/>
        <v>0.65904383845357262</v>
      </c>
      <c r="M750" s="144">
        <f t="shared" ca="1" si="88"/>
        <v>116.55160510873317</v>
      </c>
      <c r="N750" s="144">
        <f t="shared" ca="1" si="88"/>
        <v>7.5927683810838804</v>
      </c>
      <c r="O750" s="144">
        <f t="shared" ca="1" si="88"/>
        <v>65.289955125992407</v>
      </c>
      <c r="P750" s="144">
        <f t="shared" ca="1" si="88"/>
        <v>1</v>
      </c>
      <c r="Q750" s="144">
        <f t="shared" ca="1" si="88"/>
        <v>0.86296168450120814</v>
      </c>
    </row>
    <row r="751" spans="1:17" x14ac:dyDescent="0.25">
      <c r="A751" s="145">
        <v>42019</v>
      </c>
      <c r="B751" s="144">
        <v>1.1708000000000001</v>
      </c>
      <c r="C751" s="144">
        <v>75.41</v>
      </c>
      <c r="D751" s="144">
        <v>8.9139999999999997</v>
      </c>
      <c r="E751" s="144">
        <v>136.47999999999999</v>
      </c>
      <c r="F751" s="144">
        <v>0.76719999999999999</v>
      </c>
      <c r="G751" s="144">
        <v>1.028</v>
      </c>
      <c r="I751" s="144">
        <v>1</v>
      </c>
      <c r="J751" s="145">
        <f t="shared" si="84"/>
        <v>42019</v>
      </c>
      <c r="K751" s="144">
        <f t="shared" ca="1" si="88"/>
        <v>0.87803211479330368</v>
      </c>
      <c r="L751" s="144">
        <f t="shared" ca="1" si="88"/>
        <v>0.65527844209087804</v>
      </c>
      <c r="M751" s="144">
        <f t="shared" ca="1" si="88"/>
        <v>116.56986675777244</v>
      </c>
      <c r="N751" s="144">
        <f t="shared" ca="1" si="88"/>
        <v>7.6135975401434912</v>
      </c>
      <c r="O751" s="144">
        <f t="shared" ca="1" si="88"/>
        <v>64.408951144516564</v>
      </c>
      <c r="P751" s="144">
        <f t="shared" ca="1" si="88"/>
        <v>1</v>
      </c>
      <c r="Q751" s="144">
        <f t="shared" ca="1" si="88"/>
        <v>0.8541168431841476</v>
      </c>
    </row>
    <row r="752" spans="1:17" x14ac:dyDescent="0.25">
      <c r="A752" s="145">
        <v>42018</v>
      </c>
      <c r="B752" s="144">
        <v>1.1775</v>
      </c>
      <c r="C752" s="144">
        <v>77.903000000000006</v>
      </c>
      <c r="D752" s="144">
        <v>9.0559999999999992</v>
      </c>
      <c r="E752" s="144">
        <v>137.47999999999999</v>
      </c>
      <c r="F752" s="144">
        <v>0.77529999999999999</v>
      </c>
      <c r="G752" s="144">
        <v>1.2010000000000001</v>
      </c>
      <c r="I752" s="144">
        <v>1</v>
      </c>
      <c r="J752" s="145">
        <f t="shared" si="84"/>
        <v>42018</v>
      </c>
      <c r="K752" s="144">
        <f t="shared" ca="1" si="88"/>
        <v>1.0199575371549894</v>
      </c>
      <c r="L752" s="144">
        <f t="shared" ca="1" si="88"/>
        <v>0.65842887473460721</v>
      </c>
      <c r="M752" s="144">
        <f t="shared" ca="1" si="88"/>
        <v>116.75583864118896</v>
      </c>
      <c r="N752" s="144">
        <f t="shared" ca="1" si="88"/>
        <v>7.6908704883227168</v>
      </c>
      <c r="O752" s="144">
        <f t="shared" ca="1" si="88"/>
        <v>66.159660297239924</v>
      </c>
      <c r="P752" s="144">
        <f t="shared" ca="1" si="88"/>
        <v>1</v>
      </c>
      <c r="Q752" s="144">
        <f t="shared" ca="1" si="88"/>
        <v>0.84925690021231426</v>
      </c>
    </row>
    <row r="753" spans="1:17" x14ac:dyDescent="0.25">
      <c r="A753" s="145">
        <v>42017</v>
      </c>
      <c r="B753" s="144">
        <v>1.1781999999999999</v>
      </c>
      <c r="C753" s="144">
        <v>77.91</v>
      </c>
      <c r="D753" s="144">
        <v>9.1150000000000002</v>
      </c>
      <c r="E753" s="144">
        <v>139.56</v>
      </c>
      <c r="F753" s="144">
        <v>0.77669999999999995</v>
      </c>
      <c r="G753" s="144">
        <v>1.2010000000000001</v>
      </c>
      <c r="I753" s="144">
        <v>1</v>
      </c>
      <c r="J753" s="145">
        <f t="shared" si="84"/>
        <v>42017</v>
      </c>
      <c r="K753" s="144">
        <f t="shared" ca="1" si="88"/>
        <v>1.0193515532167714</v>
      </c>
      <c r="L753" s="144">
        <f t="shared" ca="1" si="88"/>
        <v>0.6592259378713291</v>
      </c>
      <c r="M753" s="144">
        <f t="shared" ca="1" si="88"/>
        <v>118.4518757426583</v>
      </c>
      <c r="N753" s="144">
        <f t="shared" ca="1" si="88"/>
        <v>7.7363775250381943</v>
      </c>
      <c r="O753" s="144">
        <f t="shared" ca="1" si="88"/>
        <v>66.126294347309454</v>
      </c>
      <c r="P753" s="144">
        <f t="shared" ca="1" si="88"/>
        <v>1</v>
      </c>
      <c r="Q753" s="144">
        <f t="shared" ca="1" si="88"/>
        <v>0.8487523340689187</v>
      </c>
    </row>
    <row r="754" spans="1:17" x14ac:dyDescent="0.25">
      <c r="A754" s="145">
        <v>42016</v>
      </c>
      <c r="B754" s="144">
        <v>1.1803999999999999</v>
      </c>
      <c r="C754" s="144">
        <v>73.910399999999996</v>
      </c>
      <c r="D754" s="144">
        <v>9.1274999999999995</v>
      </c>
      <c r="E754" s="144">
        <v>140.56</v>
      </c>
      <c r="F754" s="144">
        <v>0.77910000000000001</v>
      </c>
      <c r="G754" s="144">
        <v>1.2010000000000001</v>
      </c>
      <c r="I754" s="144">
        <v>1</v>
      </c>
      <c r="J754" s="145">
        <f t="shared" si="84"/>
        <v>42016</v>
      </c>
      <c r="K754" s="144">
        <f t="shared" ca="1" si="88"/>
        <v>1.0174517112843104</v>
      </c>
      <c r="L754" s="144">
        <f t="shared" ca="1" si="88"/>
        <v>0.66003049813622505</v>
      </c>
      <c r="M754" s="144">
        <f t="shared" ca="1" si="88"/>
        <v>119.0782785496442</v>
      </c>
      <c r="N754" s="144">
        <f t="shared" ca="1" si="88"/>
        <v>7.73254828871569</v>
      </c>
      <c r="O754" s="144">
        <f t="shared" ca="1" si="88"/>
        <v>62.614706879024062</v>
      </c>
      <c r="P754" s="144">
        <f t="shared" ca="1" si="88"/>
        <v>1</v>
      </c>
      <c r="Q754" s="144">
        <f t="shared" ca="1" si="88"/>
        <v>0.84717045069467989</v>
      </c>
    </row>
    <row r="755" spans="1:17" x14ac:dyDescent="0.25">
      <c r="A755" s="145">
        <v>42015</v>
      </c>
      <c r="B755" s="144">
        <v>1.1813</v>
      </c>
      <c r="C755" s="144">
        <v>72.891000000000005</v>
      </c>
      <c r="D755" s="144">
        <v>9.0604999999999993</v>
      </c>
      <c r="E755" s="144">
        <v>140.81</v>
      </c>
      <c r="F755" s="144">
        <v>0.77990000000000004</v>
      </c>
      <c r="G755" s="144">
        <v>1.2010000000000001</v>
      </c>
      <c r="I755" s="144">
        <v>1</v>
      </c>
      <c r="J755" s="145">
        <f t="shared" si="84"/>
        <v>42015</v>
      </c>
      <c r="K755" s="144">
        <f t="shared" ref="K755:Q764" ca="1" si="89">OFFSET($A755,0,K$3)/OFFSET($A755,0,$P$3)</f>
        <v>1.0166765427918396</v>
      </c>
      <c r="L755" s="144">
        <f t="shared" ca="1" si="89"/>
        <v>0.66020485905358506</v>
      </c>
      <c r="M755" s="144">
        <f t="shared" ca="1" si="89"/>
        <v>119.19918733598578</v>
      </c>
      <c r="N755" s="144">
        <f t="shared" ca="1" si="89"/>
        <v>7.6699398967239478</v>
      </c>
      <c r="O755" s="144">
        <f t="shared" ca="1" si="89"/>
        <v>61.704054854820967</v>
      </c>
      <c r="P755" s="144">
        <f t="shared" ca="1" si="89"/>
        <v>1</v>
      </c>
      <c r="Q755" s="144">
        <f t="shared" ca="1" si="89"/>
        <v>0.84652501481418774</v>
      </c>
    </row>
    <row r="756" spans="1:17" x14ac:dyDescent="0.25">
      <c r="A756" s="145">
        <v>42014</v>
      </c>
      <c r="B756" s="144">
        <v>1.1813</v>
      </c>
      <c r="C756" s="144">
        <v>72.891000000000005</v>
      </c>
      <c r="D756" s="144">
        <v>9.0604999999999993</v>
      </c>
      <c r="E756" s="144">
        <v>140.81</v>
      </c>
      <c r="F756" s="144">
        <v>0.77990000000000004</v>
      </c>
      <c r="G756" s="144">
        <v>1.2010000000000001</v>
      </c>
      <c r="I756" s="144">
        <v>1</v>
      </c>
      <c r="J756" s="145">
        <f t="shared" si="84"/>
        <v>42014</v>
      </c>
      <c r="K756" s="144">
        <f t="shared" ca="1" si="89"/>
        <v>1.0166765427918396</v>
      </c>
      <c r="L756" s="144">
        <f t="shared" ca="1" si="89"/>
        <v>0.66020485905358506</v>
      </c>
      <c r="M756" s="144">
        <f t="shared" ca="1" si="89"/>
        <v>119.19918733598578</v>
      </c>
      <c r="N756" s="144">
        <f t="shared" ca="1" si="89"/>
        <v>7.6699398967239478</v>
      </c>
      <c r="O756" s="144">
        <f t="shared" ca="1" si="89"/>
        <v>61.704054854820967</v>
      </c>
      <c r="P756" s="144">
        <f t="shared" ca="1" si="89"/>
        <v>1</v>
      </c>
      <c r="Q756" s="144">
        <f t="shared" ca="1" si="89"/>
        <v>0.84652501481418774</v>
      </c>
    </row>
    <row r="757" spans="1:17" x14ac:dyDescent="0.25">
      <c r="A757" s="145">
        <v>42013</v>
      </c>
      <c r="B757" s="144">
        <v>1.1813</v>
      </c>
      <c r="C757" s="144">
        <v>72.891000000000005</v>
      </c>
      <c r="D757" s="144">
        <v>9.0604999999999993</v>
      </c>
      <c r="E757" s="144">
        <v>140.81</v>
      </c>
      <c r="F757" s="144">
        <v>0.77990000000000004</v>
      </c>
      <c r="G757" s="144">
        <v>1.2010000000000001</v>
      </c>
      <c r="I757" s="144">
        <v>1</v>
      </c>
      <c r="J757" s="145">
        <f t="shared" si="84"/>
        <v>42013</v>
      </c>
      <c r="K757" s="144">
        <f t="shared" ca="1" si="89"/>
        <v>1.0166765427918396</v>
      </c>
      <c r="L757" s="144">
        <f t="shared" ca="1" si="89"/>
        <v>0.66020485905358506</v>
      </c>
      <c r="M757" s="144">
        <f t="shared" ca="1" si="89"/>
        <v>119.19918733598578</v>
      </c>
      <c r="N757" s="144">
        <f t="shared" ca="1" si="89"/>
        <v>7.6699398967239478</v>
      </c>
      <c r="O757" s="144">
        <f t="shared" ca="1" si="89"/>
        <v>61.704054854820967</v>
      </c>
      <c r="P757" s="144">
        <f t="shared" ca="1" si="89"/>
        <v>1</v>
      </c>
      <c r="Q757" s="144">
        <f t="shared" ca="1" si="89"/>
        <v>0.84652501481418774</v>
      </c>
    </row>
    <row r="758" spans="1:17" x14ac:dyDescent="0.25">
      <c r="A758" s="145">
        <v>42012</v>
      </c>
      <c r="B758" s="144">
        <v>1.1768000000000001</v>
      </c>
      <c r="C758" s="144">
        <v>72.373199999999997</v>
      </c>
      <c r="D758" s="144">
        <v>9.0280000000000005</v>
      </c>
      <c r="E758" s="144">
        <v>141</v>
      </c>
      <c r="F758" s="144">
        <v>0.78110000000000002</v>
      </c>
      <c r="G758" s="144">
        <v>1.2010000000000001</v>
      </c>
      <c r="I758" s="144">
        <v>1</v>
      </c>
      <c r="J758" s="145">
        <f t="shared" si="84"/>
        <v>42012</v>
      </c>
      <c r="K758" s="144">
        <f t="shared" ca="1" si="89"/>
        <v>1.0205642420122365</v>
      </c>
      <c r="L758" s="144">
        <f t="shared" ca="1" si="89"/>
        <v>0.66374915023793335</v>
      </c>
      <c r="M758" s="144">
        <f t="shared" ca="1" si="89"/>
        <v>119.81645139360978</v>
      </c>
      <c r="N758" s="144">
        <f t="shared" ca="1" si="89"/>
        <v>7.6716519374575123</v>
      </c>
      <c r="O758" s="144">
        <f t="shared" ca="1" si="89"/>
        <v>61.499999999999993</v>
      </c>
      <c r="P758" s="144">
        <f t="shared" ca="1" si="89"/>
        <v>1</v>
      </c>
      <c r="Q758" s="144">
        <f t="shared" ca="1" si="89"/>
        <v>0.84976206662134601</v>
      </c>
    </row>
    <row r="759" spans="1:17" x14ac:dyDescent="0.25">
      <c r="A759" s="145">
        <v>42011</v>
      </c>
      <c r="B759" s="144">
        <v>1.1831</v>
      </c>
      <c r="C759" s="144">
        <v>75</v>
      </c>
      <c r="D759" s="144">
        <v>9.15</v>
      </c>
      <c r="E759" s="144">
        <v>141.16999999999999</v>
      </c>
      <c r="F759" s="144">
        <v>0.7823</v>
      </c>
      <c r="G759" s="144">
        <v>1.2011000000000001</v>
      </c>
      <c r="I759" s="144">
        <v>1</v>
      </c>
      <c r="J759" s="145">
        <f t="shared" si="84"/>
        <v>42011</v>
      </c>
      <c r="K759" s="144">
        <f t="shared" ca="1" si="89"/>
        <v>1.0152142676020623</v>
      </c>
      <c r="L759" s="144">
        <f t="shared" ca="1" si="89"/>
        <v>0.66122897472741105</v>
      </c>
      <c r="M759" s="144">
        <f t="shared" ca="1" si="89"/>
        <v>119.3221198546192</v>
      </c>
      <c r="N759" s="144">
        <f t="shared" ca="1" si="89"/>
        <v>7.733919364381709</v>
      </c>
      <c r="O759" s="144">
        <f t="shared" ca="1" si="89"/>
        <v>63.392781675259911</v>
      </c>
      <c r="P759" s="144">
        <f t="shared" ca="1" si="89"/>
        <v>1</v>
      </c>
      <c r="Q759" s="144">
        <f t="shared" ca="1" si="89"/>
        <v>0.84523708900346539</v>
      </c>
    </row>
    <row r="760" spans="1:17" x14ac:dyDescent="0.25">
      <c r="A760" s="145">
        <v>42010</v>
      </c>
      <c r="B760" s="144">
        <v>1.1914</v>
      </c>
      <c r="C760" s="144">
        <v>74.91</v>
      </c>
      <c r="D760" s="144">
        <v>9.1795000000000009</v>
      </c>
      <c r="E760" s="144">
        <v>141.69</v>
      </c>
      <c r="F760" s="144">
        <v>0.78420000000000001</v>
      </c>
      <c r="G760" s="144">
        <v>1.2014</v>
      </c>
      <c r="I760" s="144">
        <v>1</v>
      </c>
      <c r="J760" s="145">
        <f t="shared" si="84"/>
        <v>42010</v>
      </c>
      <c r="K760" s="144">
        <f t="shared" ca="1" si="89"/>
        <v>1.0083934866543562</v>
      </c>
      <c r="L760" s="144">
        <f t="shared" ca="1" si="89"/>
        <v>0.65821722343461475</v>
      </c>
      <c r="M760" s="144">
        <f t="shared" ca="1" si="89"/>
        <v>118.92731240557328</v>
      </c>
      <c r="N760" s="144">
        <f t="shared" ca="1" si="89"/>
        <v>7.7048010743662925</v>
      </c>
      <c r="O760" s="144">
        <f t="shared" ca="1" si="89"/>
        <v>62.87560852778244</v>
      </c>
      <c r="P760" s="144">
        <f t="shared" ca="1" si="89"/>
        <v>1</v>
      </c>
      <c r="Q760" s="144">
        <f t="shared" ca="1" si="89"/>
        <v>0.83934866543562192</v>
      </c>
    </row>
    <row r="761" spans="1:17" x14ac:dyDescent="0.25">
      <c r="A761" s="145">
        <v>42009</v>
      </c>
      <c r="B761" s="144">
        <v>1.1915</v>
      </c>
      <c r="C761" s="144">
        <v>70.388000000000005</v>
      </c>
      <c r="D761" s="144">
        <v>9.1074999999999999</v>
      </c>
      <c r="E761" s="144">
        <v>143</v>
      </c>
      <c r="F761" s="144">
        <v>0.78269999999999995</v>
      </c>
      <c r="G761" s="144">
        <v>1.2016</v>
      </c>
      <c r="I761" s="144">
        <v>1</v>
      </c>
      <c r="J761" s="145">
        <f t="shared" si="84"/>
        <v>42009</v>
      </c>
      <c r="K761" s="144">
        <f t="shared" ca="1" si="89"/>
        <v>1.0084767100293748</v>
      </c>
      <c r="L761" s="144">
        <f t="shared" ca="1" si="89"/>
        <v>0.65690306336550564</v>
      </c>
      <c r="M761" s="144">
        <f t="shared" ca="1" si="89"/>
        <v>120.0167855644146</v>
      </c>
      <c r="N761" s="144">
        <f t="shared" ca="1" si="89"/>
        <v>7.6437263953000416</v>
      </c>
      <c r="O761" s="144">
        <f t="shared" ca="1" si="89"/>
        <v>59.075115400755358</v>
      </c>
      <c r="P761" s="144">
        <f t="shared" ca="1" si="89"/>
        <v>1</v>
      </c>
      <c r="Q761" s="144">
        <f t="shared" ca="1" si="89"/>
        <v>0.839278220730172</v>
      </c>
    </row>
    <row r="762" spans="1:17" x14ac:dyDescent="0.25">
      <c r="A762" s="145">
        <v>42008</v>
      </c>
      <c r="B762" s="144">
        <v>1.2042999999999999</v>
      </c>
      <c r="C762" s="144">
        <v>70.460999999999999</v>
      </c>
      <c r="D762" s="144">
        <v>9.0419999999999998</v>
      </c>
      <c r="E762" s="144">
        <v>145.21</v>
      </c>
      <c r="F762" s="144">
        <v>0.78</v>
      </c>
      <c r="G762" s="144">
        <v>1.2021999999999999</v>
      </c>
      <c r="I762" s="144">
        <v>1</v>
      </c>
      <c r="J762" s="145">
        <f t="shared" si="84"/>
        <v>42008</v>
      </c>
      <c r="K762" s="144">
        <f t="shared" ca="1" si="89"/>
        <v>0.99825624844307892</v>
      </c>
      <c r="L762" s="144">
        <f t="shared" ca="1" si="89"/>
        <v>0.64767914971352658</v>
      </c>
      <c r="M762" s="144">
        <f t="shared" ca="1" si="89"/>
        <v>120.57626837166821</v>
      </c>
      <c r="N762" s="144">
        <f t="shared" ca="1" si="89"/>
        <v>7.5080959893714194</v>
      </c>
      <c r="O762" s="144">
        <f t="shared" ca="1" si="89"/>
        <v>58.507846882006149</v>
      </c>
      <c r="P762" s="144">
        <f t="shared" ca="1" si="89"/>
        <v>1</v>
      </c>
      <c r="Q762" s="144">
        <f t="shared" ca="1" si="89"/>
        <v>0.83035788424811097</v>
      </c>
    </row>
    <row r="763" spans="1:17" x14ac:dyDescent="0.25">
      <c r="A763" s="145">
        <v>42007</v>
      </c>
      <c r="B763" s="144">
        <v>1.2042999999999999</v>
      </c>
      <c r="C763" s="144">
        <v>70.460999999999999</v>
      </c>
      <c r="D763" s="144">
        <v>9.0419999999999998</v>
      </c>
      <c r="E763" s="144">
        <v>145.21</v>
      </c>
      <c r="F763" s="144">
        <v>0.78</v>
      </c>
      <c r="G763" s="144">
        <v>1.2021999999999999</v>
      </c>
      <c r="I763" s="144">
        <v>1</v>
      </c>
      <c r="J763" s="145">
        <f t="shared" si="84"/>
        <v>42007</v>
      </c>
      <c r="K763" s="144">
        <f t="shared" ca="1" si="89"/>
        <v>0.99825624844307892</v>
      </c>
      <c r="L763" s="144">
        <f t="shared" ca="1" si="89"/>
        <v>0.64767914971352658</v>
      </c>
      <c r="M763" s="144">
        <f t="shared" ca="1" si="89"/>
        <v>120.57626837166821</v>
      </c>
      <c r="N763" s="144">
        <f t="shared" ca="1" si="89"/>
        <v>7.5080959893714194</v>
      </c>
      <c r="O763" s="144">
        <f t="shared" ca="1" si="89"/>
        <v>58.507846882006149</v>
      </c>
      <c r="P763" s="144">
        <f t="shared" ca="1" si="89"/>
        <v>1</v>
      </c>
      <c r="Q763" s="144">
        <f t="shared" ca="1" si="89"/>
        <v>0.83035788424811097</v>
      </c>
    </row>
    <row r="764" spans="1:17" x14ac:dyDescent="0.25">
      <c r="A764" s="145">
        <v>42006</v>
      </c>
      <c r="B764" s="144">
        <v>1.2042999999999999</v>
      </c>
      <c r="C764" s="144">
        <v>70.460999999999999</v>
      </c>
      <c r="D764" s="144">
        <v>9.0419999999999998</v>
      </c>
      <c r="E764" s="144">
        <v>145.21</v>
      </c>
      <c r="F764" s="144">
        <v>0.78</v>
      </c>
      <c r="G764" s="144">
        <v>1.2021999999999999</v>
      </c>
      <c r="I764" s="144">
        <v>1</v>
      </c>
      <c r="J764" s="145">
        <f t="shared" si="84"/>
        <v>42006</v>
      </c>
      <c r="K764" s="144">
        <f t="shared" ca="1" si="89"/>
        <v>0.99825624844307892</v>
      </c>
      <c r="L764" s="144">
        <f t="shared" ca="1" si="89"/>
        <v>0.64767914971352658</v>
      </c>
      <c r="M764" s="144">
        <f t="shared" ca="1" si="89"/>
        <v>120.57626837166821</v>
      </c>
      <c r="N764" s="144">
        <f t="shared" ca="1" si="89"/>
        <v>7.5080959893714194</v>
      </c>
      <c r="O764" s="144">
        <f t="shared" ca="1" si="89"/>
        <v>58.507846882006149</v>
      </c>
      <c r="P764" s="144">
        <f t="shared" ca="1" si="89"/>
        <v>1</v>
      </c>
      <c r="Q764" s="144">
        <f t="shared" ca="1" si="89"/>
        <v>0.83035788424811097</v>
      </c>
    </row>
    <row r="765" spans="1:17" x14ac:dyDescent="0.25">
      <c r="A765" s="145">
        <v>42005</v>
      </c>
      <c r="B765" s="144">
        <v>1.2141</v>
      </c>
      <c r="C765" s="144">
        <v>72.337000000000003</v>
      </c>
      <c r="D765" s="144">
        <v>9.0419999999999998</v>
      </c>
      <c r="E765" s="144">
        <v>145.22999999999999</v>
      </c>
      <c r="F765" s="144">
        <v>0.77890000000000004</v>
      </c>
      <c r="G765" s="144">
        <v>1.2023999999999999</v>
      </c>
      <c r="I765" s="144">
        <v>1</v>
      </c>
      <c r="J765" s="145">
        <f t="shared" si="84"/>
        <v>42005</v>
      </c>
      <c r="K765" s="144">
        <f t="shared" ref="K765:Q774" ca="1" si="90">OFFSET($A765,0,K$3)/OFFSET($A765,0,$P$3)</f>
        <v>0.99036323202372123</v>
      </c>
      <c r="L765" s="144">
        <f t="shared" ca="1" si="90"/>
        <v>0.64154517749773499</v>
      </c>
      <c r="M765" s="144">
        <f t="shared" ca="1" si="90"/>
        <v>119.61947121324438</v>
      </c>
      <c r="N765" s="144">
        <f t="shared" ca="1" si="90"/>
        <v>7.4474919693600201</v>
      </c>
      <c r="O765" s="144">
        <f t="shared" ca="1" si="90"/>
        <v>59.58075941026275</v>
      </c>
      <c r="P765" s="144">
        <f t="shared" ca="1" si="90"/>
        <v>1</v>
      </c>
      <c r="Q765" s="144">
        <f t="shared" ca="1" si="90"/>
        <v>0.82365538258792526</v>
      </c>
    </row>
    <row r="766" spans="1:17" x14ac:dyDescent="0.25">
      <c r="A766" s="145">
        <v>42004</v>
      </c>
      <c r="B766" s="144">
        <v>1.2141</v>
      </c>
      <c r="C766" s="144">
        <v>72.337000000000003</v>
      </c>
      <c r="D766" s="144">
        <v>9.0419999999999998</v>
      </c>
      <c r="E766" s="144">
        <v>145.22999999999999</v>
      </c>
      <c r="F766" s="144">
        <v>0.77890000000000004</v>
      </c>
      <c r="G766" s="144">
        <v>1.2023999999999999</v>
      </c>
      <c r="I766" s="144">
        <v>1</v>
      </c>
      <c r="J766" s="145">
        <f t="shared" si="84"/>
        <v>42004</v>
      </c>
      <c r="K766" s="144">
        <f t="shared" ca="1" si="90"/>
        <v>0.99036323202372123</v>
      </c>
      <c r="L766" s="144">
        <f t="shared" ca="1" si="90"/>
        <v>0.64154517749773499</v>
      </c>
      <c r="M766" s="144">
        <f t="shared" ca="1" si="90"/>
        <v>119.61947121324438</v>
      </c>
      <c r="N766" s="144">
        <f t="shared" ca="1" si="90"/>
        <v>7.4474919693600201</v>
      </c>
      <c r="O766" s="144">
        <f t="shared" ca="1" si="90"/>
        <v>59.58075941026275</v>
      </c>
      <c r="P766" s="144">
        <f t="shared" ca="1" si="90"/>
        <v>1</v>
      </c>
      <c r="Q766" s="144">
        <f t="shared" ca="1" si="90"/>
        <v>0.82365538258792526</v>
      </c>
    </row>
    <row r="767" spans="1:17" x14ac:dyDescent="0.25">
      <c r="A767" s="145">
        <v>42003</v>
      </c>
      <c r="B767" s="144">
        <v>1.216</v>
      </c>
      <c r="C767" s="144">
        <v>69.131500000000003</v>
      </c>
      <c r="D767" s="144">
        <v>9.0419999999999998</v>
      </c>
      <c r="E767" s="144">
        <v>145.41</v>
      </c>
      <c r="F767" s="144">
        <v>0.7823</v>
      </c>
      <c r="G767" s="144">
        <v>1.2028000000000001</v>
      </c>
      <c r="I767" s="144">
        <v>1</v>
      </c>
      <c r="J767" s="145">
        <f t="shared" si="84"/>
        <v>42003</v>
      </c>
      <c r="K767" s="144">
        <f t="shared" ca="1" si="90"/>
        <v>0.98914473684210535</v>
      </c>
      <c r="L767" s="144">
        <f t="shared" ca="1" si="90"/>
        <v>0.64333881578947372</v>
      </c>
      <c r="M767" s="144">
        <f t="shared" ca="1" si="90"/>
        <v>119.58059210526316</v>
      </c>
      <c r="N767" s="144">
        <f t="shared" ca="1" si="90"/>
        <v>7.4358552631578947</v>
      </c>
      <c r="O767" s="144">
        <f t="shared" ca="1" si="90"/>
        <v>56.851562500000007</v>
      </c>
      <c r="P767" s="144">
        <f t="shared" ca="1" si="90"/>
        <v>1</v>
      </c>
      <c r="Q767" s="144">
        <f t="shared" ca="1" si="90"/>
        <v>0.82236842105263164</v>
      </c>
    </row>
    <row r="768" spans="1:17" x14ac:dyDescent="0.25">
      <c r="A768" s="145">
        <v>42002</v>
      </c>
      <c r="B768" s="144">
        <v>1.2197</v>
      </c>
      <c r="C768" s="144">
        <v>68.064999999999998</v>
      </c>
      <c r="D768" s="144">
        <v>9.0474999999999994</v>
      </c>
      <c r="E768" s="144">
        <v>146.96</v>
      </c>
      <c r="F768" s="144">
        <v>0.78420000000000001</v>
      </c>
      <c r="G768" s="144">
        <v>1.2028000000000001</v>
      </c>
      <c r="I768" s="144">
        <v>1</v>
      </c>
      <c r="J768" s="145">
        <f t="shared" si="84"/>
        <v>42002</v>
      </c>
      <c r="K768" s="144">
        <f t="shared" ca="1" si="90"/>
        <v>0.98614413380339438</v>
      </c>
      <c r="L768" s="144">
        <f t="shared" ca="1" si="90"/>
        <v>0.64294498647208331</v>
      </c>
      <c r="M768" s="144">
        <f t="shared" ca="1" si="90"/>
        <v>120.48864474870871</v>
      </c>
      <c r="N768" s="144">
        <f t="shared" ca="1" si="90"/>
        <v>7.4178076576207257</v>
      </c>
      <c r="O768" s="144">
        <f t="shared" ca="1" si="90"/>
        <v>55.804706075264406</v>
      </c>
      <c r="P768" s="144">
        <f t="shared" ca="1" si="90"/>
        <v>1</v>
      </c>
      <c r="Q768" s="144">
        <f t="shared" ca="1" si="90"/>
        <v>0.81987373944412556</v>
      </c>
    </row>
    <row r="769" spans="1:17" x14ac:dyDescent="0.25">
      <c r="A769" s="145">
        <v>42001</v>
      </c>
      <c r="B769" s="144">
        <v>1.2219</v>
      </c>
      <c r="C769" s="144">
        <v>66.886300000000006</v>
      </c>
      <c r="D769" s="144">
        <v>9.1510999999999996</v>
      </c>
      <c r="E769" s="144">
        <v>147.07</v>
      </c>
      <c r="F769" s="144">
        <v>0.78649999999999998</v>
      </c>
      <c r="G769" s="144">
        <v>1.2024999999999999</v>
      </c>
      <c r="I769" s="144">
        <v>1</v>
      </c>
      <c r="J769" s="145">
        <f t="shared" si="84"/>
        <v>42001</v>
      </c>
      <c r="K769" s="144">
        <f t="shared" ca="1" si="90"/>
        <v>0.98412308699566242</v>
      </c>
      <c r="L769" s="144">
        <f t="shared" ca="1" si="90"/>
        <v>0.64366969473770352</v>
      </c>
      <c r="M769" s="144">
        <f t="shared" ca="1" si="90"/>
        <v>120.36173172927408</v>
      </c>
      <c r="N769" s="144">
        <f t="shared" ca="1" si="90"/>
        <v>7.4892380718553069</v>
      </c>
      <c r="O769" s="144">
        <f t="shared" ca="1" si="90"/>
        <v>54.739585890825765</v>
      </c>
      <c r="P769" s="144">
        <f t="shared" ca="1" si="90"/>
        <v>1</v>
      </c>
      <c r="Q769" s="144">
        <f t="shared" ca="1" si="90"/>
        <v>0.81839757754317044</v>
      </c>
    </row>
    <row r="770" spans="1:17" x14ac:dyDescent="0.25">
      <c r="A770" s="145">
        <v>42000</v>
      </c>
      <c r="B770" s="144">
        <v>1.2219</v>
      </c>
      <c r="C770" s="144">
        <v>66.886300000000006</v>
      </c>
      <c r="D770" s="144">
        <v>9.1510999999999996</v>
      </c>
      <c r="E770" s="144">
        <v>147.07</v>
      </c>
      <c r="F770" s="144">
        <v>0.78649999999999998</v>
      </c>
      <c r="G770" s="144">
        <v>1.2024999999999999</v>
      </c>
      <c r="I770" s="144">
        <v>1</v>
      </c>
      <c r="J770" s="145">
        <f t="shared" si="84"/>
        <v>42000</v>
      </c>
      <c r="K770" s="144">
        <f t="shared" ca="1" si="90"/>
        <v>0.98412308699566242</v>
      </c>
      <c r="L770" s="144">
        <f t="shared" ca="1" si="90"/>
        <v>0.64366969473770352</v>
      </c>
      <c r="M770" s="144">
        <f t="shared" ca="1" si="90"/>
        <v>120.36173172927408</v>
      </c>
      <c r="N770" s="144">
        <f t="shared" ca="1" si="90"/>
        <v>7.4892380718553069</v>
      </c>
      <c r="O770" s="144">
        <f t="shared" ca="1" si="90"/>
        <v>54.739585890825765</v>
      </c>
      <c r="P770" s="144">
        <f t="shared" ca="1" si="90"/>
        <v>1</v>
      </c>
      <c r="Q770" s="144">
        <f t="shared" ca="1" si="90"/>
        <v>0.81839757754317044</v>
      </c>
    </row>
    <row r="771" spans="1:17" x14ac:dyDescent="0.25">
      <c r="A771" s="145">
        <v>41999</v>
      </c>
      <c r="B771" s="144">
        <v>1.2219</v>
      </c>
      <c r="C771" s="144">
        <v>66.886300000000006</v>
      </c>
      <c r="D771" s="144">
        <v>9.1510999999999996</v>
      </c>
      <c r="E771" s="144">
        <v>147.07</v>
      </c>
      <c r="F771" s="144">
        <v>0.78649999999999998</v>
      </c>
      <c r="G771" s="144">
        <v>1.2024999999999999</v>
      </c>
      <c r="I771" s="144">
        <v>1</v>
      </c>
      <c r="J771" s="145">
        <f t="shared" si="84"/>
        <v>41999</v>
      </c>
      <c r="K771" s="144">
        <f t="shared" ca="1" si="90"/>
        <v>0.98412308699566242</v>
      </c>
      <c r="L771" s="144">
        <f t="shared" ca="1" si="90"/>
        <v>0.64366969473770352</v>
      </c>
      <c r="M771" s="144">
        <f t="shared" ca="1" si="90"/>
        <v>120.36173172927408</v>
      </c>
      <c r="N771" s="144">
        <f t="shared" ca="1" si="90"/>
        <v>7.4892380718553069</v>
      </c>
      <c r="O771" s="144">
        <f t="shared" ca="1" si="90"/>
        <v>54.739585890825765</v>
      </c>
      <c r="P771" s="144">
        <f t="shared" ca="1" si="90"/>
        <v>1</v>
      </c>
      <c r="Q771" s="144">
        <f t="shared" ca="1" si="90"/>
        <v>0.81839757754317044</v>
      </c>
    </row>
    <row r="772" spans="1:17" x14ac:dyDescent="0.25">
      <c r="A772" s="145">
        <v>41998</v>
      </c>
      <c r="B772" s="144">
        <v>1.2219</v>
      </c>
      <c r="C772" s="144">
        <v>66.886300000000006</v>
      </c>
      <c r="D772" s="144">
        <v>9.1510999999999996</v>
      </c>
      <c r="E772" s="144">
        <v>147.07</v>
      </c>
      <c r="F772" s="144">
        <v>0.78649999999999998</v>
      </c>
      <c r="G772" s="144">
        <v>1.2024999999999999</v>
      </c>
      <c r="I772" s="144">
        <v>1</v>
      </c>
      <c r="J772" s="145">
        <f t="shared" si="84"/>
        <v>41998</v>
      </c>
      <c r="K772" s="144">
        <f t="shared" ca="1" si="90"/>
        <v>0.98412308699566242</v>
      </c>
      <c r="L772" s="144">
        <f t="shared" ca="1" si="90"/>
        <v>0.64366969473770352</v>
      </c>
      <c r="M772" s="144">
        <f t="shared" ca="1" si="90"/>
        <v>120.36173172927408</v>
      </c>
      <c r="N772" s="144">
        <f t="shared" ca="1" si="90"/>
        <v>7.4892380718553069</v>
      </c>
      <c r="O772" s="144">
        <f t="shared" ca="1" si="90"/>
        <v>54.739585890825765</v>
      </c>
      <c r="P772" s="144">
        <f t="shared" ca="1" si="90"/>
        <v>1</v>
      </c>
      <c r="Q772" s="144">
        <f t="shared" ca="1" si="90"/>
        <v>0.81839757754317044</v>
      </c>
    </row>
    <row r="773" spans="1:17" x14ac:dyDescent="0.25">
      <c r="A773" s="145">
        <v>41997</v>
      </c>
      <c r="B773" s="144">
        <v>1.2219</v>
      </c>
      <c r="C773" s="144">
        <v>66.886300000000006</v>
      </c>
      <c r="D773" s="144">
        <v>9.1510999999999996</v>
      </c>
      <c r="E773" s="144">
        <v>147.07</v>
      </c>
      <c r="F773" s="144">
        <v>0.78649999999999998</v>
      </c>
      <c r="G773" s="144">
        <v>1.2024999999999999</v>
      </c>
      <c r="I773" s="144">
        <v>1</v>
      </c>
      <c r="J773" s="145">
        <f t="shared" ref="J773:J836" si="91">A773</f>
        <v>41997</v>
      </c>
      <c r="K773" s="144">
        <f t="shared" ca="1" si="90"/>
        <v>0.98412308699566242</v>
      </c>
      <c r="L773" s="144">
        <f t="shared" ca="1" si="90"/>
        <v>0.64366969473770352</v>
      </c>
      <c r="M773" s="144">
        <f t="shared" ca="1" si="90"/>
        <v>120.36173172927408</v>
      </c>
      <c r="N773" s="144">
        <f t="shared" ca="1" si="90"/>
        <v>7.4892380718553069</v>
      </c>
      <c r="O773" s="144">
        <f t="shared" ca="1" si="90"/>
        <v>54.739585890825765</v>
      </c>
      <c r="P773" s="144">
        <f t="shared" ca="1" si="90"/>
        <v>1</v>
      </c>
      <c r="Q773" s="144">
        <f t="shared" ca="1" si="90"/>
        <v>0.81839757754317044</v>
      </c>
    </row>
    <row r="774" spans="1:17" x14ac:dyDescent="0.25">
      <c r="A774" s="145">
        <v>41996</v>
      </c>
      <c r="B774" s="144">
        <v>1.2213000000000001</v>
      </c>
      <c r="C774" s="144">
        <v>66.933499999999995</v>
      </c>
      <c r="D774" s="144">
        <v>9.0289999999999999</v>
      </c>
      <c r="E774" s="144">
        <v>146.80000000000001</v>
      </c>
      <c r="F774" s="144">
        <v>0.78669999999999995</v>
      </c>
      <c r="G774" s="144">
        <v>1.2032</v>
      </c>
      <c r="I774" s="144">
        <v>1</v>
      </c>
      <c r="J774" s="145">
        <f t="shared" si="91"/>
        <v>41996</v>
      </c>
      <c r="K774" s="144">
        <f t="shared" ca="1" si="90"/>
        <v>0.98517972652092034</v>
      </c>
      <c r="L774" s="144">
        <f t="shared" ca="1" si="90"/>
        <v>0.64414967657414224</v>
      </c>
      <c r="M774" s="144">
        <f t="shared" ca="1" si="90"/>
        <v>120.19978711209367</v>
      </c>
      <c r="N774" s="144">
        <f t="shared" ca="1" si="90"/>
        <v>7.3929419471055429</v>
      </c>
      <c r="O774" s="144">
        <f t="shared" ca="1" si="90"/>
        <v>54.805125685744692</v>
      </c>
      <c r="P774" s="144">
        <f t="shared" ca="1" si="90"/>
        <v>1</v>
      </c>
      <c r="Q774" s="144">
        <f t="shared" ca="1" si="90"/>
        <v>0.8187996397281585</v>
      </c>
    </row>
    <row r="775" spans="1:17" x14ac:dyDescent="0.25">
      <c r="A775" s="145">
        <v>41995</v>
      </c>
      <c r="B775" s="144">
        <v>1.2259</v>
      </c>
      <c r="C775" s="144">
        <v>67.155500000000004</v>
      </c>
      <c r="D775" s="144">
        <v>9.0564999999999998</v>
      </c>
      <c r="E775" s="144">
        <v>147.06</v>
      </c>
      <c r="F775" s="144">
        <v>0.78490000000000004</v>
      </c>
      <c r="G775" s="144">
        <v>1.2035</v>
      </c>
      <c r="I775" s="144">
        <v>1</v>
      </c>
      <c r="J775" s="145">
        <f t="shared" si="91"/>
        <v>41995</v>
      </c>
      <c r="K775" s="144">
        <f t="shared" ref="K775:Q784" ca="1" si="92">OFFSET($A775,0,K$3)/OFFSET($A775,0,$P$3)</f>
        <v>0.98172771025369121</v>
      </c>
      <c r="L775" s="144">
        <f t="shared" ca="1" si="92"/>
        <v>0.6402642956195449</v>
      </c>
      <c r="M775" s="144">
        <f t="shared" ca="1" si="92"/>
        <v>119.96084509340076</v>
      </c>
      <c r="N775" s="144">
        <f t="shared" ca="1" si="92"/>
        <v>7.3876335753324085</v>
      </c>
      <c r="O775" s="144">
        <f t="shared" ca="1" si="92"/>
        <v>54.780569377600131</v>
      </c>
      <c r="P775" s="144">
        <f t="shared" ca="1" si="92"/>
        <v>1</v>
      </c>
      <c r="Q775" s="144">
        <f t="shared" ca="1" si="92"/>
        <v>0.81572722081735871</v>
      </c>
    </row>
    <row r="776" spans="1:17" x14ac:dyDescent="0.25">
      <c r="A776" s="145">
        <v>41994</v>
      </c>
      <c r="B776" s="144">
        <v>1.2279</v>
      </c>
      <c r="C776" s="144">
        <v>73.422300000000007</v>
      </c>
      <c r="D776" s="144">
        <v>9.0145</v>
      </c>
      <c r="E776" s="144">
        <v>146.41</v>
      </c>
      <c r="F776" s="144">
        <v>0.78469999999999995</v>
      </c>
      <c r="G776" s="144">
        <v>1.2039</v>
      </c>
      <c r="I776" s="144">
        <v>1</v>
      </c>
      <c r="J776" s="145">
        <f t="shared" si="91"/>
        <v>41994</v>
      </c>
      <c r="K776" s="144">
        <f t="shared" ca="1" si="92"/>
        <v>0.98045443440019542</v>
      </c>
      <c r="L776" s="144">
        <f t="shared" ca="1" si="92"/>
        <v>0.63905855525694266</v>
      </c>
      <c r="M776" s="144">
        <f t="shared" ca="1" si="92"/>
        <v>119.23609414447431</v>
      </c>
      <c r="N776" s="144">
        <f t="shared" ca="1" si="92"/>
        <v>7.3413958791432528</v>
      </c>
      <c r="O776" s="144">
        <f t="shared" ca="1" si="92"/>
        <v>59.795015880772056</v>
      </c>
      <c r="P776" s="144">
        <f t="shared" ca="1" si="92"/>
        <v>1</v>
      </c>
      <c r="Q776" s="144">
        <f t="shared" ca="1" si="92"/>
        <v>0.81439856665852273</v>
      </c>
    </row>
    <row r="777" spans="1:17" x14ac:dyDescent="0.25">
      <c r="A777" s="145">
        <v>41993</v>
      </c>
      <c r="B777" s="144">
        <v>1.2279</v>
      </c>
      <c r="C777" s="144">
        <v>73.422300000000007</v>
      </c>
      <c r="D777" s="144">
        <v>9.0145</v>
      </c>
      <c r="E777" s="144">
        <v>146.41</v>
      </c>
      <c r="F777" s="144">
        <v>0.78469999999999995</v>
      </c>
      <c r="G777" s="144">
        <v>1.2039</v>
      </c>
      <c r="I777" s="144">
        <v>1</v>
      </c>
      <c r="J777" s="145">
        <f t="shared" si="91"/>
        <v>41993</v>
      </c>
      <c r="K777" s="144">
        <f t="shared" ca="1" si="92"/>
        <v>0.98045443440019542</v>
      </c>
      <c r="L777" s="144">
        <f t="shared" ca="1" si="92"/>
        <v>0.63905855525694266</v>
      </c>
      <c r="M777" s="144">
        <f t="shared" ca="1" si="92"/>
        <v>119.23609414447431</v>
      </c>
      <c r="N777" s="144">
        <f t="shared" ca="1" si="92"/>
        <v>7.3413958791432528</v>
      </c>
      <c r="O777" s="144">
        <f t="shared" ca="1" si="92"/>
        <v>59.795015880772056</v>
      </c>
      <c r="P777" s="144">
        <f t="shared" ca="1" si="92"/>
        <v>1</v>
      </c>
      <c r="Q777" s="144">
        <f t="shared" ca="1" si="92"/>
        <v>0.81439856665852273</v>
      </c>
    </row>
    <row r="778" spans="1:17" x14ac:dyDescent="0.25">
      <c r="A778" s="145">
        <v>41992</v>
      </c>
      <c r="B778" s="144">
        <v>1.2279</v>
      </c>
      <c r="C778" s="144">
        <v>73.422300000000007</v>
      </c>
      <c r="D778" s="144">
        <v>9.0145</v>
      </c>
      <c r="E778" s="144">
        <v>146.41</v>
      </c>
      <c r="F778" s="144">
        <v>0.78469999999999995</v>
      </c>
      <c r="G778" s="144">
        <v>1.2039</v>
      </c>
      <c r="I778" s="144">
        <v>1</v>
      </c>
      <c r="J778" s="145">
        <f t="shared" si="91"/>
        <v>41992</v>
      </c>
      <c r="K778" s="144">
        <f t="shared" ca="1" si="92"/>
        <v>0.98045443440019542</v>
      </c>
      <c r="L778" s="144">
        <f t="shared" ca="1" si="92"/>
        <v>0.63905855525694266</v>
      </c>
      <c r="M778" s="144">
        <f t="shared" ca="1" si="92"/>
        <v>119.23609414447431</v>
      </c>
      <c r="N778" s="144">
        <f t="shared" ca="1" si="92"/>
        <v>7.3413958791432528</v>
      </c>
      <c r="O778" s="144">
        <f t="shared" ca="1" si="92"/>
        <v>59.795015880772056</v>
      </c>
      <c r="P778" s="144">
        <f t="shared" ca="1" si="92"/>
        <v>1</v>
      </c>
      <c r="Q778" s="144">
        <f t="shared" ca="1" si="92"/>
        <v>0.81439856665852273</v>
      </c>
    </row>
    <row r="779" spans="1:17" x14ac:dyDescent="0.25">
      <c r="A779" s="145">
        <v>41991</v>
      </c>
      <c r="B779" s="144">
        <v>1.2284999999999999</v>
      </c>
      <c r="C779" s="144">
        <v>75.484999999999999</v>
      </c>
      <c r="D779" s="144">
        <v>9.0645000000000007</v>
      </c>
      <c r="E779" s="144">
        <v>145.96</v>
      </c>
      <c r="F779" s="144">
        <v>0.78649999999999998</v>
      </c>
      <c r="G779" s="144">
        <v>1.2052</v>
      </c>
      <c r="I779" s="144">
        <v>1</v>
      </c>
      <c r="J779" s="145">
        <f t="shared" si="91"/>
        <v>41991</v>
      </c>
      <c r="K779" s="144">
        <f t="shared" ca="1" si="92"/>
        <v>0.98103378103378114</v>
      </c>
      <c r="L779" s="144">
        <f t="shared" ca="1" si="92"/>
        <v>0.64021164021164023</v>
      </c>
      <c r="M779" s="144">
        <f t="shared" ca="1" si="92"/>
        <v>118.81155881155883</v>
      </c>
      <c r="N779" s="144">
        <f t="shared" ca="1" si="92"/>
        <v>7.3785103785103798</v>
      </c>
      <c r="O779" s="144">
        <f t="shared" ca="1" si="92"/>
        <v>61.444851444851452</v>
      </c>
      <c r="P779" s="144">
        <f t="shared" ca="1" si="92"/>
        <v>1</v>
      </c>
      <c r="Q779" s="144">
        <f t="shared" ca="1" si="92"/>
        <v>0.81400081400081403</v>
      </c>
    </row>
    <row r="780" spans="1:17" x14ac:dyDescent="0.25">
      <c r="A780" s="145">
        <v>41990</v>
      </c>
      <c r="B780" s="144">
        <v>1.2447999999999999</v>
      </c>
      <c r="C780" s="144">
        <v>82.172799999999995</v>
      </c>
      <c r="D780" s="144">
        <v>9.2505000000000006</v>
      </c>
      <c r="E780" s="144">
        <v>145.88999999999999</v>
      </c>
      <c r="F780" s="144">
        <v>0.79320000000000002</v>
      </c>
      <c r="G780" s="144">
        <v>1.2010000000000001</v>
      </c>
      <c r="I780" s="144">
        <v>1</v>
      </c>
      <c r="J780" s="145">
        <f t="shared" si="91"/>
        <v>41990</v>
      </c>
      <c r="K780" s="144">
        <f t="shared" ca="1" si="92"/>
        <v>0.96481362467866338</v>
      </c>
      <c r="L780" s="144">
        <f t="shared" ca="1" si="92"/>
        <v>0.63721079691516713</v>
      </c>
      <c r="M780" s="144">
        <f t="shared" ca="1" si="92"/>
        <v>117.1995501285347</v>
      </c>
      <c r="N780" s="144">
        <f t="shared" ca="1" si="92"/>
        <v>7.4313142673521861</v>
      </c>
      <c r="O780" s="144">
        <f t="shared" ca="1" si="92"/>
        <v>66.012853470437022</v>
      </c>
      <c r="P780" s="144">
        <f t="shared" ca="1" si="92"/>
        <v>1</v>
      </c>
      <c r="Q780" s="144">
        <f t="shared" ca="1" si="92"/>
        <v>0.80334190231362479</v>
      </c>
    </row>
    <row r="781" spans="1:17" x14ac:dyDescent="0.25">
      <c r="A781" s="145">
        <v>41989</v>
      </c>
      <c r="B781" s="144">
        <v>1.2537</v>
      </c>
      <c r="C781" s="144">
        <v>91.52</v>
      </c>
      <c r="D781" s="144">
        <v>9.5419999999999998</v>
      </c>
      <c r="E781" s="144">
        <v>145.79</v>
      </c>
      <c r="F781" s="144">
        <v>0.79649999999999999</v>
      </c>
      <c r="G781" s="144">
        <v>1.2009000000000001</v>
      </c>
      <c r="I781" s="144">
        <v>1</v>
      </c>
      <c r="J781" s="145">
        <f t="shared" si="91"/>
        <v>41989</v>
      </c>
      <c r="K781" s="144">
        <f t="shared" ca="1" si="92"/>
        <v>0.95788466140224937</v>
      </c>
      <c r="L781" s="144">
        <f t="shared" ca="1" si="92"/>
        <v>0.63531945441493176</v>
      </c>
      <c r="M781" s="144">
        <f t="shared" ca="1" si="92"/>
        <v>116.28778814708463</v>
      </c>
      <c r="N781" s="144">
        <f t="shared" ca="1" si="92"/>
        <v>7.6110712291616807</v>
      </c>
      <c r="O781" s="144">
        <f t="shared" ca="1" si="92"/>
        <v>72.999920236101133</v>
      </c>
      <c r="P781" s="144">
        <f t="shared" ca="1" si="92"/>
        <v>1</v>
      </c>
      <c r="Q781" s="144">
        <f t="shared" ca="1" si="92"/>
        <v>0.79763898859376248</v>
      </c>
    </row>
    <row r="782" spans="1:17" x14ac:dyDescent="0.25">
      <c r="A782" s="145">
        <v>41988</v>
      </c>
      <c r="B782" s="144">
        <v>1.2425999999999999</v>
      </c>
      <c r="C782" s="144">
        <v>74.771699999999996</v>
      </c>
      <c r="D782" s="144">
        <v>9.1765000000000008</v>
      </c>
      <c r="E782" s="144">
        <v>147.66999999999999</v>
      </c>
      <c r="F782" s="144">
        <v>0.79359999999999997</v>
      </c>
      <c r="G782" s="144">
        <v>1.2011000000000001</v>
      </c>
      <c r="I782" s="144">
        <v>1</v>
      </c>
      <c r="J782" s="145">
        <f t="shared" si="91"/>
        <v>41988</v>
      </c>
      <c r="K782" s="144">
        <f t="shared" ca="1" si="92"/>
        <v>0.96660228553033967</v>
      </c>
      <c r="L782" s="144">
        <f t="shared" ca="1" si="92"/>
        <v>0.63866087236439728</v>
      </c>
      <c r="M782" s="144">
        <f t="shared" ca="1" si="92"/>
        <v>118.8395300177048</v>
      </c>
      <c r="N782" s="144">
        <f t="shared" ca="1" si="92"/>
        <v>7.3849187188153884</v>
      </c>
      <c r="O782" s="144">
        <f t="shared" ca="1" si="92"/>
        <v>60.173587638821829</v>
      </c>
      <c r="P782" s="144">
        <f t="shared" ca="1" si="92"/>
        <v>1</v>
      </c>
      <c r="Q782" s="144">
        <f t="shared" ca="1" si="92"/>
        <v>0.80476420408820215</v>
      </c>
    </row>
    <row r="783" spans="1:17" x14ac:dyDescent="0.25">
      <c r="A783" s="145">
        <v>41987</v>
      </c>
      <c r="B783" s="144">
        <v>1.2450000000000001</v>
      </c>
      <c r="C783" s="144">
        <v>71.417500000000004</v>
      </c>
      <c r="D783" s="144">
        <v>9.1189999999999998</v>
      </c>
      <c r="E783" s="144">
        <v>147.41</v>
      </c>
      <c r="F783" s="144">
        <v>0.79249999999999998</v>
      </c>
      <c r="G783" s="144">
        <v>1.2010000000000001</v>
      </c>
      <c r="I783" s="144">
        <v>1</v>
      </c>
      <c r="J783" s="145">
        <f t="shared" si="91"/>
        <v>41987</v>
      </c>
      <c r="K783" s="144">
        <f t="shared" ca="1" si="92"/>
        <v>0.96465863453815259</v>
      </c>
      <c r="L783" s="144">
        <f t="shared" ca="1" si="92"/>
        <v>0.63654618473895574</v>
      </c>
      <c r="M783" s="144">
        <f t="shared" ca="1" si="92"/>
        <v>118.40160642570279</v>
      </c>
      <c r="N783" s="144">
        <f t="shared" ca="1" si="92"/>
        <v>7.3244979919678705</v>
      </c>
      <c r="O783" s="144">
        <f t="shared" ca="1" si="92"/>
        <v>57.363453815261039</v>
      </c>
      <c r="P783" s="144">
        <f t="shared" ca="1" si="92"/>
        <v>1</v>
      </c>
      <c r="Q783" s="144">
        <f t="shared" ca="1" si="92"/>
        <v>0.80321285140562237</v>
      </c>
    </row>
    <row r="784" spans="1:17" x14ac:dyDescent="0.25">
      <c r="A784" s="145">
        <v>41986</v>
      </c>
      <c r="B784" s="144">
        <v>1.2450000000000001</v>
      </c>
      <c r="C784" s="144">
        <v>71.417500000000004</v>
      </c>
      <c r="D784" s="144">
        <v>9.1189999999999998</v>
      </c>
      <c r="E784" s="144">
        <v>147.41</v>
      </c>
      <c r="F784" s="144">
        <v>0.79249999999999998</v>
      </c>
      <c r="G784" s="144">
        <v>1.2010000000000001</v>
      </c>
      <c r="I784" s="144">
        <v>1</v>
      </c>
      <c r="J784" s="145">
        <f t="shared" si="91"/>
        <v>41986</v>
      </c>
      <c r="K784" s="144">
        <f t="shared" ca="1" si="92"/>
        <v>0.96465863453815259</v>
      </c>
      <c r="L784" s="144">
        <f t="shared" ca="1" si="92"/>
        <v>0.63654618473895574</v>
      </c>
      <c r="M784" s="144">
        <f t="shared" ca="1" si="92"/>
        <v>118.40160642570279</v>
      </c>
      <c r="N784" s="144">
        <f t="shared" ca="1" si="92"/>
        <v>7.3244979919678705</v>
      </c>
      <c r="O784" s="144">
        <f t="shared" ca="1" si="92"/>
        <v>57.363453815261039</v>
      </c>
      <c r="P784" s="144">
        <f t="shared" ca="1" si="92"/>
        <v>1</v>
      </c>
      <c r="Q784" s="144">
        <f t="shared" ca="1" si="92"/>
        <v>0.80321285140562237</v>
      </c>
    </row>
    <row r="785" spans="1:17" x14ac:dyDescent="0.25">
      <c r="A785" s="145">
        <v>41985</v>
      </c>
      <c r="B785" s="144">
        <v>1.2450000000000001</v>
      </c>
      <c r="C785" s="144">
        <v>71.417500000000004</v>
      </c>
      <c r="D785" s="144">
        <v>9.1189999999999998</v>
      </c>
      <c r="E785" s="144">
        <v>147.41</v>
      </c>
      <c r="F785" s="144">
        <v>0.79249999999999998</v>
      </c>
      <c r="G785" s="144">
        <v>1.2010000000000001</v>
      </c>
      <c r="I785" s="144">
        <v>1</v>
      </c>
      <c r="J785" s="145">
        <f t="shared" si="91"/>
        <v>41985</v>
      </c>
      <c r="K785" s="144">
        <f t="shared" ref="K785:Q794" ca="1" si="93">OFFSET($A785,0,K$3)/OFFSET($A785,0,$P$3)</f>
        <v>0.96465863453815259</v>
      </c>
      <c r="L785" s="144">
        <f t="shared" ca="1" si="93"/>
        <v>0.63654618473895574</v>
      </c>
      <c r="M785" s="144">
        <f t="shared" ca="1" si="93"/>
        <v>118.40160642570279</v>
      </c>
      <c r="N785" s="144">
        <f t="shared" ca="1" si="93"/>
        <v>7.3244979919678705</v>
      </c>
      <c r="O785" s="144">
        <f t="shared" ca="1" si="93"/>
        <v>57.363453815261039</v>
      </c>
      <c r="P785" s="144">
        <f t="shared" ca="1" si="93"/>
        <v>1</v>
      </c>
      <c r="Q785" s="144">
        <f t="shared" ca="1" si="93"/>
        <v>0.80321285140562237</v>
      </c>
    </row>
    <row r="786" spans="1:17" x14ac:dyDescent="0.25">
      <c r="A786" s="145">
        <v>41984</v>
      </c>
      <c r="B786" s="144">
        <v>1.2427999999999999</v>
      </c>
      <c r="C786" s="144">
        <v>68.645899999999997</v>
      </c>
      <c r="D786" s="144">
        <v>9.0060000000000002</v>
      </c>
      <c r="E786" s="144">
        <v>147.19999999999999</v>
      </c>
      <c r="F786" s="144">
        <v>0.79269999999999996</v>
      </c>
      <c r="G786" s="144">
        <v>1.2012</v>
      </c>
      <c r="I786" s="144">
        <v>1</v>
      </c>
      <c r="J786" s="145">
        <f t="shared" si="91"/>
        <v>41984</v>
      </c>
      <c r="K786" s="144">
        <f t="shared" ca="1" si="93"/>
        <v>0.9665271966527198</v>
      </c>
      <c r="L786" s="144">
        <f t="shared" ca="1" si="93"/>
        <v>0.63783392339877698</v>
      </c>
      <c r="M786" s="144">
        <f t="shared" ca="1" si="93"/>
        <v>118.44222722883811</v>
      </c>
      <c r="N786" s="144">
        <f t="shared" ca="1" si="93"/>
        <v>7.2465400708078542</v>
      </c>
      <c r="O786" s="144">
        <f t="shared" ca="1" si="93"/>
        <v>55.23487286771806</v>
      </c>
      <c r="P786" s="144">
        <f t="shared" ca="1" si="93"/>
        <v>1</v>
      </c>
      <c r="Q786" s="144">
        <f t="shared" ca="1" si="93"/>
        <v>0.804634695848085</v>
      </c>
    </row>
    <row r="787" spans="1:17" x14ac:dyDescent="0.25">
      <c r="A787" s="145">
        <v>41983</v>
      </c>
      <c r="B787" s="144">
        <v>1.2392000000000001</v>
      </c>
      <c r="C787" s="144">
        <v>67.276300000000006</v>
      </c>
      <c r="D787" s="144">
        <v>8.8765000000000001</v>
      </c>
      <c r="E787" s="144">
        <v>147.33000000000001</v>
      </c>
      <c r="F787" s="144">
        <v>0.78974999999999995</v>
      </c>
      <c r="G787" s="144">
        <v>1.2023999999999999</v>
      </c>
      <c r="I787" s="144">
        <v>1</v>
      </c>
      <c r="J787" s="145">
        <f t="shared" si="91"/>
        <v>41983</v>
      </c>
      <c r="K787" s="144">
        <f t="shared" ca="1" si="93"/>
        <v>0.9703034215622981</v>
      </c>
      <c r="L787" s="144">
        <f t="shared" ca="1" si="93"/>
        <v>0.63730632666236275</v>
      </c>
      <c r="M787" s="144">
        <f t="shared" ca="1" si="93"/>
        <v>118.89122014202712</v>
      </c>
      <c r="N787" s="144">
        <f t="shared" ca="1" si="93"/>
        <v>7.1630890897353128</v>
      </c>
      <c r="O787" s="144">
        <f t="shared" ca="1" si="93"/>
        <v>54.290106520335705</v>
      </c>
      <c r="P787" s="144">
        <f t="shared" ca="1" si="93"/>
        <v>1</v>
      </c>
      <c r="Q787" s="144">
        <f t="shared" ca="1" si="93"/>
        <v>0.80697224015493862</v>
      </c>
    </row>
    <row r="788" spans="1:17" x14ac:dyDescent="0.25">
      <c r="A788" s="145">
        <v>41982</v>
      </c>
      <c r="B788" s="144">
        <v>1.2369000000000001</v>
      </c>
      <c r="C788" s="144">
        <v>66.986000000000004</v>
      </c>
      <c r="D788" s="144">
        <v>8.8104999999999993</v>
      </c>
      <c r="E788" s="144">
        <v>148.02000000000001</v>
      </c>
      <c r="F788" s="144">
        <v>0.79015000000000002</v>
      </c>
      <c r="G788" s="144">
        <v>1.2020999999999999</v>
      </c>
      <c r="I788" s="144">
        <v>1</v>
      </c>
      <c r="J788" s="145">
        <f t="shared" si="91"/>
        <v>41982</v>
      </c>
      <c r="K788" s="144">
        <f t="shared" ca="1" si="93"/>
        <v>0.9718651467378121</v>
      </c>
      <c r="L788" s="144">
        <f t="shared" ca="1" si="93"/>
        <v>0.63881477888269056</v>
      </c>
      <c r="M788" s="144">
        <f t="shared" ca="1" si="93"/>
        <v>119.67014309968469</v>
      </c>
      <c r="N788" s="144">
        <f t="shared" ca="1" si="93"/>
        <v>7.1230495593823253</v>
      </c>
      <c r="O788" s="144">
        <f t="shared" ca="1" si="93"/>
        <v>54.156358638531813</v>
      </c>
      <c r="P788" s="144">
        <f t="shared" ca="1" si="93"/>
        <v>1</v>
      </c>
      <c r="Q788" s="144">
        <f t="shared" ca="1" si="93"/>
        <v>0.80847279489045187</v>
      </c>
    </row>
    <row r="789" spans="1:17" x14ac:dyDescent="0.25">
      <c r="A789" s="145">
        <v>41981</v>
      </c>
      <c r="B789" s="144">
        <v>1.2258</v>
      </c>
      <c r="C789" s="144">
        <v>65.621799999999993</v>
      </c>
      <c r="D789" s="144">
        <v>8.7974999999999994</v>
      </c>
      <c r="E789" s="144">
        <v>148.44999999999999</v>
      </c>
      <c r="F789" s="144">
        <v>0.78449999999999998</v>
      </c>
      <c r="G789" s="144">
        <v>1.2022999999999999</v>
      </c>
      <c r="I789" s="144">
        <v>1</v>
      </c>
      <c r="J789" s="145">
        <f t="shared" si="91"/>
        <v>41981</v>
      </c>
      <c r="K789" s="144">
        <f t="shared" ca="1" si="93"/>
        <v>0.98082884646761292</v>
      </c>
      <c r="L789" s="144">
        <f t="shared" ca="1" si="93"/>
        <v>0.63999021047479199</v>
      </c>
      <c r="M789" s="144">
        <f t="shared" ca="1" si="93"/>
        <v>121.10458476097241</v>
      </c>
      <c r="N789" s="144">
        <f t="shared" ca="1" si="93"/>
        <v>7.1769456681350947</v>
      </c>
      <c r="O789" s="144">
        <f t="shared" ca="1" si="93"/>
        <v>53.533855441344421</v>
      </c>
      <c r="P789" s="144">
        <f t="shared" ca="1" si="93"/>
        <v>1</v>
      </c>
      <c r="Q789" s="144">
        <f t="shared" ca="1" si="93"/>
        <v>0.81579376733561759</v>
      </c>
    </row>
    <row r="790" spans="1:17" x14ac:dyDescent="0.25">
      <c r="A790" s="145">
        <v>41980</v>
      </c>
      <c r="B790" s="144">
        <v>1.2362</v>
      </c>
      <c r="C790" s="144">
        <v>66.330500000000001</v>
      </c>
      <c r="D790" s="144">
        <v>8.8104999999999993</v>
      </c>
      <c r="E790" s="144">
        <v>149.03</v>
      </c>
      <c r="F790" s="144">
        <v>0.78810000000000002</v>
      </c>
      <c r="G790" s="144">
        <v>1.2020999999999999</v>
      </c>
      <c r="I790" s="144">
        <v>1</v>
      </c>
      <c r="J790" s="145">
        <f t="shared" si="91"/>
        <v>41980</v>
      </c>
      <c r="K790" s="144">
        <f t="shared" ca="1" si="93"/>
        <v>0.97241546675295254</v>
      </c>
      <c r="L790" s="144">
        <f t="shared" ca="1" si="93"/>
        <v>0.63751820093835954</v>
      </c>
      <c r="M790" s="144">
        <f t="shared" ca="1" si="93"/>
        <v>120.55492638731597</v>
      </c>
      <c r="N790" s="144">
        <f t="shared" ca="1" si="93"/>
        <v>7.1270829962789186</v>
      </c>
      <c r="O790" s="144">
        <f t="shared" ca="1" si="93"/>
        <v>53.656770749069729</v>
      </c>
      <c r="P790" s="144">
        <f t="shared" ca="1" si="93"/>
        <v>1</v>
      </c>
      <c r="Q790" s="144">
        <f t="shared" ca="1" si="93"/>
        <v>0.80893059375505583</v>
      </c>
    </row>
    <row r="791" spans="1:17" x14ac:dyDescent="0.25">
      <c r="A791" s="145">
        <v>41979</v>
      </c>
      <c r="B791" s="144">
        <v>1.2362</v>
      </c>
      <c r="C791" s="144">
        <v>66.330500000000001</v>
      </c>
      <c r="D791" s="144">
        <v>8.8104999999999993</v>
      </c>
      <c r="E791" s="144">
        <v>149.03</v>
      </c>
      <c r="F791" s="144">
        <v>0.78810000000000002</v>
      </c>
      <c r="G791" s="144">
        <v>1.2020999999999999</v>
      </c>
      <c r="I791" s="144">
        <v>1</v>
      </c>
      <c r="J791" s="145">
        <f t="shared" si="91"/>
        <v>41979</v>
      </c>
      <c r="K791" s="144">
        <f t="shared" ca="1" si="93"/>
        <v>0.97241546675295254</v>
      </c>
      <c r="L791" s="144">
        <f t="shared" ca="1" si="93"/>
        <v>0.63751820093835954</v>
      </c>
      <c r="M791" s="144">
        <f t="shared" ca="1" si="93"/>
        <v>120.55492638731597</v>
      </c>
      <c r="N791" s="144">
        <f t="shared" ca="1" si="93"/>
        <v>7.1270829962789186</v>
      </c>
      <c r="O791" s="144">
        <f t="shared" ca="1" si="93"/>
        <v>53.656770749069729</v>
      </c>
      <c r="P791" s="144">
        <f t="shared" ca="1" si="93"/>
        <v>1</v>
      </c>
      <c r="Q791" s="144">
        <f t="shared" ca="1" si="93"/>
        <v>0.80893059375505583</v>
      </c>
    </row>
    <row r="792" spans="1:17" x14ac:dyDescent="0.25">
      <c r="A792" s="145">
        <v>41978</v>
      </c>
      <c r="B792" s="144">
        <v>1.2362</v>
      </c>
      <c r="C792" s="144">
        <v>66.330500000000001</v>
      </c>
      <c r="D792" s="144">
        <v>8.8104999999999993</v>
      </c>
      <c r="E792" s="144">
        <v>149.03</v>
      </c>
      <c r="F792" s="144">
        <v>0.78810000000000002</v>
      </c>
      <c r="G792" s="144">
        <v>1.2020999999999999</v>
      </c>
      <c r="I792" s="144">
        <v>1</v>
      </c>
      <c r="J792" s="145">
        <f t="shared" si="91"/>
        <v>41978</v>
      </c>
      <c r="K792" s="144">
        <f t="shared" ca="1" si="93"/>
        <v>0.97241546675295254</v>
      </c>
      <c r="L792" s="144">
        <f t="shared" ca="1" si="93"/>
        <v>0.63751820093835954</v>
      </c>
      <c r="M792" s="144">
        <f t="shared" ca="1" si="93"/>
        <v>120.55492638731597</v>
      </c>
      <c r="N792" s="144">
        <f t="shared" ca="1" si="93"/>
        <v>7.1270829962789186</v>
      </c>
      <c r="O792" s="144">
        <f t="shared" ca="1" si="93"/>
        <v>53.656770749069729</v>
      </c>
      <c r="P792" s="144">
        <f t="shared" ca="1" si="93"/>
        <v>1</v>
      </c>
      <c r="Q792" s="144">
        <f t="shared" ca="1" si="93"/>
        <v>0.80893059375505583</v>
      </c>
    </row>
    <row r="793" spans="1:17" x14ac:dyDescent="0.25">
      <c r="A793" s="145">
        <v>41977</v>
      </c>
      <c r="B793" s="144">
        <v>1.2311000000000001</v>
      </c>
      <c r="C793" s="144">
        <v>65.787499999999994</v>
      </c>
      <c r="D793" s="144">
        <v>8.7210000000000001</v>
      </c>
      <c r="E793" s="144">
        <v>147.63999999999999</v>
      </c>
      <c r="F793" s="144">
        <v>0.78610000000000002</v>
      </c>
      <c r="G793" s="144">
        <v>1.2035</v>
      </c>
      <c r="I793" s="144">
        <v>1</v>
      </c>
      <c r="J793" s="145">
        <f t="shared" si="91"/>
        <v>41977</v>
      </c>
      <c r="K793" s="144">
        <f t="shared" ca="1" si="93"/>
        <v>0.97758102509950451</v>
      </c>
      <c r="L793" s="144">
        <f t="shared" ca="1" si="93"/>
        <v>0.63853464381447478</v>
      </c>
      <c r="M793" s="144">
        <f t="shared" ca="1" si="93"/>
        <v>119.925270083665</v>
      </c>
      <c r="N793" s="144">
        <f t="shared" ca="1" si="93"/>
        <v>7.0839086995369991</v>
      </c>
      <c r="O793" s="144">
        <f t="shared" ca="1" si="93"/>
        <v>53.437982292258944</v>
      </c>
      <c r="P793" s="144">
        <f t="shared" ca="1" si="93"/>
        <v>1</v>
      </c>
      <c r="Q793" s="144">
        <f t="shared" ca="1" si="93"/>
        <v>0.81228169929331484</v>
      </c>
    </row>
    <row r="794" spans="1:17" x14ac:dyDescent="0.25">
      <c r="A794" s="145">
        <v>41976</v>
      </c>
      <c r="B794" s="144">
        <v>1.2331000000000001</v>
      </c>
      <c r="C794" s="144">
        <v>65.375</v>
      </c>
      <c r="D794" s="144">
        <v>8.6560000000000006</v>
      </c>
      <c r="E794" s="144">
        <v>147.19999999999999</v>
      </c>
      <c r="F794" s="144">
        <v>0.78620000000000001</v>
      </c>
      <c r="G794" s="144">
        <v>1.2032</v>
      </c>
      <c r="I794" s="144">
        <v>1</v>
      </c>
      <c r="J794" s="145">
        <f t="shared" si="91"/>
        <v>41976</v>
      </c>
      <c r="K794" s="144">
        <f t="shared" ca="1" si="93"/>
        <v>0.97575216932933251</v>
      </c>
      <c r="L794" s="144">
        <f t="shared" ca="1" si="93"/>
        <v>0.63758008271835209</v>
      </c>
      <c r="M794" s="144">
        <f t="shared" ca="1" si="93"/>
        <v>119.37393560943961</v>
      </c>
      <c r="N794" s="144">
        <f t="shared" ca="1" si="93"/>
        <v>7.0197064309463952</v>
      </c>
      <c r="O794" s="144">
        <f t="shared" ca="1" si="93"/>
        <v>53.016786959695075</v>
      </c>
      <c r="P794" s="144">
        <f t="shared" ca="1" si="93"/>
        <v>1</v>
      </c>
      <c r="Q794" s="144">
        <f t="shared" ca="1" si="93"/>
        <v>0.81096423647717131</v>
      </c>
    </row>
    <row r="795" spans="1:17" x14ac:dyDescent="0.25">
      <c r="A795" s="145">
        <v>41975</v>
      </c>
      <c r="B795" s="144">
        <v>1.2423999999999999</v>
      </c>
      <c r="C795" s="144">
        <v>66.266999999999996</v>
      </c>
      <c r="D795" s="144">
        <v>8.6969999999999992</v>
      </c>
      <c r="E795" s="144">
        <v>148.08000000000001</v>
      </c>
      <c r="F795" s="144">
        <v>0.79359999999999997</v>
      </c>
      <c r="G795" s="144">
        <v>1.204</v>
      </c>
      <c r="I795" s="144">
        <v>1</v>
      </c>
      <c r="J795" s="145">
        <f t="shared" si="91"/>
        <v>41975</v>
      </c>
      <c r="K795" s="144">
        <f t="shared" ref="K795:Q804" ca="1" si="94">OFFSET($A795,0,K$3)/OFFSET($A795,0,$P$3)</f>
        <v>0.96909207984546042</v>
      </c>
      <c r="L795" s="144">
        <f t="shared" ca="1" si="94"/>
        <v>0.63876368319381838</v>
      </c>
      <c r="M795" s="144">
        <f t="shared" ca="1" si="94"/>
        <v>119.18866709594334</v>
      </c>
      <c r="N795" s="144">
        <f t="shared" ca="1" si="94"/>
        <v>7.0001609787508041</v>
      </c>
      <c r="O795" s="144">
        <f t="shared" ca="1" si="94"/>
        <v>53.337894397939472</v>
      </c>
      <c r="P795" s="144">
        <f t="shared" ca="1" si="94"/>
        <v>1</v>
      </c>
      <c r="Q795" s="144">
        <f t="shared" ca="1" si="94"/>
        <v>0.80489375402446883</v>
      </c>
    </row>
    <row r="796" spans="1:17" x14ac:dyDescent="0.25">
      <c r="A796" s="145">
        <v>41974</v>
      </c>
      <c r="B796" s="144">
        <v>1.2468999999999999</v>
      </c>
      <c r="C796" s="144">
        <v>65.275800000000004</v>
      </c>
      <c r="D796" s="144">
        <v>8.6745000000000001</v>
      </c>
      <c r="E796" s="144">
        <v>147.62</v>
      </c>
      <c r="F796" s="144">
        <v>0.79269999999999996</v>
      </c>
      <c r="G796" s="144">
        <v>1.2028000000000001</v>
      </c>
      <c r="I796" s="144">
        <v>1</v>
      </c>
      <c r="J796" s="145">
        <f t="shared" si="91"/>
        <v>41974</v>
      </c>
      <c r="K796" s="144">
        <f t="shared" ca="1" si="94"/>
        <v>0.96463228807442469</v>
      </c>
      <c r="L796" s="144">
        <f t="shared" ca="1" si="94"/>
        <v>0.63573662683454968</v>
      </c>
      <c r="M796" s="144">
        <f t="shared" ca="1" si="94"/>
        <v>118.38960622343413</v>
      </c>
      <c r="N796" s="144">
        <f t="shared" ca="1" si="94"/>
        <v>6.9568529954286635</v>
      </c>
      <c r="O796" s="144">
        <f t="shared" ca="1" si="94"/>
        <v>52.350469163525553</v>
      </c>
      <c r="P796" s="144">
        <f t="shared" ca="1" si="94"/>
        <v>1</v>
      </c>
      <c r="Q796" s="144">
        <f t="shared" ca="1" si="94"/>
        <v>0.80198893255273085</v>
      </c>
    </row>
    <row r="797" spans="1:17" x14ac:dyDescent="0.25">
      <c r="A797" s="145">
        <v>41973</v>
      </c>
      <c r="B797" s="144">
        <v>1.2483</v>
      </c>
      <c r="C797" s="144">
        <v>61.344999999999999</v>
      </c>
      <c r="D797" s="144">
        <v>8.6974999999999998</v>
      </c>
      <c r="E797" s="144">
        <v>147.69</v>
      </c>
      <c r="F797" s="144">
        <v>0.79530000000000001</v>
      </c>
      <c r="G797" s="144">
        <v>1.2018</v>
      </c>
      <c r="I797" s="144">
        <v>1</v>
      </c>
      <c r="J797" s="145">
        <f t="shared" si="91"/>
        <v>41973</v>
      </c>
      <c r="K797" s="144">
        <f t="shared" ca="1" si="94"/>
        <v>0.96274933910117766</v>
      </c>
      <c r="L797" s="144">
        <f t="shared" ca="1" si="94"/>
        <v>0.6371064647921173</v>
      </c>
      <c r="M797" s="144">
        <f t="shared" ca="1" si="94"/>
        <v>118.31290555155012</v>
      </c>
      <c r="N797" s="144">
        <f t="shared" ca="1" si="94"/>
        <v>6.9674757670431786</v>
      </c>
      <c r="O797" s="144">
        <f t="shared" ca="1" si="94"/>
        <v>49.142834254586241</v>
      </c>
      <c r="P797" s="144">
        <f t="shared" ca="1" si="94"/>
        <v>1</v>
      </c>
      <c r="Q797" s="144">
        <f t="shared" ca="1" si="94"/>
        <v>0.80108948169510541</v>
      </c>
    </row>
    <row r="798" spans="1:17" x14ac:dyDescent="0.25">
      <c r="A798" s="145">
        <v>41972</v>
      </c>
      <c r="B798" s="144">
        <v>1.2483</v>
      </c>
      <c r="C798" s="144">
        <v>61.344999999999999</v>
      </c>
      <c r="D798" s="144">
        <v>8.6974999999999998</v>
      </c>
      <c r="E798" s="144">
        <v>147.69</v>
      </c>
      <c r="F798" s="144">
        <v>0.79530000000000001</v>
      </c>
      <c r="G798" s="144">
        <v>1.2018</v>
      </c>
      <c r="I798" s="144">
        <v>1</v>
      </c>
      <c r="J798" s="145">
        <f t="shared" si="91"/>
        <v>41972</v>
      </c>
      <c r="K798" s="144">
        <f t="shared" ca="1" si="94"/>
        <v>0.96274933910117766</v>
      </c>
      <c r="L798" s="144">
        <f t="shared" ca="1" si="94"/>
        <v>0.6371064647921173</v>
      </c>
      <c r="M798" s="144">
        <f t="shared" ca="1" si="94"/>
        <v>118.31290555155012</v>
      </c>
      <c r="N798" s="144">
        <f t="shared" ca="1" si="94"/>
        <v>6.9674757670431786</v>
      </c>
      <c r="O798" s="144">
        <f t="shared" ca="1" si="94"/>
        <v>49.142834254586241</v>
      </c>
      <c r="P798" s="144">
        <f t="shared" ca="1" si="94"/>
        <v>1</v>
      </c>
      <c r="Q798" s="144">
        <f t="shared" ca="1" si="94"/>
        <v>0.80108948169510541</v>
      </c>
    </row>
    <row r="799" spans="1:17" x14ac:dyDescent="0.25">
      <c r="A799" s="145">
        <v>41971</v>
      </c>
      <c r="B799" s="144">
        <v>1.2483</v>
      </c>
      <c r="C799" s="144">
        <v>61.344999999999999</v>
      </c>
      <c r="D799" s="144">
        <v>8.6974999999999998</v>
      </c>
      <c r="E799" s="144">
        <v>147.69</v>
      </c>
      <c r="F799" s="144">
        <v>0.79530000000000001</v>
      </c>
      <c r="G799" s="144">
        <v>1.2018</v>
      </c>
      <c r="I799" s="144">
        <v>1</v>
      </c>
      <c r="J799" s="145">
        <f t="shared" si="91"/>
        <v>41971</v>
      </c>
      <c r="K799" s="144">
        <f t="shared" ca="1" si="94"/>
        <v>0.96274933910117766</v>
      </c>
      <c r="L799" s="144">
        <f t="shared" ca="1" si="94"/>
        <v>0.6371064647921173</v>
      </c>
      <c r="M799" s="144">
        <f t="shared" ca="1" si="94"/>
        <v>118.31290555155012</v>
      </c>
      <c r="N799" s="144">
        <f t="shared" ca="1" si="94"/>
        <v>6.9674757670431786</v>
      </c>
      <c r="O799" s="144">
        <f t="shared" ca="1" si="94"/>
        <v>49.142834254586241</v>
      </c>
      <c r="P799" s="144">
        <f t="shared" ca="1" si="94"/>
        <v>1</v>
      </c>
      <c r="Q799" s="144">
        <f t="shared" ca="1" si="94"/>
        <v>0.80108948169510541</v>
      </c>
    </row>
    <row r="800" spans="1:17" x14ac:dyDescent="0.25">
      <c r="A800" s="145">
        <v>41970</v>
      </c>
      <c r="B800" s="144">
        <v>1.248</v>
      </c>
      <c r="C800" s="144">
        <v>58.667999999999999</v>
      </c>
      <c r="D800" s="144">
        <v>8.5969999999999995</v>
      </c>
      <c r="E800" s="144">
        <v>146.66999999999999</v>
      </c>
      <c r="F800" s="144">
        <v>0.79200000000000004</v>
      </c>
      <c r="G800" s="144">
        <v>1.2021999999999999</v>
      </c>
      <c r="I800" s="144">
        <v>1</v>
      </c>
      <c r="J800" s="145">
        <f t="shared" si="91"/>
        <v>41970</v>
      </c>
      <c r="K800" s="144">
        <f t="shared" ca="1" si="94"/>
        <v>0.96330128205128196</v>
      </c>
      <c r="L800" s="144">
        <f t="shared" ca="1" si="94"/>
        <v>0.63461538461538469</v>
      </c>
      <c r="M800" s="144">
        <f t="shared" ca="1" si="94"/>
        <v>117.52403846153845</v>
      </c>
      <c r="N800" s="144">
        <f t="shared" ca="1" si="94"/>
        <v>6.8886217948717947</v>
      </c>
      <c r="O800" s="144">
        <f t="shared" ca="1" si="94"/>
        <v>47.009615384615387</v>
      </c>
      <c r="P800" s="144">
        <f t="shared" ca="1" si="94"/>
        <v>1</v>
      </c>
      <c r="Q800" s="144">
        <f t="shared" ca="1" si="94"/>
        <v>0.80128205128205132</v>
      </c>
    </row>
    <row r="801" spans="1:17" x14ac:dyDescent="0.25">
      <c r="A801" s="145">
        <v>41969</v>
      </c>
      <c r="B801" s="144">
        <v>1.2475000000000001</v>
      </c>
      <c r="C801" s="144">
        <v>58.39</v>
      </c>
      <c r="D801" s="144">
        <v>8.51</v>
      </c>
      <c r="E801" s="144">
        <v>146.91</v>
      </c>
      <c r="F801" s="144">
        <v>0.79095000000000004</v>
      </c>
      <c r="G801" s="144">
        <v>1.2025999999999999</v>
      </c>
      <c r="I801" s="144">
        <v>1</v>
      </c>
      <c r="J801" s="145">
        <f t="shared" si="91"/>
        <v>41969</v>
      </c>
      <c r="K801" s="144">
        <f t="shared" ca="1" si="94"/>
        <v>0.96400801603206399</v>
      </c>
      <c r="L801" s="144">
        <f t="shared" ca="1" si="94"/>
        <v>0.63402805611222446</v>
      </c>
      <c r="M801" s="144">
        <f t="shared" ca="1" si="94"/>
        <v>117.76352705410821</v>
      </c>
      <c r="N801" s="144">
        <f t="shared" ca="1" si="94"/>
        <v>6.8216432865731456</v>
      </c>
      <c r="O801" s="144">
        <f t="shared" ca="1" si="94"/>
        <v>46.805611222444888</v>
      </c>
      <c r="P801" s="144">
        <f t="shared" ca="1" si="94"/>
        <v>1</v>
      </c>
      <c r="Q801" s="144">
        <f t="shared" ca="1" si="94"/>
        <v>0.80160320641282556</v>
      </c>
    </row>
    <row r="802" spans="1:17" x14ac:dyDescent="0.25">
      <c r="A802" s="145">
        <v>41968</v>
      </c>
      <c r="B802" s="144">
        <v>1.2423999999999999</v>
      </c>
      <c r="C802" s="144">
        <v>56.569000000000003</v>
      </c>
      <c r="D802" s="144">
        <v>8.4629999999999992</v>
      </c>
      <c r="E802" s="144">
        <v>146.66</v>
      </c>
      <c r="F802" s="144">
        <v>0.79290000000000005</v>
      </c>
      <c r="G802" s="144">
        <v>1.2030000000000001</v>
      </c>
      <c r="I802" s="144">
        <v>1</v>
      </c>
      <c r="J802" s="145">
        <f t="shared" si="91"/>
        <v>41968</v>
      </c>
      <c r="K802" s="144">
        <f t="shared" ca="1" si="94"/>
        <v>0.96828718609143605</v>
      </c>
      <c r="L802" s="144">
        <f t="shared" ca="1" si="94"/>
        <v>0.63820025756600141</v>
      </c>
      <c r="M802" s="144">
        <f t="shared" ca="1" si="94"/>
        <v>118.04571796522859</v>
      </c>
      <c r="N802" s="144">
        <f t="shared" ca="1" si="94"/>
        <v>6.8118158403090785</v>
      </c>
      <c r="O802" s="144">
        <f t="shared" ca="1" si="94"/>
        <v>45.532034771410174</v>
      </c>
      <c r="P802" s="144">
        <f t="shared" ca="1" si="94"/>
        <v>1</v>
      </c>
      <c r="Q802" s="144">
        <f t="shared" ca="1" si="94"/>
        <v>0.80489375402446883</v>
      </c>
    </row>
    <row r="803" spans="1:17" x14ac:dyDescent="0.25">
      <c r="A803" s="145">
        <v>41967</v>
      </c>
      <c r="B803" s="144">
        <v>1.2410000000000001</v>
      </c>
      <c r="C803" s="144">
        <v>55.914999999999999</v>
      </c>
      <c r="D803" s="144">
        <v>8.407</v>
      </c>
      <c r="E803" s="144">
        <v>146.82</v>
      </c>
      <c r="F803" s="144">
        <v>0.79159999999999997</v>
      </c>
      <c r="G803" s="144">
        <v>1.2027000000000001</v>
      </c>
      <c r="I803" s="144">
        <v>1</v>
      </c>
      <c r="J803" s="145">
        <f t="shared" si="91"/>
        <v>41967</v>
      </c>
      <c r="K803" s="144">
        <f t="shared" ca="1" si="94"/>
        <v>0.96913779210314266</v>
      </c>
      <c r="L803" s="144">
        <f t="shared" ca="1" si="94"/>
        <v>0.63787268331990321</v>
      </c>
      <c r="M803" s="144">
        <f t="shared" ca="1" si="94"/>
        <v>118.3078162771958</v>
      </c>
      <c r="N803" s="144">
        <f t="shared" ca="1" si="94"/>
        <v>6.7743755036261071</v>
      </c>
      <c r="O803" s="144">
        <f t="shared" ca="1" si="94"/>
        <v>45.056406124093471</v>
      </c>
      <c r="P803" s="144">
        <f t="shared" ca="1" si="94"/>
        <v>1</v>
      </c>
      <c r="Q803" s="144">
        <f t="shared" ca="1" si="94"/>
        <v>0.80580177276389997</v>
      </c>
    </row>
    <row r="804" spans="1:17" x14ac:dyDescent="0.25">
      <c r="A804" s="145">
        <v>41966</v>
      </c>
      <c r="B804" s="144">
        <v>1.2422</v>
      </c>
      <c r="C804" s="144">
        <v>56.508099999999999</v>
      </c>
      <c r="D804" s="144">
        <v>8.4019999999999992</v>
      </c>
      <c r="E804" s="144">
        <v>146.46</v>
      </c>
      <c r="F804" s="144">
        <v>0.79210000000000003</v>
      </c>
      <c r="G804" s="144">
        <v>1.2023999999999999</v>
      </c>
      <c r="I804" s="144">
        <v>1</v>
      </c>
      <c r="J804" s="145">
        <f t="shared" si="91"/>
        <v>41966</v>
      </c>
      <c r="K804" s="144">
        <f t="shared" ca="1" si="94"/>
        <v>0.96796007084205438</v>
      </c>
      <c r="L804" s="144">
        <f t="shared" ca="1" si="94"/>
        <v>0.63765899211077126</v>
      </c>
      <c r="M804" s="144">
        <f t="shared" ca="1" si="94"/>
        <v>117.90371920785704</v>
      </c>
      <c r="N804" s="144">
        <f t="shared" ca="1" si="94"/>
        <v>6.7638061503783602</v>
      </c>
      <c r="O804" s="144">
        <f t="shared" ca="1" si="94"/>
        <v>45.490339719851875</v>
      </c>
      <c r="P804" s="144">
        <f t="shared" ca="1" si="94"/>
        <v>1</v>
      </c>
      <c r="Q804" s="144">
        <f t="shared" ca="1" si="94"/>
        <v>0.8050233456770246</v>
      </c>
    </row>
    <row r="805" spans="1:17" x14ac:dyDescent="0.25">
      <c r="A805" s="145">
        <v>41965</v>
      </c>
      <c r="B805" s="144">
        <v>1.2422</v>
      </c>
      <c r="C805" s="144">
        <v>56.508099999999999</v>
      </c>
      <c r="D805" s="144">
        <v>8.4019999999999992</v>
      </c>
      <c r="E805" s="144">
        <v>146.46</v>
      </c>
      <c r="F805" s="144">
        <v>0.79210000000000003</v>
      </c>
      <c r="G805" s="144">
        <v>1.2023999999999999</v>
      </c>
      <c r="I805" s="144">
        <v>1</v>
      </c>
      <c r="J805" s="145">
        <f t="shared" si="91"/>
        <v>41965</v>
      </c>
      <c r="K805" s="144">
        <f t="shared" ref="K805:Q814" ca="1" si="95">OFFSET($A805,0,K$3)/OFFSET($A805,0,$P$3)</f>
        <v>0.96796007084205438</v>
      </c>
      <c r="L805" s="144">
        <f t="shared" ca="1" si="95"/>
        <v>0.63765899211077126</v>
      </c>
      <c r="M805" s="144">
        <f t="shared" ca="1" si="95"/>
        <v>117.90371920785704</v>
      </c>
      <c r="N805" s="144">
        <f t="shared" ca="1" si="95"/>
        <v>6.7638061503783602</v>
      </c>
      <c r="O805" s="144">
        <f t="shared" ca="1" si="95"/>
        <v>45.490339719851875</v>
      </c>
      <c r="P805" s="144">
        <f t="shared" ca="1" si="95"/>
        <v>1</v>
      </c>
      <c r="Q805" s="144">
        <f t="shared" ca="1" si="95"/>
        <v>0.8050233456770246</v>
      </c>
    </row>
    <row r="806" spans="1:17" x14ac:dyDescent="0.25">
      <c r="A806" s="145">
        <v>41964</v>
      </c>
      <c r="B806" s="144">
        <v>1.2422</v>
      </c>
      <c r="C806" s="144">
        <v>56.508099999999999</v>
      </c>
      <c r="D806" s="144">
        <v>8.4019999999999992</v>
      </c>
      <c r="E806" s="144">
        <v>146.46</v>
      </c>
      <c r="F806" s="144">
        <v>0.79210000000000003</v>
      </c>
      <c r="G806" s="144">
        <v>1.2023999999999999</v>
      </c>
      <c r="I806" s="144">
        <v>1</v>
      </c>
      <c r="J806" s="145">
        <f t="shared" si="91"/>
        <v>41964</v>
      </c>
      <c r="K806" s="144">
        <f t="shared" ca="1" si="95"/>
        <v>0.96796007084205438</v>
      </c>
      <c r="L806" s="144">
        <f t="shared" ca="1" si="95"/>
        <v>0.63765899211077126</v>
      </c>
      <c r="M806" s="144">
        <f t="shared" ca="1" si="95"/>
        <v>117.90371920785704</v>
      </c>
      <c r="N806" s="144">
        <f t="shared" ca="1" si="95"/>
        <v>6.7638061503783602</v>
      </c>
      <c r="O806" s="144">
        <f t="shared" ca="1" si="95"/>
        <v>45.490339719851875</v>
      </c>
      <c r="P806" s="144">
        <f t="shared" ca="1" si="95"/>
        <v>1</v>
      </c>
      <c r="Q806" s="144">
        <f t="shared" ca="1" si="95"/>
        <v>0.8050233456770246</v>
      </c>
    </row>
    <row r="807" spans="1:17" x14ac:dyDescent="0.25">
      <c r="A807" s="145">
        <v>41963</v>
      </c>
      <c r="B807" s="144">
        <v>1.2539</v>
      </c>
      <c r="C807" s="144">
        <v>58.203000000000003</v>
      </c>
      <c r="D807" s="144">
        <v>8.4920000000000009</v>
      </c>
      <c r="E807" s="144">
        <v>148.25</v>
      </c>
      <c r="F807" s="144">
        <v>0.79890000000000005</v>
      </c>
      <c r="G807" s="144">
        <v>1.2014</v>
      </c>
      <c r="I807" s="144">
        <v>1</v>
      </c>
      <c r="J807" s="145">
        <f t="shared" si="91"/>
        <v>41963</v>
      </c>
      <c r="K807" s="144">
        <f t="shared" ca="1" si="95"/>
        <v>0.95813063242682828</v>
      </c>
      <c r="L807" s="144">
        <f t="shared" ca="1" si="95"/>
        <v>0.63713214769917859</v>
      </c>
      <c r="M807" s="144">
        <f t="shared" ca="1" si="95"/>
        <v>118.23111890900391</v>
      </c>
      <c r="N807" s="144">
        <f t="shared" ca="1" si="95"/>
        <v>6.7724698939309365</v>
      </c>
      <c r="O807" s="144">
        <f t="shared" ca="1" si="95"/>
        <v>46.417577159263104</v>
      </c>
      <c r="P807" s="144">
        <f t="shared" ca="1" si="95"/>
        <v>1</v>
      </c>
      <c r="Q807" s="144">
        <f t="shared" ca="1" si="95"/>
        <v>0.79751176329850859</v>
      </c>
    </row>
    <row r="808" spans="1:17" x14ac:dyDescent="0.25">
      <c r="A808" s="145">
        <v>41962</v>
      </c>
      <c r="B808" s="144">
        <v>1.2535000000000001</v>
      </c>
      <c r="C808" s="144">
        <v>58.843200000000003</v>
      </c>
      <c r="D808" s="144">
        <v>8.4930000000000003</v>
      </c>
      <c r="E808" s="144">
        <v>147.44999999999999</v>
      </c>
      <c r="F808" s="144">
        <v>0.79964999999999997</v>
      </c>
      <c r="G808" s="144">
        <v>1.2014</v>
      </c>
      <c r="I808" s="144">
        <v>1</v>
      </c>
      <c r="J808" s="145">
        <f t="shared" si="91"/>
        <v>41962</v>
      </c>
      <c r="K808" s="144">
        <f t="shared" ca="1" si="95"/>
        <v>0.95843637814120464</v>
      </c>
      <c r="L808" s="144">
        <f t="shared" ca="1" si="95"/>
        <v>0.63793378540087753</v>
      </c>
      <c r="M808" s="144">
        <f t="shared" ca="1" si="95"/>
        <v>117.6306342241723</v>
      </c>
      <c r="N808" s="144">
        <f t="shared" ca="1" si="95"/>
        <v>6.7754287993617872</v>
      </c>
      <c r="O808" s="144">
        <f t="shared" ca="1" si="95"/>
        <v>46.943119266055049</v>
      </c>
      <c r="P808" s="144">
        <f t="shared" ca="1" si="95"/>
        <v>1</v>
      </c>
      <c r="Q808" s="144">
        <f t="shared" ca="1" si="95"/>
        <v>0.7977662544874351</v>
      </c>
    </row>
    <row r="809" spans="1:17" x14ac:dyDescent="0.25">
      <c r="A809" s="145">
        <v>41961</v>
      </c>
      <c r="B809" s="144">
        <v>1.2514000000000001</v>
      </c>
      <c r="C809" s="144">
        <v>58.491</v>
      </c>
      <c r="D809" s="144">
        <v>8.4290000000000003</v>
      </c>
      <c r="E809" s="144">
        <v>145.91</v>
      </c>
      <c r="F809" s="144">
        <v>0.7994</v>
      </c>
      <c r="G809" s="144">
        <v>1.2013</v>
      </c>
      <c r="I809" s="144">
        <v>1</v>
      </c>
      <c r="J809" s="145">
        <f t="shared" si="91"/>
        <v>41961</v>
      </c>
      <c r="K809" s="144">
        <f t="shared" ca="1" si="95"/>
        <v>0.95996483937989452</v>
      </c>
      <c r="L809" s="144">
        <f t="shared" ca="1" si="95"/>
        <v>0.63880453891641353</v>
      </c>
      <c r="M809" s="144">
        <f t="shared" ca="1" si="95"/>
        <v>116.59741089979222</v>
      </c>
      <c r="N809" s="144">
        <f t="shared" ca="1" si="95"/>
        <v>6.7356560652069684</v>
      </c>
      <c r="O809" s="144">
        <f t="shared" ca="1" si="95"/>
        <v>46.740450695221348</v>
      </c>
      <c r="P809" s="144">
        <f t="shared" ca="1" si="95"/>
        <v>1</v>
      </c>
      <c r="Q809" s="144">
        <f t="shared" ca="1" si="95"/>
        <v>0.79910500239731497</v>
      </c>
    </row>
    <row r="810" spans="1:17" x14ac:dyDescent="0.25">
      <c r="A810" s="145">
        <v>41960</v>
      </c>
      <c r="B810" s="144">
        <v>1.2496</v>
      </c>
      <c r="C810" s="144">
        <v>59.217700000000001</v>
      </c>
      <c r="D810" s="144">
        <v>8.4440000000000008</v>
      </c>
      <c r="E810" s="144">
        <v>145.30000000000001</v>
      </c>
      <c r="F810" s="144">
        <v>0.79890000000000005</v>
      </c>
      <c r="G810" s="144">
        <v>1.2013</v>
      </c>
      <c r="I810" s="144">
        <v>1</v>
      </c>
      <c r="J810" s="145">
        <f t="shared" si="91"/>
        <v>41960</v>
      </c>
      <c r="K810" s="144">
        <f t="shared" ca="1" si="95"/>
        <v>0.9613476312419974</v>
      </c>
      <c r="L810" s="144">
        <f t="shared" ca="1" si="95"/>
        <v>0.63932458386683744</v>
      </c>
      <c r="M810" s="144">
        <f t="shared" ca="1" si="95"/>
        <v>116.27720870678618</v>
      </c>
      <c r="N810" s="144">
        <f t="shared" ca="1" si="95"/>
        <v>6.757362355953906</v>
      </c>
      <c r="O810" s="144">
        <f t="shared" ca="1" si="95"/>
        <v>47.389324583866838</v>
      </c>
      <c r="P810" s="144">
        <f t="shared" ca="1" si="95"/>
        <v>1</v>
      </c>
      <c r="Q810" s="144">
        <f t="shared" ca="1" si="95"/>
        <v>0.80025608194622277</v>
      </c>
    </row>
    <row r="811" spans="1:17" x14ac:dyDescent="0.25">
      <c r="A811" s="145">
        <v>41959</v>
      </c>
      <c r="B811" s="144">
        <v>1.2436</v>
      </c>
      <c r="C811" s="144">
        <v>58.828000000000003</v>
      </c>
      <c r="D811" s="144">
        <v>8.4529999999999994</v>
      </c>
      <c r="E811" s="144">
        <v>144.94</v>
      </c>
      <c r="F811" s="144">
        <v>0.7944</v>
      </c>
      <c r="G811" s="144">
        <v>1.2015</v>
      </c>
      <c r="I811" s="144">
        <v>1</v>
      </c>
      <c r="J811" s="145">
        <f t="shared" si="91"/>
        <v>41959</v>
      </c>
      <c r="K811" s="144">
        <f t="shared" ca="1" si="95"/>
        <v>0.96614667095529105</v>
      </c>
      <c r="L811" s="144">
        <f t="shared" ca="1" si="95"/>
        <v>0.63879060791251208</v>
      </c>
      <c r="M811" s="144">
        <f t="shared" ca="1" si="95"/>
        <v>116.54872949501447</v>
      </c>
      <c r="N811" s="144">
        <f t="shared" ca="1" si="95"/>
        <v>6.7972016725635243</v>
      </c>
      <c r="O811" s="144">
        <f t="shared" ca="1" si="95"/>
        <v>47.304599549694437</v>
      </c>
      <c r="P811" s="144">
        <f t="shared" ca="1" si="95"/>
        <v>1</v>
      </c>
      <c r="Q811" s="144">
        <f t="shared" ca="1" si="95"/>
        <v>0.80411707944676747</v>
      </c>
    </row>
    <row r="812" spans="1:17" x14ac:dyDescent="0.25">
      <c r="A812" s="145">
        <v>41958</v>
      </c>
      <c r="B812" s="144">
        <v>1.2436</v>
      </c>
      <c r="C812" s="144">
        <v>58.828000000000003</v>
      </c>
      <c r="D812" s="144">
        <v>8.4529999999999994</v>
      </c>
      <c r="E812" s="144">
        <v>144.94</v>
      </c>
      <c r="F812" s="144">
        <v>0.7944</v>
      </c>
      <c r="G812" s="144">
        <v>1.2015</v>
      </c>
      <c r="I812" s="144">
        <v>1</v>
      </c>
      <c r="J812" s="145">
        <f t="shared" si="91"/>
        <v>41958</v>
      </c>
      <c r="K812" s="144">
        <f t="shared" ca="1" si="95"/>
        <v>0.96614667095529105</v>
      </c>
      <c r="L812" s="144">
        <f t="shared" ca="1" si="95"/>
        <v>0.63879060791251208</v>
      </c>
      <c r="M812" s="144">
        <f t="shared" ca="1" si="95"/>
        <v>116.54872949501447</v>
      </c>
      <c r="N812" s="144">
        <f t="shared" ca="1" si="95"/>
        <v>6.7972016725635243</v>
      </c>
      <c r="O812" s="144">
        <f t="shared" ca="1" si="95"/>
        <v>47.304599549694437</v>
      </c>
      <c r="P812" s="144">
        <f t="shared" ca="1" si="95"/>
        <v>1</v>
      </c>
      <c r="Q812" s="144">
        <f t="shared" ca="1" si="95"/>
        <v>0.80411707944676747</v>
      </c>
    </row>
    <row r="813" spans="1:17" x14ac:dyDescent="0.25">
      <c r="A813" s="145">
        <v>41957</v>
      </c>
      <c r="B813" s="144">
        <v>1.2436</v>
      </c>
      <c r="C813" s="144">
        <v>58.828000000000003</v>
      </c>
      <c r="D813" s="144">
        <v>8.4529999999999994</v>
      </c>
      <c r="E813" s="144">
        <v>144.94</v>
      </c>
      <c r="F813" s="144">
        <v>0.7944</v>
      </c>
      <c r="G813" s="144">
        <v>1.2015</v>
      </c>
      <c r="I813" s="144">
        <v>1</v>
      </c>
      <c r="J813" s="145">
        <f t="shared" si="91"/>
        <v>41957</v>
      </c>
      <c r="K813" s="144">
        <f t="shared" ca="1" si="95"/>
        <v>0.96614667095529105</v>
      </c>
      <c r="L813" s="144">
        <f t="shared" ca="1" si="95"/>
        <v>0.63879060791251208</v>
      </c>
      <c r="M813" s="144">
        <f t="shared" ca="1" si="95"/>
        <v>116.54872949501447</v>
      </c>
      <c r="N813" s="144">
        <f t="shared" ca="1" si="95"/>
        <v>6.7972016725635243</v>
      </c>
      <c r="O813" s="144">
        <f t="shared" ca="1" si="95"/>
        <v>47.304599549694437</v>
      </c>
      <c r="P813" s="144">
        <f t="shared" ca="1" si="95"/>
        <v>1</v>
      </c>
      <c r="Q813" s="144">
        <f t="shared" ca="1" si="95"/>
        <v>0.80411707944676747</v>
      </c>
    </row>
    <row r="814" spans="1:17" x14ac:dyDescent="0.25">
      <c r="A814" s="145">
        <v>41956</v>
      </c>
      <c r="B814" s="144">
        <v>1.2456</v>
      </c>
      <c r="C814" s="144">
        <v>58.038200000000003</v>
      </c>
      <c r="D814" s="144">
        <v>8.4565000000000001</v>
      </c>
      <c r="E814" s="144">
        <v>143.87</v>
      </c>
      <c r="F814" s="144">
        <v>0.79120000000000001</v>
      </c>
      <c r="G814" s="144">
        <v>1.2018</v>
      </c>
      <c r="I814" s="144">
        <v>1</v>
      </c>
      <c r="J814" s="145">
        <f t="shared" si="91"/>
        <v>41956</v>
      </c>
      <c r="K814" s="144">
        <f t="shared" ca="1" si="95"/>
        <v>0.9648362235067437</v>
      </c>
      <c r="L814" s="144">
        <f t="shared" ca="1" si="95"/>
        <v>0.63519588953114958</v>
      </c>
      <c r="M814" s="144">
        <f t="shared" ca="1" si="95"/>
        <v>115.50256904303147</v>
      </c>
      <c r="N814" s="144">
        <f t="shared" ca="1" si="95"/>
        <v>6.7890976236351959</v>
      </c>
      <c r="O814" s="144">
        <f t="shared" ca="1" si="95"/>
        <v>46.59457289659602</v>
      </c>
      <c r="P814" s="144">
        <f t="shared" ca="1" si="95"/>
        <v>1</v>
      </c>
      <c r="Q814" s="144">
        <f t="shared" ca="1" si="95"/>
        <v>0.80282594733461787</v>
      </c>
    </row>
    <row r="815" spans="1:17" x14ac:dyDescent="0.25">
      <c r="A815" s="145">
        <v>41955</v>
      </c>
      <c r="B815" s="144">
        <v>1.2466999999999999</v>
      </c>
      <c r="C815" s="144">
        <v>57.718000000000004</v>
      </c>
      <c r="D815" s="144">
        <v>8.4414999999999996</v>
      </c>
      <c r="E815" s="144">
        <v>143.63</v>
      </c>
      <c r="F815" s="144">
        <v>0.78800000000000003</v>
      </c>
      <c r="G815" s="144">
        <v>1.2022999999999999</v>
      </c>
      <c r="I815" s="144">
        <v>1</v>
      </c>
      <c r="J815" s="145">
        <f t="shared" si="91"/>
        <v>41955</v>
      </c>
      <c r="K815" s="144">
        <f t="shared" ref="K815:Q824" ca="1" si="96">OFFSET($A815,0,K$3)/OFFSET($A815,0,$P$3)</f>
        <v>0.96438597898451917</v>
      </c>
      <c r="L815" s="144">
        <f t="shared" ca="1" si="96"/>
        <v>0.63206866126574157</v>
      </c>
      <c r="M815" s="144">
        <f t="shared" ca="1" si="96"/>
        <v>115.20814951471885</v>
      </c>
      <c r="N815" s="144">
        <f t="shared" ca="1" si="96"/>
        <v>6.7710756396887781</v>
      </c>
      <c r="O815" s="144">
        <f t="shared" ca="1" si="96"/>
        <v>46.296623084944258</v>
      </c>
      <c r="P815" s="144">
        <f t="shared" ca="1" si="96"/>
        <v>1</v>
      </c>
      <c r="Q815" s="144">
        <f t="shared" ca="1" si="96"/>
        <v>0.80211759043875841</v>
      </c>
    </row>
    <row r="816" spans="1:17" x14ac:dyDescent="0.25">
      <c r="A816" s="145">
        <v>41954</v>
      </c>
      <c r="B816" s="144">
        <v>1.2423999999999999</v>
      </c>
      <c r="C816" s="144">
        <v>57.987000000000002</v>
      </c>
      <c r="D816" s="144">
        <v>8.4864999999999995</v>
      </c>
      <c r="E816" s="144">
        <v>143.88</v>
      </c>
      <c r="F816" s="144">
        <v>0.78359999999999996</v>
      </c>
      <c r="G816" s="144">
        <v>1.2023999999999999</v>
      </c>
      <c r="I816" s="144">
        <v>1</v>
      </c>
      <c r="J816" s="145">
        <f t="shared" si="91"/>
        <v>41954</v>
      </c>
      <c r="K816" s="144">
        <f t="shared" ca="1" si="96"/>
        <v>0.96780424983902125</v>
      </c>
      <c r="L816" s="144">
        <f t="shared" ca="1" si="96"/>
        <v>0.63071474565357377</v>
      </c>
      <c r="M816" s="144">
        <f t="shared" ca="1" si="96"/>
        <v>115.80811332904057</v>
      </c>
      <c r="N816" s="144">
        <f t="shared" ca="1" si="96"/>
        <v>6.830730843528654</v>
      </c>
      <c r="O816" s="144">
        <f t="shared" ca="1" si="96"/>
        <v>46.673374114616877</v>
      </c>
      <c r="P816" s="144">
        <f t="shared" ca="1" si="96"/>
        <v>1</v>
      </c>
      <c r="Q816" s="144">
        <f t="shared" ca="1" si="96"/>
        <v>0.80489375402446883</v>
      </c>
    </row>
    <row r="817" spans="1:17" x14ac:dyDescent="0.25">
      <c r="A817" s="145">
        <v>41953</v>
      </c>
      <c r="B817" s="144">
        <v>1.2485999999999999</v>
      </c>
      <c r="C817" s="144">
        <v>56.787999999999997</v>
      </c>
      <c r="D817" s="144">
        <v>8.4235000000000007</v>
      </c>
      <c r="E817" s="144">
        <v>142.56</v>
      </c>
      <c r="F817" s="144">
        <v>0.78520000000000001</v>
      </c>
      <c r="G817" s="144">
        <v>1.2028000000000001</v>
      </c>
      <c r="I817" s="144">
        <v>1</v>
      </c>
      <c r="J817" s="145">
        <f t="shared" si="91"/>
        <v>41953</v>
      </c>
      <c r="K817" s="144">
        <f t="shared" ca="1" si="96"/>
        <v>0.96331891718724982</v>
      </c>
      <c r="L817" s="144">
        <f t="shared" ca="1" si="96"/>
        <v>0.6288643280474131</v>
      </c>
      <c r="M817" s="144">
        <f t="shared" ca="1" si="96"/>
        <v>114.17587698222009</v>
      </c>
      <c r="N817" s="144">
        <f t="shared" ca="1" si="96"/>
        <v>6.7463559186288649</v>
      </c>
      <c r="O817" s="144">
        <f t="shared" ca="1" si="96"/>
        <v>45.481339099791768</v>
      </c>
      <c r="P817" s="144">
        <f t="shared" ca="1" si="96"/>
        <v>1</v>
      </c>
      <c r="Q817" s="144">
        <f t="shared" ca="1" si="96"/>
        <v>0.80089700464520264</v>
      </c>
    </row>
    <row r="818" spans="1:17" x14ac:dyDescent="0.25">
      <c r="A818" s="145">
        <v>41952</v>
      </c>
      <c r="B818" s="144">
        <v>1.2393000000000001</v>
      </c>
      <c r="C818" s="144">
        <v>57.180199999999999</v>
      </c>
      <c r="D818" s="144">
        <v>8.4964999999999993</v>
      </c>
      <c r="E818" s="144">
        <v>142.88999999999999</v>
      </c>
      <c r="F818" s="144">
        <v>0.78339999999999999</v>
      </c>
      <c r="G818" s="144">
        <v>1.204</v>
      </c>
      <c r="I818" s="144">
        <v>1</v>
      </c>
      <c r="J818" s="145">
        <f t="shared" si="91"/>
        <v>41952</v>
      </c>
      <c r="K818" s="144">
        <f t="shared" ca="1" si="96"/>
        <v>0.97151617848785599</v>
      </c>
      <c r="L818" s="144">
        <f t="shared" ca="1" si="96"/>
        <v>0.63213104171709833</v>
      </c>
      <c r="M818" s="144">
        <f t="shared" ca="1" si="96"/>
        <v>115.29895908980875</v>
      </c>
      <c r="N818" s="144">
        <f t="shared" ca="1" si="96"/>
        <v>6.8558863874768008</v>
      </c>
      <c r="O818" s="144">
        <f t="shared" ca="1" si="96"/>
        <v>46.139110788348255</v>
      </c>
      <c r="P818" s="144">
        <f t="shared" ca="1" si="96"/>
        <v>1</v>
      </c>
      <c r="Q818" s="144">
        <f t="shared" ca="1" si="96"/>
        <v>0.80690712498991357</v>
      </c>
    </row>
    <row r="819" spans="1:17" x14ac:dyDescent="0.25">
      <c r="A819" s="145">
        <v>41951</v>
      </c>
      <c r="B819" s="144">
        <v>1.2393000000000001</v>
      </c>
      <c r="C819" s="144">
        <v>57.180199999999999</v>
      </c>
      <c r="D819" s="144">
        <v>8.4964999999999993</v>
      </c>
      <c r="E819" s="144">
        <v>142.88999999999999</v>
      </c>
      <c r="F819" s="144">
        <v>0.78339999999999999</v>
      </c>
      <c r="G819" s="144">
        <v>1.204</v>
      </c>
      <c r="I819" s="144">
        <v>1</v>
      </c>
      <c r="J819" s="145">
        <f t="shared" si="91"/>
        <v>41951</v>
      </c>
      <c r="K819" s="144">
        <f t="shared" ca="1" si="96"/>
        <v>0.97151617848785599</v>
      </c>
      <c r="L819" s="144">
        <f t="shared" ca="1" si="96"/>
        <v>0.63213104171709833</v>
      </c>
      <c r="M819" s="144">
        <f t="shared" ca="1" si="96"/>
        <v>115.29895908980875</v>
      </c>
      <c r="N819" s="144">
        <f t="shared" ca="1" si="96"/>
        <v>6.8558863874768008</v>
      </c>
      <c r="O819" s="144">
        <f t="shared" ca="1" si="96"/>
        <v>46.139110788348255</v>
      </c>
      <c r="P819" s="144">
        <f t="shared" ca="1" si="96"/>
        <v>1</v>
      </c>
      <c r="Q819" s="144">
        <f t="shared" ca="1" si="96"/>
        <v>0.80690712498991357</v>
      </c>
    </row>
    <row r="820" spans="1:17" x14ac:dyDescent="0.25">
      <c r="A820" s="145">
        <v>41950</v>
      </c>
      <c r="B820" s="144">
        <v>1.2393000000000001</v>
      </c>
      <c r="C820" s="144">
        <v>57.180199999999999</v>
      </c>
      <c r="D820" s="144">
        <v>8.4964999999999993</v>
      </c>
      <c r="E820" s="144">
        <v>142.88999999999999</v>
      </c>
      <c r="F820" s="144">
        <v>0.78339999999999999</v>
      </c>
      <c r="G820" s="144">
        <v>1.204</v>
      </c>
      <c r="I820" s="144">
        <v>1</v>
      </c>
      <c r="J820" s="145">
        <f t="shared" si="91"/>
        <v>41950</v>
      </c>
      <c r="K820" s="144">
        <f t="shared" ca="1" si="96"/>
        <v>0.97151617848785599</v>
      </c>
      <c r="L820" s="144">
        <f t="shared" ca="1" si="96"/>
        <v>0.63213104171709833</v>
      </c>
      <c r="M820" s="144">
        <f t="shared" ca="1" si="96"/>
        <v>115.29895908980875</v>
      </c>
      <c r="N820" s="144">
        <f t="shared" ca="1" si="96"/>
        <v>6.8558863874768008</v>
      </c>
      <c r="O820" s="144">
        <f t="shared" ca="1" si="96"/>
        <v>46.139110788348255</v>
      </c>
      <c r="P820" s="144">
        <f t="shared" ca="1" si="96"/>
        <v>1</v>
      </c>
      <c r="Q820" s="144">
        <f t="shared" ca="1" si="96"/>
        <v>0.80690712498991357</v>
      </c>
    </row>
    <row r="821" spans="1:17" x14ac:dyDescent="0.25">
      <c r="A821" s="145">
        <v>41949</v>
      </c>
      <c r="B821" s="144">
        <v>1.2517</v>
      </c>
      <c r="C821" s="144">
        <v>57.593000000000004</v>
      </c>
      <c r="D821" s="144">
        <v>8.5165000000000006</v>
      </c>
      <c r="E821" s="144">
        <v>143.33000000000001</v>
      </c>
      <c r="F821" s="144">
        <v>0.78615000000000002</v>
      </c>
      <c r="G821" s="144">
        <v>1.2044999999999999</v>
      </c>
      <c r="I821" s="144">
        <v>1</v>
      </c>
      <c r="J821" s="145">
        <f t="shared" si="91"/>
        <v>41949</v>
      </c>
      <c r="K821" s="144">
        <f t="shared" ca="1" si="96"/>
        <v>0.96229128385395857</v>
      </c>
      <c r="L821" s="144">
        <f t="shared" ca="1" si="96"/>
        <v>0.62806583047056008</v>
      </c>
      <c r="M821" s="144">
        <f t="shared" ca="1" si="96"/>
        <v>114.5082687544939</v>
      </c>
      <c r="N821" s="144">
        <f t="shared" ca="1" si="96"/>
        <v>6.8039466325796916</v>
      </c>
      <c r="O821" s="144">
        <f t="shared" ca="1" si="96"/>
        <v>46.011823919469521</v>
      </c>
      <c r="P821" s="144">
        <f t="shared" ca="1" si="96"/>
        <v>1</v>
      </c>
      <c r="Q821" s="144">
        <f t="shared" ca="1" si="96"/>
        <v>0.79891347767036824</v>
      </c>
    </row>
    <row r="822" spans="1:17" x14ac:dyDescent="0.25">
      <c r="A822" s="145">
        <v>41948</v>
      </c>
      <c r="B822" s="144">
        <v>1.248</v>
      </c>
      <c r="C822" s="144">
        <v>55.351999999999997</v>
      </c>
      <c r="D822" s="144">
        <v>8.5739999999999998</v>
      </c>
      <c r="E822" s="144">
        <v>143.21</v>
      </c>
      <c r="F822" s="144">
        <v>0.7843</v>
      </c>
      <c r="G822" s="144">
        <v>1.2042999999999999</v>
      </c>
      <c r="I822" s="144">
        <v>1</v>
      </c>
      <c r="J822" s="145">
        <f t="shared" si="91"/>
        <v>41948</v>
      </c>
      <c r="K822" s="144">
        <f t="shared" ca="1" si="96"/>
        <v>0.96498397435897432</v>
      </c>
      <c r="L822" s="144">
        <f t="shared" ca="1" si="96"/>
        <v>0.62844551282051286</v>
      </c>
      <c r="M822" s="144">
        <f t="shared" ca="1" si="96"/>
        <v>114.75160256410257</v>
      </c>
      <c r="N822" s="144">
        <f t="shared" ca="1" si="96"/>
        <v>6.8701923076923075</v>
      </c>
      <c r="O822" s="144">
        <f t="shared" ca="1" si="96"/>
        <v>44.352564102564102</v>
      </c>
      <c r="P822" s="144">
        <f t="shared" ca="1" si="96"/>
        <v>1</v>
      </c>
      <c r="Q822" s="144">
        <f t="shared" ca="1" si="96"/>
        <v>0.80128205128205132</v>
      </c>
    </row>
    <row r="823" spans="1:17" x14ac:dyDescent="0.25">
      <c r="A823" s="145">
        <v>41947</v>
      </c>
      <c r="B823" s="144">
        <v>1.2514000000000001</v>
      </c>
      <c r="C823" s="144">
        <v>54.637500000000003</v>
      </c>
      <c r="D823" s="144">
        <v>8.5775000000000006</v>
      </c>
      <c r="E823" s="144">
        <v>141.96</v>
      </c>
      <c r="F823" s="144">
        <v>0.78190000000000004</v>
      </c>
      <c r="G823" s="144">
        <v>1.2055</v>
      </c>
      <c r="I823" s="144">
        <v>1</v>
      </c>
      <c r="J823" s="145">
        <f t="shared" si="91"/>
        <v>41947</v>
      </c>
      <c r="K823" s="144">
        <f t="shared" ca="1" si="96"/>
        <v>0.96332108038996322</v>
      </c>
      <c r="L823" s="144">
        <f t="shared" ca="1" si="96"/>
        <v>0.62482020137446059</v>
      </c>
      <c r="M823" s="144">
        <f t="shared" ca="1" si="96"/>
        <v>113.44094614032284</v>
      </c>
      <c r="N823" s="144">
        <f t="shared" ca="1" si="96"/>
        <v>6.8543231580629698</v>
      </c>
      <c r="O823" s="144">
        <f t="shared" ca="1" si="96"/>
        <v>43.661099568483301</v>
      </c>
      <c r="P823" s="144">
        <f t="shared" ca="1" si="96"/>
        <v>1</v>
      </c>
      <c r="Q823" s="144">
        <f t="shared" ca="1" si="96"/>
        <v>0.79910500239731497</v>
      </c>
    </row>
    <row r="824" spans="1:17" x14ac:dyDescent="0.25">
      <c r="A824" s="145">
        <v>41946</v>
      </c>
      <c r="B824" s="144">
        <v>1.2493000000000001</v>
      </c>
      <c r="C824" s="144">
        <v>54.113500000000002</v>
      </c>
      <c r="D824" s="144">
        <v>8.4640000000000004</v>
      </c>
      <c r="E824" s="144">
        <v>142.19</v>
      </c>
      <c r="F824" s="144">
        <v>0.78085000000000004</v>
      </c>
      <c r="G824" s="144">
        <v>1.2054</v>
      </c>
      <c r="I824" s="144">
        <v>1</v>
      </c>
      <c r="J824" s="145">
        <f t="shared" si="91"/>
        <v>41946</v>
      </c>
      <c r="K824" s="144">
        <f t="shared" ca="1" si="96"/>
        <v>0.96486032178019687</v>
      </c>
      <c r="L824" s="144">
        <f t="shared" ca="1" si="96"/>
        <v>0.62503001680941328</v>
      </c>
      <c r="M824" s="144">
        <f t="shared" ca="1" si="96"/>
        <v>113.81573681261506</v>
      </c>
      <c r="N824" s="144">
        <f t="shared" ca="1" si="96"/>
        <v>6.7749939966381172</v>
      </c>
      <c r="O824" s="144">
        <f t="shared" ca="1" si="96"/>
        <v>43.315056431601697</v>
      </c>
      <c r="P824" s="144">
        <f t="shared" ca="1" si="96"/>
        <v>1</v>
      </c>
      <c r="Q824" s="144">
        <f t="shared" ca="1" si="96"/>
        <v>0.80044825102057149</v>
      </c>
    </row>
    <row r="825" spans="1:17" x14ac:dyDescent="0.25">
      <c r="A825" s="145">
        <v>41945</v>
      </c>
      <c r="B825" s="144">
        <v>1.2524</v>
      </c>
      <c r="C825" s="144">
        <v>53.857500000000002</v>
      </c>
      <c r="D825" s="144">
        <v>8.49</v>
      </c>
      <c r="E825" s="144">
        <v>140.18</v>
      </c>
      <c r="F825" s="144">
        <v>0.78425</v>
      </c>
      <c r="G825" s="144">
        <v>1.2067000000000001</v>
      </c>
      <c r="I825" s="144">
        <v>1</v>
      </c>
      <c r="J825" s="145">
        <f t="shared" si="91"/>
        <v>41945</v>
      </c>
      <c r="K825" s="144">
        <f t="shared" ref="K825:Q834" ca="1" si="97">OFFSET($A825,0,K$3)/OFFSET($A825,0,$P$3)</f>
        <v>0.96351006068348777</v>
      </c>
      <c r="L825" s="144">
        <f t="shared" ca="1" si="97"/>
        <v>0.62619770041520284</v>
      </c>
      <c r="M825" s="144">
        <f t="shared" ca="1" si="97"/>
        <v>111.92909613542</v>
      </c>
      <c r="N825" s="144">
        <f t="shared" ca="1" si="97"/>
        <v>6.7789843500479083</v>
      </c>
      <c r="O825" s="144">
        <f t="shared" ca="1" si="97"/>
        <v>43.003433407856917</v>
      </c>
      <c r="P825" s="144">
        <f t="shared" ca="1" si="97"/>
        <v>1</v>
      </c>
      <c r="Q825" s="144">
        <f t="shared" ca="1" si="97"/>
        <v>0.79846694346854041</v>
      </c>
    </row>
    <row r="826" spans="1:17" x14ac:dyDescent="0.25">
      <c r="A826" s="145">
        <v>41944</v>
      </c>
      <c r="B826" s="144">
        <v>1.2524</v>
      </c>
      <c r="C826" s="144">
        <v>53.857500000000002</v>
      </c>
      <c r="D826" s="144">
        <v>8.49</v>
      </c>
      <c r="E826" s="144">
        <v>140.18</v>
      </c>
      <c r="F826" s="144">
        <v>0.78425</v>
      </c>
      <c r="G826" s="144">
        <v>1.2067000000000001</v>
      </c>
      <c r="I826" s="144">
        <v>1</v>
      </c>
      <c r="J826" s="145">
        <f t="shared" si="91"/>
        <v>41944</v>
      </c>
      <c r="K826" s="144">
        <f t="shared" ca="1" si="97"/>
        <v>0.96351006068348777</v>
      </c>
      <c r="L826" s="144">
        <f t="shared" ca="1" si="97"/>
        <v>0.62619770041520284</v>
      </c>
      <c r="M826" s="144">
        <f t="shared" ca="1" si="97"/>
        <v>111.92909613542</v>
      </c>
      <c r="N826" s="144">
        <f t="shared" ca="1" si="97"/>
        <v>6.7789843500479083</v>
      </c>
      <c r="O826" s="144">
        <f t="shared" ca="1" si="97"/>
        <v>43.003433407856917</v>
      </c>
      <c r="P826" s="144">
        <f t="shared" ca="1" si="97"/>
        <v>1</v>
      </c>
      <c r="Q826" s="144">
        <f t="shared" ca="1" si="97"/>
        <v>0.79846694346854041</v>
      </c>
    </row>
    <row r="827" spans="1:17" x14ac:dyDescent="0.25">
      <c r="A827" s="145">
        <v>41943</v>
      </c>
      <c r="B827" s="144">
        <v>1.2524</v>
      </c>
      <c r="C827" s="144">
        <v>53.857500000000002</v>
      </c>
      <c r="D827" s="144">
        <v>8.49</v>
      </c>
      <c r="E827" s="144">
        <v>140.18</v>
      </c>
      <c r="F827" s="144">
        <v>0.78425</v>
      </c>
      <c r="G827" s="144">
        <v>1.2067000000000001</v>
      </c>
      <c r="I827" s="144">
        <v>1</v>
      </c>
      <c r="J827" s="145">
        <f t="shared" si="91"/>
        <v>41943</v>
      </c>
      <c r="K827" s="144">
        <f t="shared" ca="1" si="97"/>
        <v>0.96351006068348777</v>
      </c>
      <c r="L827" s="144">
        <f t="shared" ca="1" si="97"/>
        <v>0.62619770041520284</v>
      </c>
      <c r="M827" s="144">
        <f t="shared" ca="1" si="97"/>
        <v>111.92909613542</v>
      </c>
      <c r="N827" s="144">
        <f t="shared" ca="1" si="97"/>
        <v>6.7789843500479083</v>
      </c>
      <c r="O827" s="144">
        <f t="shared" ca="1" si="97"/>
        <v>43.003433407856917</v>
      </c>
      <c r="P827" s="144">
        <f t="shared" ca="1" si="97"/>
        <v>1</v>
      </c>
      <c r="Q827" s="144">
        <f t="shared" ca="1" si="97"/>
        <v>0.79846694346854041</v>
      </c>
    </row>
    <row r="828" spans="1:17" x14ac:dyDescent="0.25">
      <c r="A828" s="145">
        <v>41942</v>
      </c>
      <c r="B828" s="144">
        <v>1.2598</v>
      </c>
      <c r="C828" s="144">
        <v>53.0991</v>
      </c>
      <c r="D828" s="144">
        <v>8.4604999999999997</v>
      </c>
      <c r="E828" s="144">
        <v>137.27000000000001</v>
      </c>
      <c r="F828" s="144">
        <v>0.78720000000000001</v>
      </c>
      <c r="G828" s="144">
        <v>1.2059</v>
      </c>
      <c r="I828" s="144">
        <v>1</v>
      </c>
      <c r="J828" s="145">
        <f t="shared" si="91"/>
        <v>41942</v>
      </c>
      <c r="K828" s="144">
        <f t="shared" ca="1" si="97"/>
        <v>0.95721543102079687</v>
      </c>
      <c r="L828" s="144">
        <f t="shared" ca="1" si="97"/>
        <v>0.62486108906175586</v>
      </c>
      <c r="M828" s="144">
        <f t="shared" ca="1" si="97"/>
        <v>108.96173995872361</v>
      </c>
      <c r="N828" s="144">
        <f t="shared" ca="1" si="97"/>
        <v>6.7157485315129382</v>
      </c>
      <c r="O828" s="144">
        <f t="shared" ca="1" si="97"/>
        <v>42.148833148118747</v>
      </c>
      <c r="P828" s="144">
        <f t="shared" ca="1" si="97"/>
        <v>1</v>
      </c>
      <c r="Q828" s="144">
        <f t="shared" ca="1" si="97"/>
        <v>0.79377678996666134</v>
      </c>
    </row>
    <row r="829" spans="1:17" x14ac:dyDescent="0.25">
      <c r="A829" s="145">
        <v>41941</v>
      </c>
      <c r="B829" s="144">
        <v>1.2737000000000001</v>
      </c>
      <c r="C829" s="144">
        <v>54.603099999999998</v>
      </c>
      <c r="D829" s="144">
        <v>8.4674999999999994</v>
      </c>
      <c r="E829" s="144">
        <v>137.75</v>
      </c>
      <c r="F829" s="144">
        <v>0.79095000000000004</v>
      </c>
      <c r="G829" s="144">
        <v>1.2059</v>
      </c>
      <c r="I829" s="144">
        <v>1</v>
      </c>
      <c r="J829" s="145">
        <f t="shared" si="91"/>
        <v>41941</v>
      </c>
      <c r="K829" s="144">
        <f t="shared" ca="1" si="97"/>
        <v>0.94676925492659181</v>
      </c>
      <c r="L829" s="144">
        <f t="shared" ca="1" si="97"/>
        <v>0.62098610347805605</v>
      </c>
      <c r="M829" s="144">
        <f t="shared" ca="1" si="97"/>
        <v>108.14948575017665</v>
      </c>
      <c r="N829" s="144">
        <f t="shared" ca="1" si="97"/>
        <v>6.6479547774201135</v>
      </c>
      <c r="O829" s="144">
        <f t="shared" ca="1" si="97"/>
        <v>42.869671037135902</v>
      </c>
      <c r="P829" s="144">
        <f t="shared" ca="1" si="97"/>
        <v>1</v>
      </c>
      <c r="Q829" s="144">
        <f t="shared" ca="1" si="97"/>
        <v>0.78511423412106462</v>
      </c>
    </row>
    <row r="830" spans="1:17" x14ac:dyDescent="0.25">
      <c r="A830" s="145">
        <v>41940</v>
      </c>
      <c r="B830" s="144">
        <v>1.2747999999999999</v>
      </c>
      <c r="C830" s="144">
        <v>54.149000000000001</v>
      </c>
      <c r="D830" s="144">
        <v>8.4414999999999996</v>
      </c>
      <c r="E830" s="144">
        <v>137.44999999999999</v>
      </c>
      <c r="F830" s="144">
        <v>0.78810000000000002</v>
      </c>
      <c r="G830" s="144">
        <v>1.2056</v>
      </c>
      <c r="I830" s="144">
        <v>1</v>
      </c>
      <c r="J830" s="145">
        <f t="shared" si="91"/>
        <v>41940</v>
      </c>
      <c r="K830" s="144">
        <f t="shared" ca="1" si="97"/>
        <v>0.94571697521179798</v>
      </c>
      <c r="L830" s="144">
        <f t="shared" ca="1" si="97"/>
        <v>0.6182146219014748</v>
      </c>
      <c r="M830" s="144">
        <f t="shared" ca="1" si="97"/>
        <v>107.82083464072795</v>
      </c>
      <c r="N830" s="144">
        <f t="shared" ca="1" si="97"/>
        <v>6.6218230310636965</v>
      </c>
      <c r="O830" s="144">
        <f t="shared" ca="1" si="97"/>
        <v>42.476466896768123</v>
      </c>
      <c r="P830" s="144">
        <f t="shared" ca="1" si="97"/>
        <v>1</v>
      </c>
      <c r="Q830" s="144">
        <f t="shared" ca="1" si="97"/>
        <v>0.78443677439598369</v>
      </c>
    </row>
    <row r="831" spans="1:17" x14ac:dyDescent="0.25">
      <c r="A831" s="145">
        <v>41939</v>
      </c>
      <c r="B831" s="144">
        <v>1.2679</v>
      </c>
      <c r="C831" s="144">
        <v>53.607999999999997</v>
      </c>
      <c r="D831" s="144">
        <v>8.3949999999999996</v>
      </c>
      <c r="E831" s="144">
        <v>136.76</v>
      </c>
      <c r="F831" s="144">
        <v>0.78710000000000002</v>
      </c>
      <c r="G831" s="144">
        <v>1.206</v>
      </c>
      <c r="I831" s="144">
        <v>1</v>
      </c>
      <c r="J831" s="145">
        <f t="shared" si="91"/>
        <v>41939</v>
      </c>
      <c r="K831" s="144">
        <f t="shared" ca="1" si="97"/>
        <v>0.95117911507216657</v>
      </c>
      <c r="L831" s="144">
        <f t="shared" ca="1" si="97"/>
        <v>0.62079028314535845</v>
      </c>
      <c r="M831" s="144">
        <f t="shared" ca="1" si="97"/>
        <v>107.86339616689013</v>
      </c>
      <c r="N831" s="144">
        <f t="shared" ca="1" si="97"/>
        <v>6.6211846360123037</v>
      </c>
      <c r="O831" s="144">
        <f t="shared" ca="1" si="97"/>
        <v>42.280936982411859</v>
      </c>
      <c r="P831" s="144">
        <f t="shared" ca="1" si="97"/>
        <v>1</v>
      </c>
      <c r="Q831" s="144">
        <f t="shared" ca="1" si="97"/>
        <v>0.78870573389068532</v>
      </c>
    </row>
    <row r="832" spans="1:17" x14ac:dyDescent="0.25">
      <c r="A832" s="145">
        <v>41938</v>
      </c>
      <c r="B832" s="144">
        <v>1.2659</v>
      </c>
      <c r="C832" s="144">
        <v>53.133000000000003</v>
      </c>
      <c r="D832" s="144">
        <v>8.34</v>
      </c>
      <c r="E832" s="144">
        <v>136.63999999999999</v>
      </c>
      <c r="F832" s="144">
        <v>0.78869999999999996</v>
      </c>
      <c r="G832" s="144">
        <v>1.206</v>
      </c>
      <c r="I832" s="144">
        <v>1</v>
      </c>
      <c r="J832" s="145">
        <f t="shared" si="91"/>
        <v>41938</v>
      </c>
      <c r="K832" s="144">
        <f t="shared" ca="1" si="97"/>
        <v>0.95268188640492923</v>
      </c>
      <c r="L832" s="144">
        <f t="shared" ca="1" si="97"/>
        <v>0.62303499486531322</v>
      </c>
      <c r="M832" s="144">
        <f t="shared" ca="1" si="97"/>
        <v>107.93901572004107</v>
      </c>
      <c r="N832" s="144">
        <f t="shared" ca="1" si="97"/>
        <v>6.5881981199146846</v>
      </c>
      <c r="O832" s="144">
        <f t="shared" ca="1" si="97"/>
        <v>41.972509676909709</v>
      </c>
      <c r="P832" s="144">
        <f t="shared" ca="1" si="97"/>
        <v>1</v>
      </c>
      <c r="Q832" s="144">
        <f t="shared" ca="1" si="97"/>
        <v>0.78995181293941064</v>
      </c>
    </row>
    <row r="833" spans="1:17" x14ac:dyDescent="0.25">
      <c r="A833" s="145">
        <v>41937</v>
      </c>
      <c r="B833" s="144">
        <v>1.2659</v>
      </c>
      <c r="C833" s="144">
        <v>53.133000000000003</v>
      </c>
      <c r="D833" s="144">
        <v>8.34</v>
      </c>
      <c r="E833" s="144">
        <v>136.63999999999999</v>
      </c>
      <c r="F833" s="144">
        <v>0.78869999999999996</v>
      </c>
      <c r="G833" s="144">
        <v>1.206</v>
      </c>
      <c r="I833" s="144">
        <v>1</v>
      </c>
      <c r="J833" s="145">
        <f t="shared" si="91"/>
        <v>41937</v>
      </c>
      <c r="K833" s="144">
        <f t="shared" ca="1" si="97"/>
        <v>0.95268188640492923</v>
      </c>
      <c r="L833" s="144">
        <f t="shared" ca="1" si="97"/>
        <v>0.62303499486531322</v>
      </c>
      <c r="M833" s="144">
        <f t="shared" ca="1" si="97"/>
        <v>107.93901572004107</v>
      </c>
      <c r="N833" s="144">
        <f t="shared" ca="1" si="97"/>
        <v>6.5881981199146846</v>
      </c>
      <c r="O833" s="144">
        <f t="shared" ca="1" si="97"/>
        <v>41.972509676909709</v>
      </c>
      <c r="P833" s="144">
        <f t="shared" ca="1" si="97"/>
        <v>1</v>
      </c>
      <c r="Q833" s="144">
        <f t="shared" ca="1" si="97"/>
        <v>0.78995181293941064</v>
      </c>
    </row>
    <row r="834" spans="1:17" x14ac:dyDescent="0.25">
      <c r="A834" s="145">
        <v>41936</v>
      </c>
      <c r="B834" s="144">
        <v>1.2659</v>
      </c>
      <c r="C834" s="144">
        <v>53.133000000000003</v>
      </c>
      <c r="D834" s="144">
        <v>8.34</v>
      </c>
      <c r="E834" s="144">
        <v>136.63999999999999</v>
      </c>
      <c r="F834" s="144">
        <v>0.78869999999999996</v>
      </c>
      <c r="G834" s="144">
        <v>1.206</v>
      </c>
      <c r="I834" s="144">
        <v>1</v>
      </c>
      <c r="J834" s="145">
        <f t="shared" si="91"/>
        <v>41936</v>
      </c>
      <c r="K834" s="144">
        <f t="shared" ca="1" si="97"/>
        <v>0.95268188640492923</v>
      </c>
      <c r="L834" s="144">
        <f t="shared" ca="1" si="97"/>
        <v>0.62303499486531322</v>
      </c>
      <c r="M834" s="144">
        <f t="shared" ca="1" si="97"/>
        <v>107.93901572004107</v>
      </c>
      <c r="N834" s="144">
        <f t="shared" ca="1" si="97"/>
        <v>6.5881981199146846</v>
      </c>
      <c r="O834" s="144">
        <f t="shared" ca="1" si="97"/>
        <v>41.972509676909709</v>
      </c>
      <c r="P834" s="144">
        <f t="shared" ca="1" si="97"/>
        <v>1</v>
      </c>
      <c r="Q834" s="144">
        <f t="shared" ca="1" si="97"/>
        <v>0.78995181293941064</v>
      </c>
    </row>
    <row r="835" spans="1:17" x14ac:dyDescent="0.25">
      <c r="A835" s="145">
        <v>41935</v>
      </c>
      <c r="B835" s="144">
        <v>1.2668999999999999</v>
      </c>
      <c r="C835" s="144">
        <v>52.6736</v>
      </c>
      <c r="D835" s="144">
        <v>8.3089999999999993</v>
      </c>
      <c r="E835" s="144">
        <v>136.41999999999999</v>
      </c>
      <c r="F835" s="144">
        <v>0.79039999999999999</v>
      </c>
      <c r="G835" s="144">
        <v>1.2067000000000001</v>
      </c>
      <c r="I835" s="144">
        <v>1</v>
      </c>
      <c r="J835" s="145">
        <f t="shared" si="91"/>
        <v>41935</v>
      </c>
      <c r="K835" s="144">
        <f t="shared" ref="K835:Q844" ca="1" si="98">OFFSET($A835,0,K$3)/OFFSET($A835,0,$P$3)</f>
        <v>0.9524824374457338</v>
      </c>
      <c r="L835" s="144">
        <f t="shared" ca="1" si="98"/>
        <v>0.62388507380219438</v>
      </c>
      <c r="M835" s="144">
        <f t="shared" ca="1" si="98"/>
        <v>107.68016418028257</v>
      </c>
      <c r="N835" s="144">
        <f t="shared" ca="1" si="98"/>
        <v>6.558528692083037</v>
      </c>
      <c r="O835" s="144">
        <f t="shared" ca="1" si="98"/>
        <v>41.576762175388744</v>
      </c>
      <c r="P835" s="144">
        <f t="shared" ca="1" si="98"/>
        <v>1</v>
      </c>
      <c r="Q835" s="144">
        <f t="shared" ca="1" si="98"/>
        <v>0.78932828163233093</v>
      </c>
    </row>
    <row r="836" spans="1:17" x14ac:dyDescent="0.25">
      <c r="A836" s="145">
        <v>41934</v>
      </c>
      <c r="B836" s="144">
        <v>1.2693000000000001</v>
      </c>
      <c r="C836" s="144">
        <v>52.143000000000001</v>
      </c>
      <c r="D836" s="144">
        <v>8.3815000000000008</v>
      </c>
      <c r="E836" s="144">
        <v>135.79</v>
      </c>
      <c r="F836" s="144">
        <v>0.79090000000000005</v>
      </c>
      <c r="G836" s="144">
        <v>1.2061999999999999</v>
      </c>
      <c r="I836" s="144">
        <v>1</v>
      </c>
      <c r="J836" s="145">
        <f t="shared" si="91"/>
        <v>41934</v>
      </c>
      <c r="K836" s="144">
        <f t="shared" ca="1" si="98"/>
        <v>0.95028756007248083</v>
      </c>
      <c r="L836" s="144">
        <f t="shared" ca="1" si="98"/>
        <v>0.62309934609627349</v>
      </c>
      <c r="M836" s="144">
        <f t="shared" ca="1" si="98"/>
        <v>106.98022532104308</v>
      </c>
      <c r="N836" s="144">
        <f t="shared" ca="1" si="98"/>
        <v>6.6032458835578671</v>
      </c>
      <c r="O836" s="144">
        <f t="shared" ca="1" si="98"/>
        <v>41.080122902387139</v>
      </c>
      <c r="P836" s="144">
        <f t="shared" ca="1" si="98"/>
        <v>1</v>
      </c>
      <c r="Q836" s="144">
        <f t="shared" ca="1" si="98"/>
        <v>0.78783581501615052</v>
      </c>
    </row>
    <row r="837" spans="1:17" x14ac:dyDescent="0.25">
      <c r="A837" s="145">
        <v>41933</v>
      </c>
      <c r="B837" s="144">
        <v>1.2762</v>
      </c>
      <c r="C837" s="144">
        <v>52.362099999999998</v>
      </c>
      <c r="D837" s="144">
        <v>8.3670000000000009</v>
      </c>
      <c r="E837" s="144">
        <v>136.19999999999999</v>
      </c>
      <c r="F837" s="144">
        <v>0.79</v>
      </c>
      <c r="G837" s="144">
        <v>1.2068000000000001</v>
      </c>
      <c r="I837" s="144">
        <v>1</v>
      </c>
      <c r="J837" s="145">
        <f t="shared" ref="J837:J900" si="99">A837</f>
        <v>41933</v>
      </c>
      <c r="K837" s="144">
        <f t="shared" ca="1" si="98"/>
        <v>0.94561980880739704</v>
      </c>
      <c r="L837" s="144">
        <f t="shared" ca="1" si="98"/>
        <v>0.61902523115499142</v>
      </c>
      <c r="M837" s="144">
        <f t="shared" ca="1" si="98"/>
        <v>106.72308415608838</v>
      </c>
      <c r="N837" s="144">
        <f t="shared" ca="1" si="98"/>
        <v>6.5561824165491309</v>
      </c>
      <c r="O837" s="144">
        <f t="shared" ca="1" si="98"/>
        <v>41.029697539570599</v>
      </c>
      <c r="P837" s="144">
        <f t="shared" ca="1" si="98"/>
        <v>1</v>
      </c>
      <c r="Q837" s="144">
        <f t="shared" ca="1" si="98"/>
        <v>0.78357624196834352</v>
      </c>
    </row>
    <row r="838" spans="1:17" x14ac:dyDescent="0.25">
      <c r="A838" s="145">
        <v>41932</v>
      </c>
      <c r="B838" s="144">
        <v>1.2773000000000001</v>
      </c>
      <c r="C838" s="144">
        <v>52.419800000000002</v>
      </c>
      <c r="D838" s="144">
        <v>8.39</v>
      </c>
      <c r="E838" s="144">
        <v>136.62</v>
      </c>
      <c r="F838" s="144">
        <v>0.79139999999999999</v>
      </c>
      <c r="G838" s="144">
        <v>1.2063999999999999</v>
      </c>
      <c r="I838" s="144">
        <v>1</v>
      </c>
      <c r="J838" s="145">
        <f t="shared" si="99"/>
        <v>41932</v>
      </c>
      <c r="K838" s="144">
        <f t="shared" ca="1" si="98"/>
        <v>0.94449228842088762</v>
      </c>
      <c r="L838" s="144">
        <f t="shared" ca="1" si="98"/>
        <v>0.61958819384639463</v>
      </c>
      <c r="M838" s="144">
        <f t="shared" ca="1" si="98"/>
        <v>106.95999373678853</v>
      </c>
      <c r="N838" s="144">
        <f t="shared" ca="1" si="98"/>
        <v>6.5685430204337276</v>
      </c>
      <c r="O838" s="144">
        <f t="shared" ca="1" si="98"/>
        <v>41.039536522351831</v>
      </c>
      <c r="P838" s="144">
        <f t="shared" ca="1" si="98"/>
        <v>1</v>
      </c>
      <c r="Q838" s="144">
        <f t="shared" ca="1" si="98"/>
        <v>0.78290143270962176</v>
      </c>
    </row>
    <row r="839" spans="1:17" x14ac:dyDescent="0.25">
      <c r="A839" s="145">
        <v>41931</v>
      </c>
      <c r="B839" s="144">
        <v>1.2823</v>
      </c>
      <c r="C839" s="144">
        <v>52.311100000000003</v>
      </c>
      <c r="D839" s="144">
        <v>8.3815000000000008</v>
      </c>
      <c r="E839" s="144">
        <v>136.44999999999999</v>
      </c>
      <c r="F839" s="144">
        <v>0.79549999999999998</v>
      </c>
      <c r="G839" s="144">
        <v>1.2074</v>
      </c>
      <c r="I839" s="144">
        <v>1</v>
      </c>
      <c r="J839" s="145">
        <f t="shared" si="99"/>
        <v>41931</v>
      </c>
      <c r="K839" s="144">
        <f t="shared" ca="1" si="98"/>
        <v>0.94158933166965608</v>
      </c>
      <c r="L839" s="144">
        <f t="shared" ca="1" si="98"/>
        <v>0.62036964828823205</v>
      </c>
      <c r="M839" s="144">
        <f t="shared" ca="1" si="98"/>
        <v>106.41035639086016</v>
      </c>
      <c r="N839" s="144">
        <f t="shared" ca="1" si="98"/>
        <v>6.5363019574202612</v>
      </c>
      <c r="O839" s="144">
        <f t="shared" ca="1" si="98"/>
        <v>40.794743819698979</v>
      </c>
      <c r="P839" s="144">
        <f t="shared" ca="1" si="98"/>
        <v>1</v>
      </c>
      <c r="Q839" s="144">
        <f t="shared" ca="1" si="98"/>
        <v>0.77984870935038608</v>
      </c>
    </row>
    <row r="840" spans="1:17" x14ac:dyDescent="0.25">
      <c r="A840" s="145">
        <v>41930</v>
      </c>
      <c r="B840" s="144">
        <v>1.2823</v>
      </c>
      <c r="C840" s="144">
        <v>52.311100000000003</v>
      </c>
      <c r="D840" s="144">
        <v>8.3815000000000008</v>
      </c>
      <c r="E840" s="144">
        <v>136.44999999999999</v>
      </c>
      <c r="F840" s="144">
        <v>0.79549999999999998</v>
      </c>
      <c r="G840" s="144">
        <v>1.2074</v>
      </c>
      <c r="I840" s="144">
        <v>1</v>
      </c>
      <c r="J840" s="145">
        <f t="shared" si="99"/>
        <v>41930</v>
      </c>
      <c r="K840" s="144">
        <f t="shared" ca="1" si="98"/>
        <v>0.94158933166965608</v>
      </c>
      <c r="L840" s="144">
        <f t="shared" ca="1" si="98"/>
        <v>0.62036964828823205</v>
      </c>
      <c r="M840" s="144">
        <f t="shared" ca="1" si="98"/>
        <v>106.41035639086016</v>
      </c>
      <c r="N840" s="144">
        <f t="shared" ca="1" si="98"/>
        <v>6.5363019574202612</v>
      </c>
      <c r="O840" s="144">
        <f t="shared" ca="1" si="98"/>
        <v>40.794743819698979</v>
      </c>
      <c r="P840" s="144">
        <f t="shared" ca="1" si="98"/>
        <v>1</v>
      </c>
      <c r="Q840" s="144">
        <f t="shared" ca="1" si="98"/>
        <v>0.77984870935038608</v>
      </c>
    </row>
    <row r="841" spans="1:17" x14ac:dyDescent="0.25">
      <c r="A841" s="145">
        <v>41929</v>
      </c>
      <c r="B841" s="144">
        <v>1.2823</v>
      </c>
      <c r="C841" s="144">
        <v>52.311100000000003</v>
      </c>
      <c r="D841" s="144">
        <v>8.3815000000000008</v>
      </c>
      <c r="E841" s="144">
        <v>136.44999999999999</v>
      </c>
      <c r="F841" s="144">
        <v>0.79549999999999998</v>
      </c>
      <c r="G841" s="144">
        <v>1.2074</v>
      </c>
      <c r="I841" s="144">
        <v>1</v>
      </c>
      <c r="J841" s="145">
        <f t="shared" si="99"/>
        <v>41929</v>
      </c>
      <c r="K841" s="144">
        <f t="shared" ca="1" si="98"/>
        <v>0.94158933166965608</v>
      </c>
      <c r="L841" s="144">
        <f t="shared" ca="1" si="98"/>
        <v>0.62036964828823205</v>
      </c>
      <c r="M841" s="144">
        <f t="shared" ca="1" si="98"/>
        <v>106.41035639086016</v>
      </c>
      <c r="N841" s="144">
        <f t="shared" ca="1" si="98"/>
        <v>6.5363019574202612</v>
      </c>
      <c r="O841" s="144">
        <f t="shared" ca="1" si="98"/>
        <v>40.794743819698979</v>
      </c>
      <c r="P841" s="144">
        <f t="shared" ca="1" si="98"/>
        <v>1</v>
      </c>
      <c r="Q841" s="144">
        <f t="shared" ca="1" si="98"/>
        <v>0.77984870935038608</v>
      </c>
    </row>
    <row r="842" spans="1:17" x14ac:dyDescent="0.25">
      <c r="A842" s="145">
        <v>41928</v>
      </c>
      <c r="B842" s="144">
        <v>1.2748999999999999</v>
      </c>
      <c r="C842" s="144">
        <v>52.404000000000003</v>
      </c>
      <c r="D842" s="144">
        <v>8.4565000000000001</v>
      </c>
      <c r="E842" s="144">
        <v>134.94999999999999</v>
      </c>
      <c r="F842" s="144">
        <v>0.79700000000000004</v>
      </c>
      <c r="G842" s="144">
        <v>1.2060999999999999</v>
      </c>
      <c r="I842" s="144">
        <v>1</v>
      </c>
      <c r="J842" s="145">
        <f t="shared" si="99"/>
        <v>41928</v>
      </c>
      <c r="K842" s="144">
        <f t="shared" ca="1" si="98"/>
        <v>0.94603498313593226</v>
      </c>
      <c r="L842" s="144">
        <f t="shared" ca="1" si="98"/>
        <v>0.62514707035845951</v>
      </c>
      <c r="M842" s="144">
        <f t="shared" ca="1" si="98"/>
        <v>105.85143932857478</v>
      </c>
      <c r="N842" s="144">
        <f t="shared" ca="1" si="98"/>
        <v>6.6330692603341443</v>
      </c>
      <c r="O842" s="144">
        <f t="shared" ca="1" si="98"/>
        <v>41.104400345125114</v>
      </c>
      <c r="P842" s="144">
        <f t="shared" ca="1" si="98"/>
        <v>1</v>
      </c>
      <c r="Q842" s="144">
        <f t="shared" ca="1" si="98"/>
        <v>0.7843752451172642</v>
      </c>
    </row>
    <row r="843" spans="1:17" x14ac:dyDescent="0.25">
      <c r="A843" s="145">
        <v>41927</v>
      </c>
      <c r="B843" s="144">
        <v>1.2665999999999999</v>
      </c>
      <c r="C843" s="144">
        <v>51.688299999999998</v>
      </c>
      <c r="D843" s="144">
        <v>8.3800000000000008</v>
      </c>
      <c r="E843" s="144">
        <v>135.5</v>
      </c>
      <c r="F843" s="144">
        <v>0.79569999999999996</v>
      </c>
      <c r="G843" s="144">
        <v>1.2072000000000001</v>
      </c>
      <c r="I843" s="144">
        <v>1</v>
      </c>
      <c r="J843" s="145">
        <f t="shared" si="99"/>
        <v>41927</v>
      </c>
      <c r="K843" s="144">
        <f t="shared" ca="1" si="98"/>
        <v>0.95310279488394134</v>
      </c>
      <c r="L843" s="144">
        <f t="shared" ca="1" si="98"/>
        <v>0.6282172745933996</v>
      </c>
      <c r="M843" s="144">
        <f t="shared" ca="1" si="98"/>
        <v>106.97931470077373</v>
      </c>
      <c r="N843" s="144">
        <f t="shared" ca="1" si="98"/>
        <v>6.6161376914574461</v>
      </c>
      <c r="O843" s="144">
        <f t="shared" ca="1" si="98"/>
        <v>40.808700457918839</v>
      </c>
      <c r="P843" s="144">
        <f t="shared" ca="1" si="98"/>
        <v>1</v>
      </c>
      <c r="Q843" s="144">
        <f t="shared" ca="1" si="98"/>
        <v>0.7895152376440866</v>
      </c>
    </row>
    <row r="844" spans="1:17" x14ac:dyDescent="0.25">
      <c r="A844" s="145">
        <v>41926</v>
      </c>
      <c r="B844" s="144">
        <v>1.2645999999999999</v>
      </c>
      <c r="C844" s="144">
        <v>51.610199999999999</v>
      </c>
      <c r="D844" s="144">
        <v>8.2899999999999991</v>
      </c>
      <c r="E844" s="144">
        <v>135.29</v>
      </c>
      <c r="F844" s="144">
        <v>0.79449999999999998</v>
      </c>
      <c r="G844" s="144">
        <v>1.2079</v>
      </c>
      <c r="I844" s="144">
        <v>1</v>
      </c>
      <c r="J844" s="145">
        <f t="shared" si="99"/>
        <v>41926</v>
      </c>
      <c r="K844" s="144">
        <f t="shared" ca="1" si="98"/>
        <v>0.95516368812272656</v>
      </c>
      <c r="L844" s="144">
        <f t="shared" ca="1" si="98"/>
        <v>0.62826190099636248</v>
      </c>
      <c r="M844" s="144">
        <f t="shared" ca="1" si="98"/>
        <v>106.98244504191048</v>
      </c>
      <c r="N844" s="144">
        <f t="shared" ca="1" si="98"/>
        <v>6.5554325478412139</v>
      </c>
      <c r="O844" s="144">
        <f t="shared" ca="1" si="98"/>
        <v>40.811481891507199</v>
      </c>
      <c r="P844" s="144">
        <f t="shared" ca="1" si="98"/>
        <v>1</v>
      </c>
      <c r="Q844" s="144">
        <f t="shared" ca="1" si="98"/>
        <v>0.79076387790605729</v>
      </c>
    </row>
    <row r="845" spans="1:17" x14ac:dyDescent="0.25">
      <c r="A845" s="145">
        <v>41925</v>
      </c>
      <c r="B845" s="144">
        <v>1.2679</v>
      </c>
      <c r="C845" s="144">
        <v>51.302700000000002</v>
      </c>
      <c r="D845" s="144">
        <v>8.2294999999999998</v>
      </c>
      <c r="E845" s="144">
        <v>135.94999999999999</v>
      </c>
      <c r="F845" s="144">
        <v>0.78800000000000003</v>
      </c>
      <c r="G845" s="144">
        <v>1.2077</v>
      </c>
      <c r="I845" s="144">
        <v>1</v>
      </c>
      <c r="J845" s="145">
        <f t="shared" si="99"/>
        <v>41925</v>
      </c>
      <c r="K845" s="144">
        <f t="shared" ref="K845:Q854" ca="1" si="100">OFFSET($A845,0,K$3)/OFFSET($A845,0,$P$3)</f>
        <v>0.95251991481978071</v>
      </c>
      <c r="L845" s="144">
        <f t="shared" ca="1" si="100"/>
        <v>0.62150011830586005</v>
      </c>
      <c r="M845" s="144">
        <f t="shared" ca="1" si="100"/>
        <v>107.22454452243866</v>
      </c>
      <c r="N845" s="144">
        <f t="shared" ca="1" si="100"/>
        <v>6.4906538370533955</v>
      </c>
      <c r="O845" s="144">
        <f t="shared" ca="1" si="100"/>
        <v>40.462733654073666</v>
      </c>
      <c r="P845" s="144">
        <f t="shared" ca="1" si="100"/>
        <v>1</v>
      </c>
      <c r="Q845" s="144">
        <f t="shared" ca="1" si="100"/>
        <v>0.78870573389068532</v>
      </c>
    </row>
    <row r="846" spans="1:17" x14ac:dyDescent="0.25">
      <c r="A846" s="145">
        <v>41924</v>
      </c>
      <c r="B846" s="144">
        <v>1.2638</v>
      </c>
      <c r="C846" s="144">
        <v>51.095199999999998</v>
      </c>
      <c r="D846" s="144">
        <v>8.2579999999999991</v>
      </c>
      <c r="E846" s="144">
        <v>136.27000000000001</v>
      </c>
      <c r="F846" s="144">
        <v>0.78820000000000001</v>
      </c>
      <c r="G846" s="144">
        <v>1.2092000000000001</v>
      </c>
      <c r="I846" s="144">
        <v>1</v>
      </c>
      <c r="J846" s="145">
        <f t="shared" si="99"/>
        <v>41924</v>
      </c>
      <c r="K846" s="144">
        <f t="shared" ca="1" si="100"/>
        <v>0.95679696154454819</v>
      </c>
      <c r="L846" s="144">
        <f t="shared" ca="1" si="100"/>
        <v>0.62367463206203511</v>
      </c>
      <c r="M846" s="144">
        <f t="shared" ca="1" si="100"/>
        <v>107.82560531729705</v>
      </c>
      <c r="N846" s="144">
        <f t="shared" ca="1" si="100"/>
        <v>6.5342617502769418</v>
      </c>
      <c r="O846" s="144">
        <f t="shared" ca="1" si="100"/>
        <v>40.429814844120905</v>
      </c>
      <c r="P846" s="144">
        <f t="shared" ca="1" si="100"/>
        <v>1</v>
      </c>
      <c r="Q846" s="144">
        <f t="shared" ca="1" si="100"/>
        <v>0.79126444057604051</v>
      </c>
    </row>
    <row r="847" spans="1:17" x14ac:dyDescent="0.25">
      <c r="A847" s="145">
        <v>41923</v>
      </c>
      <c r="B847" s="144">
        <v>1.2638</v>
      </c>
      <c r="C847" s="144">
        <v>51.095199999999998</v>
      </c>
      <c r="D847" s="144">
        <v>8.2579999999999991</v>
      </c>
      <c r="E847" s="144">
        <v>136.27000000000001</v>
      </c>
      <c r="F847" s="144">
        <v>0.78820000000000001</v>
      </c>
      <c r="G847" s="144">
        <v>1.2092000000000001</v>
      </c>
      <c r="I847" s="144">
        <v>1</v>
      </c>
      <c r="J847" s="145">
        <f t="shared" si="99"/>
        <v>41923</v>
      </c>
      <c r="K847" s="144">
        <f t="shared" ca="1" si="100"/>
        <v>0.95679696154454819</v>
      </c>
      <c r="L847" s="144">
        <f t="shared" ca="1" si="100"/>
        <v>0.62367463206203511</v>
      </c>
      <c r="M847" s="144">
        <f t="shared" ca="1" si="100"/>
        <v>107.82560531729705</v>
      </c>
      <c r="N847" s="144">
        <f t="shared" ca="1" si="100"/>
        <v>6.5342617502769418</v>
      </c>
      <c r="O847" s="144">
        <f t="shared" ca="1" si="100"/>
        <v>40.429814844120905</v>
      </c>
      <c r="P847" s="144">
        <f t="shared" ca="1" si="100"/>
        <v>1</v>
      </c>
      <c r="Q847" s="144">
        <f t="shared" ca="1" si="100"/>
        <v>0.79126444057604051</v>
      </c>
    </row>
    <row r="848" spans="1:17" x14ac:dyDescent="0.25">
      <c r="A848" s="145">
        <v>41922</v>
      </c>
      <c r="B848" s="144">
        <v>1.2638</v>
      </c>
      <c r="C848" s="144">
        <v>51.095199999999998</v>
      </c>
      <c r="D848" s="144">
        <v>8.2579999999999991</v>
      </c>
      <c r="E848" s="144">
        <v>136.27000000000001</v>
      </c>
      <c r="F848" s="144">
        <v>0.78820000000000001</v>
      </c>
      <c r="G848" s="144">
        <v>1.2092000000000001</v>
      </c>
      <c r="I848" s="144">
        <v>1</v>
      </c>
      <c r="J848" s="145">
        <f t="shared" si="99"/>
        <v>41922</v>
      </c>
      <c r="K848" s="144">
        <f t="shared" ca="1" si="100"/>
        <v>0.95679696154454819</v>
      </c>
      <c r="L848" s="144">
        <f t="shared" ca="1" si="100"/>
        <v>0.62367463206203511</v>
      </c>
      <c r="M848" s="144">
        <f t="shared" ca="1" si="100"/>
        <v>107.82560531729705</v>
      </c>
      <c r="N848" s="144">
        <f t="shared" ca="1" si="100"/>
        <v>6.5342617502769418</v>
      </c>
      <c r="O848" s="144">
        <f t="shared" ca="1" si="100"/>
        <v>40.429814844120905</v>
      </c>
      <c r="P848" s="144">
        <f t="shared" ca="1" si="100"/>
        <v>1</v>
      </c>
      <c r="Q848" s="144">
        <f t="shared" ca="1" si="100"/>
        <v>0.79126444057604051</v>
      </c>
    </row>
    <row r="849" spans="1:17" x14ac:dyDescent="0.25">
      <c r="A849" s="145">
        <v>41921</v>
      </c>
      <c r="B849" s="144">
        <v>1.2763</v>
      </c>
      <c r="C849" s="144">
        <v>50.9955</v>
      </c>
      <c r="D849" s="144">
        <v>8.1910000000000007</v>
      </c>
      <c r="E849" s="144">
        <v>137.37</v>
      </c>
      <c r="F849" s="144">
        <v>0.78749999999999998</v>
      </c>
      <c r="G849" s="144">
        <v>1.2107000000000001</v>
      </c>
      <c r="I849" s="144">
        <v>1</v>
      </c>
      <c r="J849" s="145">
        <f t="shared" si="99"/>
        <v>41921</v>
      </c>
      <c r="K849" s="144">
        <f t="shared" ca="1" si="100"/>
        <v>0.94860142599702268</v>
      </c>
      <c r="L849" s="144">
        <f t="shared" ca="1" si="100"/>
        <v>0.61701794249001018</v>
      </c>
      <c r="M849" s="144">
        <f t="shared" ca="1" si="100"/>
        <v>107.63143461568598</v>
      </c>
      <c r="N849" s="144">
        <f t="shared" ca="1" si="100"/>
        <v>6.4177701167437133</v>
      </c>
      <c r="O849" s="144">
        <f t="shared" ca="1" si="100"/>
        <v>39.955731411110243</v>
      </c>
      <c r="P849" s="144">
        <f t="shared" ca="1" si="100"/>
        <v>1</v>
      </c>
      <c r="Q849" s="144">
        <f t="shared" ca="1" si="100"/>
        <v>0.78351484760636214</v>
      </c>
    </row>
    <row r="850" spans="1:17" x14ac:dyDescent="0.25">
      <c r="A850" s="145">
        <v>41920</v>
      </c>
      <c r="B850" s="144">
        <v>1.2645</v>
      </c>
      <c r="C850" s="144">
        <v>50.592500000000001</v>
      </c>
      <c r="D850" s="144">
        <v>8.1944999999999997</v>
      </c>
      <c r="E850" s="144">
        <v>136.97</v>
      </c>
      <c r="F850" s="144">
        <v>0.78700000000000003</v>
      </c>
      <c r="G850" s="144">
        <v>1.2132000000000001</v>
      </c>
      <c r="I850" s="144">
        <v>1</v>
      </c>
      <c r="J850" s="145">
        <f t="shared" si="99"/>
        <v>41920</v>
      </c>
      <c r="K850" s="144">
        <f t="shared" ca="1" si="100"/>
        <v>0.95943060498220645</v>
      </c>
      <c r="L850" s="144">
        <f t="shared" ca="1" si="100"/>
        <v>0.62238038750494273</v>
      </c>
      <c r="M850" s="144">
        <f t="shared" ca="1" si="100"/>
        <v>108.3194938710953</v>
      </c>
      <c r="N850" s="144">
        <f t="shared" ca="1" si="100"/>
        <v>6.4804270462633449</v>
      </c>
      <c r="O850" s="144">
        <f t="shared" ca="1" si="100"/>
        <v>40.009885330170029</v>
      </c>
      <c r="P850" s="144">
        <f t="shared" ca="1" si="100"/>
        <v>1</v>
      </c>
      <c r="Q850" s="144">
        <f t="shared" ca="1" si="100"/>
        <v>0.7908264136022144</v>
      </c>
    </row>
    <row r="851" spans="1:17" x14ac:dyDescent="0.25">
      <c r="A851" s="145">
        <v>41919</v>
      </c>
      <c r="B851" s="144">
        <v>1.2606999999999999</v>
      </c>
      <c r="C851" s="144">
        <v>50.353299999999997</v>
      </c>
      <c r="D851" s="144">
        <v>8.1649999999999991</v>
      </c>
      <c r="E851" s="144">
        <v>136.9</v>
      </c>
      <c r="F851" s="144">
        <v>0.78400000000000003</v>
      </c>
      <c r="G851" s="144">
        <v>1.2115</v>
      </c>
      <c r="I851" s="144">
        <v>1</v>
      </c>
      <c r="J851" s="145">
        <f t="shared" si="99"/>
        <v>41919</v>
      </c>
      <c r="K851" s="144">
        <f t="shared" ca="1" si="100"/>
        <v>0.96097406202903157</v>
      </c>
      <c r="L851" s="144">
        <f t="shared" ca="1" si="100"/>
        <v>0.62187673514714048</v>
      </c>
      <c r="M851" s="144">
        <f t="shared" ca="1" si="100"/>
        <v>108.59046561434126</v>
      </c>
      <c r="N851" s="144">
        <f t="shared" ca="1" si="100"/>
        <v>6.4765606409137781</v>
      </c>
      <c r="O851" s="144">
        <f t="shared" ca="1" si="100"/>
        <v>39.940747203934322</v>
      </c>
      <c r="P851" s="144">
        <f t="shared" ca="1" si="100"/>
        <v>1</v>
      </c>
      <c r="Q851" s="144">
        <f t="shared" ca="1" si="100"/>
        <v>0.79321012136114866</v>
      </c>
    </row>
    <row r="852" spans="1:17" x14ac:dyDescent="0.25">
      <c r="A852" s="145">
        <v>41918</v>
      </c>
      <c r="B852" s="144">
        <v>1.2565</v>
      </c>
      <c r="C852" s="144">
        <v>50.037500000000001</v>
      </c>
      <c r="D852" s="144">
        <v>8.1575000000000006</v>
      </c>
      <c r="E852" s="144">
        <v>137.25</v>
      </c>
      <c r="F852" s="144">
        <v>0.78574999999999995</v>
      </c>
      <c r="G852" s="144">
        <v>1.212</v>
      </c>
      <c r="I852" s="144">
        <v>1</v>
      </c>
      <c r="J852" s="145">
        <f t="shared" si="99"/>
        <v>41918</v>
      </c>
      <c r="K852" s="144">
        <f t="shared" ca="1" si="100"/>
        <v>0.96458416235575006</v>
      </c>
      <c r="L852" s="144">
        <f t="shared" ca="1" si="100"/>
        <v>0.62534818941504178</v>
      </c>
      <c r="M852" s="144">
        <f t="shared" ca="1" si="100"/>
        <v>109.23199363310785</v>
      </c>
      <c r="N852" s="144">
        <f t="shared" ca="1" si="100"/>
        <v>6.4922403501790695</v>
      </c>
      <c r="O852" s="144">
        <f t="shared" ca="1" si="100"/>
        <v>39.822920811778751</v>
      </c>
      <c r="P852" s="144">
        <f t="shared" ca="1" si="100"/>
        <v>1</v>
      </c>
      <c r="Q852" s="144">
        <f t="shared" ca="1" si="100"/>
        <v>0.79586152009550337</v>
      </c>
    </row>
    <row r="853" spans="1:17" x14ac:dyDescent="0.25">
      <c r="A853" s="145">
        <v>41917</v>
      </c>
      <c r="B853" s="144">
        <v>1.2616000000000001</v>
      </c>
      <c r="C853" s="144">
        <v>50.1813</v>
      </c>
      <c r="D853" s="144">
        <v>8.1784999999999997</v>
      </c>
      <c r="E853" s="144">
        <v>137.46</v>
      </c>
      <c r="F853" s="144">
        <v>0.78525</v>
      </c>
      <c r="G853" s="144">
        <v>1.2089000000000001</v>
      </c>
      <c r="I853" s="144">
        <v>1</v>
      </c>
      <c r="J853" s="145">
        <f t="shared" si="99"/>
        <v>41917</v>
      </c>
      <c r="K853" s="144">
        <f t="shared" ca="1" si="100"/>
        <v>0.95822764743183264</v>
      </c>
      <c r="L853" s="144">
        <f t="shared" ca="1" si="100"/>
        <v>0.62242390615091947</v>
      </c>
      <c r="M853" s="144">
        <f t="shared" ca="1" si="100"/>
        <v>108.95688015218769</v>
      </c>
      <c r="N853" s="144">
        <f t="shared" ca="1" si="100"/>
        <v>6.482641090678503</v>
      </c>
      <c r="O853" s="144">
        <f t="shared" ca="1" si="100"/>
        <v>39.775919467343051</v>
      </c>
      <c r="P853" s="144">
        <f t="shared" ca="1" si="100"/>
        <v>1</v>
      </c>
      <c r="Q853" s="144">
        <f t="shared" ca="1" si="100"/>
        <v>0.79264426125554843</v>
      </c>
    </row>
    <row r="854" spans="1:17" x14ac:dyDescent="0.25">
      <c r="A854" s="145">
        <v>41916</v>
      </c>
      <c r="B854" s="144">
        <v>1.2616000000000001</v>
      </c>
      <c r="C854" s="144">
        <v>50.1813</v>
      </c>
      <c r="D854" s="144">
        <v>8.1784999999999997</v>
      </c>
      <c r="E854" s="144">
        <v>137.46</v>
      </c>
      <c r="F854" s="144">
        <v>0.78525</v>
      </c>
      <c r="G854" s="144">
        <v>1.2089000000000001</v>
      </c>
      <c r="I854" s="144">
        <v>1</v>
      </c>
      <c r="J854" s="145">
        <f t="shared" si="99"/>
        <v>41916</v>
      </c>
      <c r="K854" s="144">
        <f t="shared" ca="1" si="100"/>
        <v>0.95822764743183264</v>
      </c>
      <c r="L854" s="144">
        <f t="shared" ca="1" si="100"/>
        <v>0.62242390615091947</v>
      </c>
      <c r="M854" s="144">
        <f t="shared" ca="1" si="100"/>
        <v>108.95688015218769</v>
      </c>
      <c r="N854" s="144">
        <f t="shared" ca="1" si="100"/>
        <v>6.482641090678503</v>
      </c>
      <c r="O854" s="144">
        <f t="shared" ca="1" si="100"/>
        <v>39.775919467343051</v>
      </c>
      <c r="P854" s="144">
        <f t="shared" ca="1" si="100"/>
        <v>1</v>
      </c>
      <c r="Q854" s="144">
        <f t="shared" ca="1" si="100"/>
        <v>0.79264426125554843</v>
      </c>
    </row>
    <row r="855" spans="1:17" x14ac:dyDescent="0.25">
      <c r="A855" s="145">
        <v>41915</v>
      </c>
      <c r="B855" s="144">
        <v>1.2616000000000001</v>
      </c>
      <c r="C855" s="144">
        <v>50.1813</v>
      </c>
      <c r="D855" s="144">
        <v>8.1784999999999997</v>
      </c>
      <c r="E855" s="144">
        <v>137.46</v>
      </c>
      <c r="F855" s="144">
        <v>0.78525</v>
      </c>
      <c r="G855" s="144">
        <v>1.2089000000000001</v>
      </c>
      <c r="I855" s="144">
        <v>1</v>
      </c>
      <c r="J855" s="145">
        <f t="shared" si="99"/>
        <v>41915</v>
      </c>
      <c r="K855" s="144">
        <f t="shared" ref="K855:Q864" ca="1" si="101">OFFSET($A855,0,K$3)/OFFSET($A855,0,$P$3)</f>
        <v>0.95822764743183264</v>
      </c>
      <c r="L855" s="144">
        <f t="shared" ca="1" si="101"/>
        <v>0.62242390615091947</v>
      </c>
      <c r="M855" s="144">
        <f t="shared" ca="1" si="101"/>
        <v>108.95688015218769</v>
      </c>
      <c r="N855" s="144">
        <f t="shared" ca="1" si="101"/>
        <v>6.482641090678503</v>
      </c>
      <c r="O855" s="144">
        <f t="shared" ca="1" si="101"/>
        <v>39.775919467343051</v>
      </c>
      <c r="P855" s="144">
        <f t="shared" ca="1" si="101"/>
        <v>1</v>
      </c>
      <c r="Q855" s="144">
        <f t="shared" ca="1" si="101"/>
        <v>0.79264426125554843</v>
      </c>
    </row>
    <row r="856" spans="1:17" x14ac:dyDescent="0.25">
      <c r="A856" s="145">
        <v>41914</v>
      </c>
      <c r="B856" s="144">
        <v>1.2630999999999999</v>
      </c>
      <c r="C856" s="144">
        <v>50.033999999999999</v>
      </c>
      <c r="D856" s="144">
        <v>8.1475000000000009</v>
      </c>
      <c r="E856" s="144">
        <v>137.47</v>
      </c>
      <c r="F856" s="144">
        <v>0.78239999999999998</v>
      </c>
      <c r="G856" s="144">
        <v>1.2084999999999999</v>
      </c>
      <c r="I856" s="144">
        <v>1</v>
      </c>
      <c r="J856" s="145">
        <f t="shared" si="99"/>
        <v>41914</v>
      </c>
      <c r="K856" s="144">
        <f t="shared" ca="1" si="101"/>
        <v>0.95677301876335996</v>
      </c>
      <c r="L856" s="144">
        <f t="shared" ca="1" si="101"/>
        <v>0.61942839046789644</v>
      </c>
      <c r="M856" s="144">
        <f t="shared" ca="1" si="101"/>
        <v>108.8354049560605</v>
      </c>
      <c r="N856" s="144">
        <f t="shared" ca="1" si="101"/>
        <v>6.4503998099912927</v>
      </c>
      <c r="O856" s="144">
        <f t="shared" ca="1" si="101"/>
        <v>39.612065553004513</v>
      </c>
      <c r="P856" s="144">
        <f t="shared" ca="1" si="101"/>
        <v>1</v>
      </c>
      <c r="Q856" s="144">
        <f t="shared" ca="1" si="101"/>
        <v>0.79170295305201499</v>
      </c>
    </row>
    <row r="857" spans="1:17" x14ac:dyDescent="0.25">
      <c r="A857" s="145">
        <v>41913</v>
      </c>
      <c r="B857" s="144">
        <v>1.2603</v>
      </c>
      <c r="C857" s="144">
        <v>49.920200000000001</v>
      </c>
      <c r="D857" s="144">
        <v>8.1419999999999995</v>
      </c>
      <c r="E857" s="144">
        <v>138.53</v>
      </c>
      <c r="F857" s="144">
        <v>0.7782</v>
      </c>
      <c r="G857" s="144">
        <v>1.2072000000000001</v>
      </c>
      <c r="I857" s="144">
        <v>1</v>
      </c>
      <c r="J857" s="145">
        <f t="shared" si="99"/>
        <v>41913</v>
      </c>
      <c r="K857" s="144">
        <f t="shared" ca="1" si="101"/>
        <v>0.95786717448226621</v>
      </c>
      <c r="L857" s="144">
        <f t="shared" ca="1" si="101"/>
        <v>0.61747203046893595</v>
      </c>
      <c r="M857" s="144">
        <f t="shared" ca="1" si="101"/>
        <v>109.91827342696183</v>
      </c>
      <c r="N857" s="144">
        <f t="shared" ca="1" si="101"/>
        <v>6.4603665793858598</v>
      </c>
      <c r="O857" s="144">
        <f t="shared" ca="1" si="101"/>
        <v>39.609775450289618</v>
      </c>
      <c r="P857" s="144">
        <f t="shared" ca="1" si="101"/>
        <v>1</v>
      </c>
      <c r="Q857" s="144">
        <f t="shared" ca="1" si="101"/>
        <v>0.7934618741569468</v>
      </c>
    </row>
    <row r="858" spans="1:17" x14ac:dyDescent="0.25">
      <c r="A858" s="145">
        <v>41912</v>
      </c>
      <c r="B858" s="144">
        <v>1.2583</v>
      </c>
      <c r="C858" s="144">
        <v>49.765300000000003</v>
      </c>
      <c r="D858" s="144">
        <v>8.1189999999999998</v>
      </c>
      <c r="E858" s="144">
        <v>138.11000000000001</v>
      </c>
      <c r="F858" s="144">
        <v>0.77729999999999999</v>
      </c>
      <c r="G858" s="144">
        <v>1.2062999999999999</v>
      </c>
      <c r="I858" s="144">
        <v>1</v>
      </c>
      <c r="J858" s="145">
        <f t="shared" si="99"/>
        <v>41912</v>
      </c>
      <c r="K858" s="144">
        <f t="shared" ca="1" si="101"/>
        <v>0.95867440197091314</v>
      </c>
      <c r="L858" s="144">
        <f t="shared" ca="1" si="101"/>
        <v>0.61773821823094655</v>
      </c>
      <c r="M858" s="144">
        <f t="shared" ca="1" si="101"/>
        <v>109.75919891917668</v>
      </c>
      <c r="N858" s="144">
        <f t="shared" ca="1" si="101"/>
        <v>6.4523563538106972</v>
      </c>
      <c r="O858" s="144">
        <f t="shared" ca="1" si="101"/>
        <v>39.549630453786861</v>
      </c>
      <c r="P858" s="144">
        <f t="shared" ca="1" si="101"/>
        <v>1</v>
      </c>
      <c r="Q858" s="144">
        <f t="shared" ca="1" si="101"/>
        <v>0.79472303902090125</v>
      </c>
    </row>
    <row r="859" spans="1:17" x14ac:dyDescent="0.25">
      <c r="A859" s="145">
        <v>41911</v>
      </c>
      <c r="B859" s="144">
        <v>1.2701</v>
      </c>
      <c r="C859" s="144">
        <v>50.192700000000002</v>
      </c>
      <c r="D859" s="144">
        <v>8.1959999999999997</v>
      </c>
      <c r="E859" s="144">
        <v>138.97</v>
      </c>
      <c r="F859" s="144">
        <v>0.78269999999999995</v>
      </c>
      <c r="G859" s="144">
        <v>1.2071000000000001</v>
      </c>
      <c r="I859" s="144">
        <v>1</v>
      </c>
      <c r="J859" s="145">
        <f t="shared" si="99"/>
        <v>41911</v>
      </c>
      <c r="K859" s="144">
        <f t="shared" ca="1" si="101"/>
        <v>0.95039760648767813</v>
      </c>
      <c r="L859" s="144">
        <f t="shared" ca="1" si="101"/>
        <v>0.61625068892213208</v>
      </c>
      <c r="M859" s="144">
        <f t="shared" ca="1" si="101"/>
        <v>109.41658137154555</v>
      </c>
      <c r="N859" s="144">
        <f t="shared" ca="1" si="101"/>
        <v>6.4530351940792059</v>
      </c>
      <c r="O859" s="144">
        <f t="shared" ca="1" si="101"/>
        <v>39.518699315014565</v>
      </c>
      <c r="P859" s="144">
        <f t="shared" ca="1" si="101"/>
        <v>1</v>
      </c>
      <c r="Q859" s="144">
        <f t="shared" ca="1" si="101"/>
        <v>0.78733957956066447</v>
      </c>
    </row>
    <row r="860" spans="1:17" x14ac:dyDescent="0.25">
      <c r="A860" s="145">
        <v>41910</v>
      </c>
      <c r="B860" s="144">
        <v>1.2732000000000001</v>
      </c>
      <c r="C860" s="144">
        <v>49.673000000000002</v>
      </c>
      <c r="D860" s="144">
        <v>8.1675000000000004</v>
      </c>
      <c r="E860" s="144">
        <v>138.93</v>
      </c>
      <c r="F860" s="144">
        <v>0.78069999999999995</v>
      </c>
      <c r="G860" s="144">
        <v>1.2071000000000001</v>
      </c>
      <c r="I860" s="144">
        <v>1</v>
      </c>
      <c r="J860" s="145">
        <f t="shared" si="99"/>
        <v>41910</v>
      </c>
      <c r="K860" s="144">
        <f t="shared" ca="1" si="101"/>
        <v>0.94808356896010049</v>
      </c>
      <c r="L860" s="144">
        <f t="shared" ca="1" si="101"/>
        <v>0.61317939051209547</v>
      </c>
      <c r="M860" s="144">
        <f t="shared" ca="1" si="101"/>
        <v>109.11875589066918</v>
      </c>
      <c r="N860" s="144">
        <f t="shared" ca="1" si="101"/>
        <v>6.4149387370405275</v>
      </c>
      <c r="O860" s="144">
        <f t="shared" ca="1" si="101"/>
        <v>39.014294690543508</v>
      </c>
      <c r="P860" s="144">
        <f t="shared" ca="1" si="101"/>
        <v>1</v>
      </c>
      <c r="Q860" s="144">
        <f t="shared" ca="1" si="101"/>
        <v>0.78542255733584665</v>
      </c>
    </row>
    <row r="861" spans="1:17" x14ac:dyDescent="0.25">
      <c r="A861" s="145">
        <v>41909</v>
      </c>
      <c r="B861" s="144">
        <v>1.2732000000000001</v>
      </c>
      <c r="C861" s="144">
        <v>49.673000000000002</v>
      </c>
      <c r="D861" s="144">
        <v>8.1675000000000004</v>
      </c>
      <c r="E861" s="144">
        <v>138.93</v>
      </c>
      <c r="F861" s="144">
        <v>0.78069999999999995</v>
      </c>
      <c r="G861" s="144">
        <v>1.2071000000000001</v>
      </c>
      <c r="I861" s="144">
        <v>1</v>
      </c>
      <c r="J861" s="145">
        <f t="shared" si="99"/>
        <v>41909</v>
      </c>
      <c r="K861" s="144">
        <f t="shared" ca="1" si="101"/>
        <v>0.94808356896010049</v>
      </c>
      <c r="L861" s="144">
        <f t="shared" ca="1" si="101"/>
        <v>0.61317939051209547</v>
      </c>
      <c r="M861" s="144">
        <f t="shared" ca="1" si="101"/>
        <v>109.11875589066918</v>
      </c>
      <c r="N861" s="144">
        <f t="shared" ca="1" si="101"/>
        <v>6.4149387370405275</v>
      </c>
      <c r="O861" s="144">
        <f t="shared" ca="1" si="101"/>
        <v>39.014294690543508</v>
      </c>
      <c r="P861" s="144">
        <f t="shared" ca="1" si="101"/>
        <v>1</v>
      </c>
      <c r="Q861" s="144">
        <f t="shared" ca="1" si="101"/>
        <v>0.78542255733584665</v>
      </c>
    </row>
    <row r="862" spans="1:17" x14ac:dyDescent="0.25">
      <c r="A862" s="145">
        <v>41908</v>
      </c>
      <c r="B862" s="144">
        <v>1.2732000000000001</v>
      </c>
      <c r="C862" s="144">
        <v>49.673000000000002</v>
      </c>
      <c r="D862" s="144">
        <v>8.1675000000000004</v>
      </c>
      <c r="E862" s="144">
        <v>138.93</v>
      </c>
      <c r="F862" s="144">
        <v>0.78069999999999995</v>
      </c>
      <c r="G862" s="144">
        <v>1.2071000000000001</v>
      </c>
      <c r="I862" s="144">
        <v>1</v>
      </c>
      <c r="J862" s="145">
        <f t="shared" si="99"/>
        <v>41908</v>
      </c>
      <c r="K862" s="144">
        <f t="shared" ca="1" si="101"/>
        <v>0.94808356896010049</v>
      </c>
      <c r="L862" s="144">
        <f t="shared" ca="1" si="101"/>
        <v>0.61317939051209547</v>
      </c>
      <c r="M862" s="144">
        <f t="shared" ca="1" si="101"/>
        <v>109.11875589066918</v>
      </c>
      <c r="N862" s="144">
        <f t="shared" ca="1" si="101"/>
        <v>6.4149387370405275</v>
      </c>
      <c r="O862" s="144">
        <f t="shared" ca="1" si="101"/>
        <v>39.014294690543508</v>
      </c>
      <c r="P862" s="144">
        <f t="shared" ca="1" si="101"/>
        <v>1</v>
      </c>
      <c r="Q862" s="144">
        <f t="shared" ca="1" si="101"/>
        <v>0.78542255733584665</v>
      </c>
    </row>
    <row r="863" spans="1:17" x14ac:dyDescent="0.25">
      <c r="A863" s="145">
        <v>41907</v>
      </c>
      <c r="B863" s="144">
        <v>1.2712000000000001</v>
      </c>
      <c r="C863" s="144">
        <v>48.951999999999998</v>
      </c>
      <c r="D863" s="144">
        <v>8.1449999999999996</v>
      </c>
      <c r="E863" s="144">
        <v>138.88</v>
      </c>
      <c r="F863" s="144">
        <v>0.78039999999999998</v>
      </c>
      <c r="G863" s="144">
        <v>1.2076</v>
      </c>
      <c r="I863" s="144">
        <v>1</v>
      </c>
      <c r="J863" s="145">
        <f t="shared" si="99"/>
        <v>41907</v>
      </c>
      <c r="K863" s="144">
        <f t="shared" ca="1" si="101"/>
        <v>0.94996853366897416</v>
      </c>
      <c r="L863" s="144">
        <f t="shared" ca="1" si="101"/>
        <v>0.61390811831340464</v>
      </c>
      <c r="M863" s="144">
        <f t="shared" ca="1" si="101"/>
        <v>109.25110132158589</v>
      </c>
      <c r="N863" s="144">
        <f t="shared" ca="1" si="101"/>
        <v>6.4073316551290107</v>
      </c>
      <c r="O863" s="144">
        <f t="shared" ca="1" si="101"/>
        <v>38.508495909376961</v>
      </c>
      <c r="P863" s="144">
        <f t="shared" ca="1" si="101"/>
        <v>1</v>
      </c>
      <c r="Q863" s="144">
        <f t="shared" ca="1" si="101"/>
        <v>0.78665827564505975</v>
      </c>
    </row>
    <row r="864" spans="1:17" x14ac:dyDescent="0.25">
      <c r="A864" s="145">
        <v>41906</v>
      </c>
      <c r="B864" s="144">
        <v>1.2826</v>
      </c>
      <c r="C864" s="144">
        <v>48.96</v>
      </c>
      <c r="D864" s="144">
        <v>8.1790000000000003</v>
      </c>
      <c r="E864" s="144">
        <v>139.5</v>
      </c>
      <c r="F864" s="144">
        <v>0.7823</v>
      </c>
      <c r="G864" s="144">
        <v>1.2077</v>
      </c>
      <c r="I864" s="144">
        <v>1</v>
      </c>
      <c r="J864" s="145">
        <f t="shared" si="99"/>
        <v>41906</v>
      </c>
      <c r="K864" s="144">
        <f t="shared" ca="1" si="101"/>
        <v>0.94160299391860292</v>
      </c>
      <c r="L864" s="144">
        <f t="shared" ca="1" si="101"/>
        <v>0.60993294869795733</v>
      </c>
      <c r="M864" s="144">
        <f t="shared" ca="1" si="101"/>
        <v>108.76344924372368</v>
      </c>
      <c r="N864" s="144">
        <f t="shared" ca="1" si="101"/>
        <v>6.3768906907843448</v>
      </c>
      <c r="O864" s="144">
        <f t="shared" ca="1" si="101"/>
        <v>38.172462186184312</v>
      </c>
      <c r="P864" s="144">
        <f t="shared" ca="1" si="101"/>
        <v>1</v>
      </c>
      <c r="Q864" s="144">
        <f t="shared" ca="1" si="101"/>
        <v>0.77966630282239202</v>
      </c>
    </row>
    <row r="865" spans="1:17" x14ac:dyDescent="0.25">
      <c r="A865" s="145">
        <v>41905</v>
      </c>
      <c r="B865" s="144">
        <v>1.2891999999999999</v>
      </c>
      <c r="C865" s="144">
        <v>49.734499999999997</v>
      </c>
      <c r="D865" s="144">
        <v>8.1594999999999995</v>
      </c>
      <c r="E865" s="144">
        <v>139.87</v>
      </c>
      <c r="F865" s="144">
        <v>0.78600000000000003</v>
      </c>
      <c r="G865" s="144">
        <v>1.2069000000000001</v>
      </c>
      <c r="I865" s="144">
        <v>1</v>
      </c>
      <c r="J865" s="145">
        <f t="shared" si="99"/>
        <v>41905</v>
      </c>
      <c r="K865" s="144">
        <f t="shared" ref="K865:Q874" ca="1" si="102">OFFSET($A865,0,K$3)/OFFSET($A865,0,$P$3)</f>
        <v>0.93616196090598836</v>
      </c>
      <c r="L865" s="144">
        <f t="shared" ca="1" si="102"/>
        <v>0.60968042196711147</v>
      </c>
      <c r="M865" s="144">
        <f t="shared" ca="1" si="102"/>
        <v>108.49363946633572</v>
      </c>
      <c r="N865" s="144">
        <f t="shared" ca="1" si="102"/>
        <v>6.3291188333850448</v>
      </c>
      <c r="O865" s="144">
        <f t="shared" ca="1" si="102"/>
        <v>38.577800186161959</v>
      </c>
      <c r="P865" s="144">
        <f t="shared" ca="1" si="102"/>
        <v>1</v>
      </c>
      <c r="Q865" s="144">
        <f t="shared" ca="1" si="102"/>
        <v>0.77567483710828422</v>
      </c>
    </row>
    <row r="866" spans="1:17" x14ac:dyDescent="0.25">
      <c r="A866" s="145">
        <v>41904</v>
      </c>
      <c r="B866" s="144">
        <v>1.2845</v>
      </c>
      <c r="C866" s="144">
        <v>49.526499999999999</v>
      </c>
      <c r="D866" s="144">
        <v>8.1475000000000009</v>
      </c>
      <c r="E866" s="144">
        <v>140.09</v>
      </c>
      <c r="F866" s="144">
        <v>0.78659999999999997</v>
      </c>
      <c r="G866" s="144">
        <v>1.2069000000000001</v>
      </c>
      <c r="I866" s="144">
        <v>1</v>
      </c>
      <c r="J866" s="145">
        <f t="shared" si="99"/>
        <v>41904</v>
      </c>
      <c r="K866" s="144">
        <f t="shared" ca="1" si="102"/>
        <v>0.93958738808875053</v>
      </c>
      <c r="L866" s="144">
        <f t="shared" ca="1" si="102"/>
        <v>0.61237835733748536</v>
      </c>
      <c r="M866" s="144">
        <f t="shared" ca="1" si="102"/>
        <v>109.06189178668743</v>
      </c>
      <c r="N866" s="144">
        <f t="shared" ca="1" si="102"/>
        <v>6.342934994161153</v>
      </c>
      <c r="O866" s="144">
        <f t="shared" ca="1" si="102"/>
        <v>38.557026080186844</v>
      </c>
      <c r="P866" s="144">
        <f t="shared" ca="1" si="102"/>
        <v>1</v>
      </c>
      <c r="Q866" s="144">
        <f t="shared" ca="1" si="102"/>
        <v>0.77851304009342159</v>
      </c>
    </row>
    <row r="867" spans="1:17" x14ac:dyDescent="0.25">
      <c r="A867" s="145">
        <v>41903</v>
      </c>
      <c r="B867" s="144">
        <v>1.2851999999999999</v>
      </c>
      <c r="C867" s="144">
        <v>49.432699999999997</v>
      </c>
      <c r="D867" s="144">
        <v>8.1539999999999999</v>
      </c>
      <c r="E867" s="144">
        <v>139.84</v>
      </c>
      <c r="F867" s="144">
        <v>0.78649999999999998</v>
      </c>
      <c r="G867" s="144">
        <v>1.2067000000000001</v>
      </c>
      <c r="I867" s="144">
        <v>1</v>
      </c>
      <c r="J867" s="145">
        <f t="shared" si="99"/>
        <v>41903</v>
      </c>
      <c r="K867" s="144">
        <f t="shared" ca="1" si="102"/>
        <v>0.93892001244942436</v>
      </c>
      <c r="L867" s="144">
        <f t="shared" ca="1" si="102"/>
        <v>0.61196700902583256</v>
      </c>
      <c r="M867" s="144">
        <f t="shared" ca="1" si="102"/>
        <v>108.80796763149705</v>
      </c>
      <c r="N867" s="144">
        <f t="shared" ca="1" si="102"/>
        <v>6.344537815126051</v>
      </c>
      <c r="O867" s="144">
        <f t="shared" ca="1" si="102"/>
        <v>38.4630407718643</v>
      </c>
      <c r="P867" s="144">
        <f t="shared" ca="1" si="102"/>
        <v>1</v>
      </c>
      <c r="Q867" s="144">
        <f t="shared" ca="1" si="102"/>
        <v>0.77808901338313108</v>
      </c>
    </row>
    <row r="868" spans="1:17" x14ac:dyDescent="0.25">
      <c r="A868" s="145">
        <v>41902</v>
      </c>
      <c r="B868" s="144">
        <v>1.2851999999999999</v>
      </c>
      <c r="C868" s="144">
        <v>49.432699999999997</v>
      </c>
      <c r="D868" s="144">
        <v>8.1539999999999999</v>
      </c>
      <c r="E868" s="144">
        <v>139.84</v>
      </c>
      <c r="F868" s="144">
        <v>0.78649999999999998</v>
      </c>
      <c r="G868" s="144">
        <v>1.2067000000000001</v>
      </c>
      <c r="I868" s="144">
        <v>1</v>
      </c>
      <c r="J868" s="145">
        <f t="shared" si="99"/>
        <v>41902</v>
      </c>
      <c r="K868" s="144">
        <f t="shared" ca="1" si="102"/>
        <v>0.93892001244942436</v>
      </c>
      <c r="L868" s="144">
        <f t="shared" ca="1" si="102"/>
        <v>0.61196700902583256</v>
      </c>
      <c r="M868" s="144">
        <f t="shared" ca="1" si="102"/>
        <v>108.80796763149705</v>
      </c>
      <c r="N868" s="144">
        <f t="shared" ca="1" si="102"/>
        <v>6.344537815126051</v>
      </c>
      <c r="O868" s="144">
        <f t="shared" ca="1" si="102"/>
        <v>38.4630407718643</v>
      </c>
      <c r="P868" s="144">
        <f t="shared" ca="1" si="102"/>
        <v>1</v>
      </c>
      <c r="Q868" s="144">
        <f t="shared" ca="1" si="102"/>
        <v>0.77808901338313108</v>
      </c>
    </row>
    <row r="869" spans="1:17" x14ac:dyDescent="0.25">
      <c r="A869" s="145">
        <v>41901</v>
      </c>
      <c r="B869" s="144">
        <v>1.2851999999999999</v>
      </c>
      <c r="C869" s="144">
        <v>49.432699999999997</v>
      </c>
      <c r="D869" s="144">
        <v>8.1539999999999999</v>
      </c>
      <c r="E869" s="144">
        <v>139.84</v>
      </c>
      <c r="F869" s="144">
        <v>0.78649999999999998</v>
      </c>
      <c r="G869" s="144">
        <v>1.2067000000000001</v>
      </c>
      <c r="I869" s="144">
        <v>1</v>
      </c>
      <c r="J869" s="145">
        <f t="shared" si="99"/>
        <v>41901</v>
      </c>
      <c r="K869" s="144">
        <f t="shared" ca="1" si="102"/>
        <v>0.93892001244942436</v>
      </c>
      <c r="L869" s="144">
        <f t="shared" ca="1" si="102"/>
        <v>0.61196700902583256</v>
      </c>
      <c r="M869" s="144">
        <f t="shared" ca="1" si="102"/>
        <v>108.80796763149705</v>
      </c>
      <c r="N869" s="144">
        <f t="shared" ca="1" si="102"/>
        <v>6.344537815126051</v>
      </c>
      <c r="O869" s="144">
        <f t="shared" ca="1" si="102"/>
        <v>38.4630407718643</v>
      </c>
      <c r="P869" s="144">
        <f t="shared" ca="1" si="102"/>
        <v>1</v>
      </c>
      <c r="Q869" s="144">
        <f t="shared" ca="1" si="102"/>
        <v>0.77808901338313108</v>
      </c>
    </row>
    <row r="870" spans="1:17" x14ac:dyDescent="0.25">
      <c r="A870" s="145">
        <v>41900</v>
      </c>
      <c r="B870" s="144">
        <v>1.2871999999999999</v>
      </c>
      <c r="C870" s="144">
        <v>49.509700000000002</v>
      </c>
      <c r="D870" s="144">
        <v>8.1895000000000007</v>
      </c>
      <c r="E870" s="144">
        <v>140.11000000000001</v>
      </c>
      <c r="F870" s="144">
        <v>0.7883</v>
      </c>
      <c r="G870" s="144">
        <v>1.2085999999999999</v>
      </c>
      <c r="I870" s="144">
        <v>1</v>
      </c>
      <c r="J870" s="145">
        <f t="shared" si="99"/>
        <v>41900</v>
      </c>
      <c r="K870" s="144">
        <f t="shared" ca="1" si="102"/>
        <v>0.93893722809198255</v>
      </c>
      <c r="L870" s="144">
        <f t="shared" ca="1" si="102"/>
        <v>0.61241454319453081</v>
      </c>
      <c r="M870" s="144">
        <f t="shared" ca="1" si="102"/>
        <v>108.8486637663145</v>
      </c>
      <c r="N870" s="144">
        <f t="shared" ca="1" si="102"/>
        <v>6.3622591671845878</v>
      </c>
      <c r="O870" s="144">
        <f t="shared" ca="1" si="102"/>
        <v>38.463098197638288</v>
      </c>
      <c r="P870" s="144">
        <f t="shared" ca="1" si="102"/>
        <v>1</v>
      </c>
      <c r="Q870" s="144">
        <f t="shared" ca="1" si="102"/>
        <v>0.77688004972032321</v>
      </c>
    </row>
    <row r="871" spans="1:17" x14ac:dyDescent="0.25">
      <c r="A871" s="145">
        <v>41899</v>
      </c>
      <c r="B871" s="144">
        <v>1.2956000000000001</v>
      </c>
      <c r="C871" s="144">
        <v>49.725099999999998</v>
      </c>
      <c r="D871" s="144">
        <v>8.3040000000000003</v>
      </c>
      <c r="E871" s="144">
        <v>139.05000000000001</v>
      </c>
      <c r="F871" s="144">
        <v>0.79359999999999997</v>
      </c>
      <c r="G871" s="144">
        <v>1.2101</v>
      </c>
      <c r="I871" s="144">
        <v>1</v>
      </c>
      <c r="J871" s="145">
        <f t="shared" si="99"/>
        <v>41899</v>
      </c>
      <c r="K871" s="144">
        <f t="shared" ca="1" si="102"/>
        <v>0.93400740969435003</v>
      </c>
      <c r="L871" s="144">
        <f t="shared" ca="1" si="102"/>
        <v>0.61253473294226612</v>
      </c>
      <c r="M871" s="144">
        <f t="shared" ca="1" si="102"/>
        <v>107.32479160234641</v>
      </c>
      <c r="N871" s="144">
        <f t="shared" ca="1" si="102"/>
        <v>6.4093856128434696</v>
      </c>
      <c r="O871" s="144">
        <f t="shared" ca="1" si="102"/>
        <v>38.379978388391471</v>
      </c>
      <c r="P871" s="144">
        <f t="shared" ca="1" si="102"/>
        <v>1</v>
      </c>
      <c r="Q871" s="144">
        <f t="shared" ca="1" si="102"/>
        <v>0.77184316146958931</v>
      </c>
    </row>
    <row r="872" spans="1:17" x14ac:dyDescent="0.25">
      <c r="A872" s="145">
        <v>41898</v>
      </c>
      <c r="B872" s="144">
        <v>1.2948999999999999</v>
      </c>
      <c r="C872" s="144">
        <v>50.015999999999998</v>
      </c>
      <c r="D872" s="144">
        <v>8.2789999999999999</v>
      </c>
      <c r="E872" s="144">
        <v>138.66999999999999</v>
      </c>
      <c r="F872" s="144">
        <v>0.79920000000000002</v>
      </c>
      <c r="G872" s="144">
        <v>1.2084999999999999</v>
      </c>
      <c r="I872" s="144">
        <v>1</v>
      </c>
      <c r="J872" s="145">
        <f t="shared" si="99"/>
        <v>41898</v>
      </c>
      <c r="K872" s="144">
        <f t="shared" ca="1" si="102"/>
        <v>0.93327670090354464</v>
      </c>
      <c r="L872" s="144">
        <f t="shared" ca="1" si="102"/>
        <v>0.61719051664221181</v>
      </c>
      <c r="M872" s="144">
        <f t="shared" ca="1" si="102"/>
        <v>107.08935052899837</v>
      </c>
      <c r="N872" s="144">
        <f t="shared" ca="1" si="102"/>
        <v>6.393543903004093</v>
      </c>
      <c r="O872" s="144">
        <f t="shared" ca="1" si="102"/>
        <v>38.625376476948027</v>
      </c>
      <c r="P872" s="144">
        <f t="shared" ca="1" si="102"/>
        <v>1</v>
      </c>
      <c r="Q872" s="144">
        <f t="shared" ca="1" si="102"/>
        <v>0.77226040620897374</v>
      </c>
    </row>
    <row r="873" spans="1:17" x14ac:dyDescent="0.25">
      <c r="A873" s="145">
        <v>41897</v>
      </c>
      <c r="B873" s="144">
        <v>1.2910999999999999</v>
      </c>
      <c r="C873" s="144">
        <v>49.325499999999998</v>
      </c>
      <c r="D873" s="144">
        <v>8.2750000000000004</v>
      </c>
      <c r="E873" s="144">
        <v>138.47999999999999</v>
      </c>
      <c r="F873" s="144">
        <v>0.79495000000000005</v>
      </c>
      <c r="G873" s="144">
        <v>1.2099</v>
      </c>
      <c r="I873" s="144">
        <v>1</v>
      </c>
      <c r="J873" s="145">
        <f t="shared" si="99"/>
        <v>41897</v>
      </c>
      <c r="K873" s="144">
        <f t="shared" ca="1" si="102"/>
        <v>0.93710789249477189</v>
      </c>
      <c r="L873" s="144">
        <f t="shared" ca="1" si="102"/>
        <v>0.61571528154287047</v>
      </c>
      <c r="M873" s="144">
        <f t="shared" ca="1" si="102"/>
        <v>107.25737743009836</v>
      </c>
      <c r="N873" s="144">
        <f t="shared" ca="1" si="102"/>
        <v>6.4092634187901796</v>
      </c>
      <c r="O873" s="144">
        <f t="shared" ca="1" si="102"/>
        <v>38.204244442723258</v>
      </c>
      <c r="P873" s="144">
        <f t="shared" ca="1" si="102"/>
        <v>1</v>
      </c>
      <c r="Q873" s="144">
        <f t="shared" ca="1" si="102"/>
        <v>0.77453334366044468</v>
      </c>
    </row>
    <row r="874" spans="1:17" x14ac:dyDescent="0.25">
      <c r="A874" s="145">
        <v>41896</v>
      </c>
      <c r="B874" s="144">
        <v>1.2930999999999999</v>
      </c>
      <c r="C874" s="144">
        <v>49.003399999999999</v>
      </c>
      <c r="D874" s="144">
        <v>8.2405000000000008</v>
      </c>
      <c r="E874" s="144">
        <v>138.72</v>
      </c>
      <c r="F874" s="144">
        <v>0.79659999999999997</v>
      </c>
      <c r="G874" s="144">
        <v>1.2089000000000001</v>
      </c>
      <c r="I874" s="144">
        <v>1</v>
      </c>
      <c r="J874" s="145">
        <f t="shared" si="99"/>
        <v>41896</v>
      </c>
      <c r="K874" s="144">
        <f t="shared" ca="1" si="102"/>
        <v>0.93488515969375929</v>
      </c>
      <c r="L874" s="144">
        <f t="shared" ca="1" si="102"/>
        <v>0.61603897610393632</v>
      </c>
      <c r="M874" s="144">
        <f t="shared" ca="1" si="102"/>
        <v>107.27708607222954</v>
      </c>
      <c r="N874" s="144">
        <f t="shared" ca="1" si="102"/>
        <v>6.3726703271208738</v>
      </c>
      <c r="O874" s="144">
        <f t="shared" ca="1" si="102"/>
        <v>37.896063722836594</v>
      </c>
      <c r="P874" s="144">
        <f t="shared" ca="1" si="102"/>
        <v>1</v>
      </c>
      <c r="Q874" s="144">
        <f t="shared" ca="1" si="102"/>
        <v>0.77333539556105491</v>
      </c>
    </row>
    <row r="875" spans="1:17" x14ac:dyDescent="0.25">
      <c r="A875" s="145">
        <v>41895</v>
      </c>
      <c r="B875" s="144">
        <v>1.2930999999999999</v>
      </c>
      <c r="C875" s="144">
        <v>49.003399999999999</v>
      </c>
      <c r="D875" s="144">
        <v>8.2405000000000008</v>
      </c>
      <c r="E875" s="144">
        <v>138.72</v>
      </c>
      <c r="F875" s="144">
        <v>0.79659999999999997</v>
      </c>
      <c r="G875" s="144">
        <v>1.2089000000000001</v>
      </c>
      <c r="I875" s="144">
        <v>1</v>
      </c>
      <c r="J875" s="145">
        <f t="shared" si="99"/>
        <v>41895</v>
      </c>
      <c r="K875" s="144">
        <f t="shared" ref="K875:Q884" ca="1" si="103">OFFSET($A875,0,K$3)/OFFSET($A875,0,$P$3)</f>
        <v>0.93488515969375929</v>
      </c>
      <c r="L875" s="144">
        <f t="shared" ca="1" si="103"/>
        <v>0.61603897610393632</v>
      </c>
      <c r="M875" s="144">
        <f t="shared" ca="1" si="103"/>
        <v>107.27708607222954</v>
      </c>
      <c r="N875" s="144">
        <f t="shared" ca="1" si="103"/>
        <v>6.3726703271208738</v>
      </c>
      <c r="O875" s="144">
        <f t="shared" ca="1" si="103"/>
        <v>37.896063722836594</v>
      </c>
      <c r="P875" s="144">
        <f t="shared" ca="1" si="103"/>
        <v>1</v>
      </c>
      <c r="Q875" s="144">
        <f t="shared" ca="1" si="103"/>
        <v>0.77333539556105491</v>
      </c>
    </row>
    <row r="876" spans="1:17" x14ac:dyDescent="0.25">
      <c r="A876" s="145">
        <v>41894</v>
      </c>
      <c r="B876" s="144">
        <v>1.2930999999999999</v>
      </c>
      <c r="C876" s="144">
        <v>49.003399999999999</v>
      </c>
      <c r="D876" s="144">
        <v>8.2405000000000008</v>
      </c>
      <c r="E876" s="144">
        <v>138.72</v>
      </c>
      <c r="F876" s="144">
        <v>0.79659999999999997</v>
      </c>
      <c r="G876" s="144">
        <v>1.2089000000000001</v>
      </c>
      <c r="I876" s="144">
        <v>1</v>
      </c>
      <c r="J876" s="145">
        <f t="shared" si="99"/>
        <v>41894</v>
      </c>
      <c r="K876" s="144">
        <f t="shared" ca="1" si="103"/>
        <v>0.93488515969375929</v>
      </c>
      <c r="L876" s="144">
        <f t="shared" ca="1" si="103"/>
        <v>0.61603897610393632</v>
      </c>
      <c r="M876" s="144">
        <f t="shared" ca="1" si="103"/>
        <v>107.27708607222954</v>
      </c>
      <c r="N876" s="144">
        <f t="shared" ca="1" si="103"/>
        <v>6.3726703271208738</v>
      </c>
      <c r="O876" s="144">
        <f t="shared" ca="1" si="103"/>
        <v>37.896063722836594</v>
      </c>
      <c r="P876" s="144">
        <f t="shared" ca="1" si="103"/>
        <v>1</v>
      </c>
      <c r="Q876" s="144">
        <f t="shared" ca="1" si="103"/>
        <v>0.77333539556105491</v>
      </c>
    </row>
    <row r="877" spans="1:17" x14ac:dyDescent="0.25">
      <c r="A877" s="145">
        <v>41893</v>
      </c>
      <c r="B877" s="144">
        <v>1.2927999999999999</v>
      </c>
      <c r="C877" s="144">
        <v>48.567</v>
      </c>
      <c r="D877" s="144">
        <v>8.2035</v>
      </c>
      <c r="E877" s="144">
        <v>138.38</v>
      </c>
      <c r="F877" s="144">
        <v>0.79579999999999995</v>
      </c>
      <c r="G877" s="144">
        <v>1.21</v>
      </c>
      <c r="I877" s="144">
        <v>1</v>
      </c>
      <c r="J877" s="145">
        <f t="shared" si="99"/>
        <v>41893</v>
      </c>
      <c r="K877" s="144">
        <f t="shared" ca="1" si="103"/>
        <v>0.93595297029702973</v>
      </c>
      <c r="L877" s="144">
        <f t="shared" ca="1" si="103"/>
        <v>0.61556311881188119</v>
      </c>
      <c r="M877" s="144">
        <f t="shared" ca="1" si="103"/>
        <v>107.03898514851485</v>
      </c>
      <c r="N877" s="144">
        <f t="shared" ca="1" si="103"/>
        <v>6.3455290841584162</v>
      </c>
      <c r="O877" s="144">
        <f t="shared" ca="1" si="103"/>
        <v>37.567295792079207</v>
      </c>
      <c r="P877" s="144">
        <f t="shared" ca="1" si="103"/>
        <v>1</v>
      </c>
      <c r="Q877" s="144">
        <f t="shared" ca="1" si="103"/>
        <v>0.77351485148514854</v>
      </c>
    </row>
    <row r="878" spans="1:17" x14ac:dyDescent="0.25">
      <c r="A878" s="145">
        <v>41892</v>
      </c>
      <c r="B878" s="144">
        <v>1.2928999999999999</v>
      </c>
      <c r="C878" s="144">
        <v>48.212000000000003</v>
      </c>
      <c r="D878" s="144">
        <v>8.2004999999999999</v>
      </c>
      <c r="E878" s="144">
        <v>137.9</v>
      </c>
      <c r="F878" s="144">
        <v>0.80125000000000002</v>
      </c>
      <c r="G878" s="144">
        <v>1.2072000000000001</v>
      </c>
      <c r="I878" s="144">
        <v>1</v>
      </c>
      <c r="J878" s="145">
        <f t="shared" si="99"/>
        <v>41892</v>
      </c>
      <c r="K878" s="144">
        <f t="shared" ca="1" si="103"/>
        <v>0.93371490447830463</v>
      </c>
      <c r="L878" s="144">
        <f t="shared" ca="1" si="103"/>
        <v>0.6197308376517906</v>
      </c>
      <c r="M878" s="144">
        <f t="shared" ca="1" si="103"/>
        <v>106.65944775311317</v>
      </c>
      <c r="N878" s="144">
        <f t="shared" ca="1" si="103"/>
        <v>6.3427179209528965</v>
      </c>
      <c r="O878" s="144">
        <f t="shared" ca="1" si="103"/>
        <v>37.289813597339318</v>
      </c>
      <c r="P878" s="144">
        <f t="shared" ca="1" si="103"/>
        <v>1</v>
      </c>
      <c r="Q878" s="144">
        <f t="shared" ca="1" si="103"/>
        <v>0.77345502359037821</v>
      </c>
    </row>
    <row r="879" spans="1:17" x14ac:dyDescent="0.25">
      <c r="A879" s="145">
        <v>41891</v>
      </c>
      <c r="B879" s="144">
        <v>1.2902</v>
      </c>
      <c r="C879" s="144">
        <v>47.853499999999997</v>
      </c>
      <c r="D879" s="144">
        <v>8.1715</v>
      </c>
      <c r="E879" s="144">
        <v>136.9</v>
      </c>
      <c r="F879" s="144">
        <v>0.80049999999999999</v>
      </c>
      <c r="G879" s="144">
        <v>1.206</v>
      </c>
      <c r="I879" s="144">
        <v>1</v>
      </c>
      <c r="J879" s="145">
        <f t="shared" si="99"/>
        <v>41891</v>
      </c>
      <c r="K879" s="144">
        <f t="shared" ca="1" si="103"/>
        <v>0.93473880018601763</v>
      </c>
      <c r="L879" s="144">
        <f t="shared" ca="1" si="103"/>
        <v>0.62044644241202918</v>
      </c>
      <c r="M879" s="144">
        <f t="shared" ca="1" si="103"/>
        <v>106.10758022012091</v>
      </c>
      <c r="N879" s="144">
        <f t="shared" ca="1" si="103"/>
        <v>6.3335141838474653</v>
      </c>
      <c r="O879" s="144">
        <f t="shared" ca="1" si="103"/>
        <v>37.089986048674618</v>
      </c>
      <c r="P879" s="144">
        <f t="shared" ca="1" si="103"/>
        <v>1</v>
      </c>
      <c r="Q879" s="144">
        <f t="shared" ca="1" si="103"/>
        <v>0.77507363199503954</v>
      </c>
    </row>
    <row r="880" spans="1:17" x14ac:dyDescent="0.25">
      <c r="A880" s="145">
        <v>41890</v>
      </c>
      <c r="B880" s="144">
        <v>1.2947</v>
      </c>
      <c r="C880" s="144">
        <v>48.085000000000001</v>
      </c>
      <c r="D880" s="144">
        <v>8.1539999999999999</v>
      </c>
      <c r="E880" s="144">
        <v>136.32</v>
      </c>
      <c r="F880" s="144">
        <v>0.80235000000000001</v>
      </c>
      <c r="G880" s="144">
        <v>1.2069000000000001</v>
      </c>
      <c r="I880" s="144">
        <v>1</v>
      </c>
      <c r="J880" s="145">
        <f t="shared" si="99"/>
        <v>41890</v>
      </c>
      <c r="K880" s="144">
        <f t="shared" ca="1" si="103"/>
        <v>0.93218506217656605</v>
      </c>
      <c r="L880" s="144">
        <f t="shared" ca="1" si="103"/>
        <v>0.61971885378852243</v>
      </c>
      <c r="M880" s="144">
        <f t="shared" ca="1" si="103"/>
        <v>105.29080095775083</v>
      </c>
      <c r="N880" s="144">
        <f t="shared" ca="1" si="103"/>
        <v>6.2979840889781418</v>
      </c>
      <c r="O880" s="144">
        <f t="shared" ca="1" si="103"/>
        <v>37.139877964007106</v>
      </c>
      <c r="P880" s="144">
        <f t="shared" ca="1" si="103"/>
        <v>1</v>
      </c>
      <c r="Q880" s="144">
        <f t="shared" ca="1" si="103"/>
        <v>0.77237970186143512</v>
      </c>
    </row>
    <row r="881" spans="1:17" x14ac:dyDescent="0.25">
      <c r="A881" s="145">
        <v>41889</v>
      </c>
      <c r="B881" s="144">
        <v>1.2948</v>
      </c>
      <c r="C881" s="144">
        <v>47.834000000000003</v>
      </c>
      <c r="D881" s="144">
        <v>8.1370000000000005</v>
      </c>
      <c r="E881" s="144">
        <v>136.27000000000001</v>
      </c>
      <c r="F881" s="144">
        <v>0.79454999999999998</v>
      </c>
      <c r="G881" s="144">
        <v>1.2063999999999999</v>
      </c>
      <c r="I881" s="144">
        <v>1</v>
      </c>
      <c r="J881" s="145">
        <f t="shared" si="99"/>
        <v>41889</v>
      </c>
      <c r="K881" s="144">
        <f t="shared" ca="1" si="103"/>
        <v>0.93172690763052202</v>
      </c>
      <c r="L881" s="144">
        <f t="shared" ca="1" si="103"/>
        <v>0.61364689527340133</v>
      </c>
      <c r="M881" s="144">
        <f t="shared" ca="1" si="103"/>
        <v>105.24405313561941</v>
      </c>
      <c r="N881" s="144">
        <f t="shared" ca="1" si="103"/>
        <v>6.2843682421995677</v>
      </c>
      <c r="O881" s="144">
        <f t="shared" ca="1" si="103"/>
        <v>36.943157244362069</v>
      </c>
      <c r="P881" s="144">
        <f t="shared" ca="1" si="103"/>
        <v>1</v>
      </c>
      <c r="Q881" s="144">
        <f t="shared" ca="1" si="103"/>
        <v>0.7723200494284832</v>
      </c>
    </row>
    <row r="882" spans="1:17" x14ac:dyDescent="0.25">
      <c r="A882" s="145">
        <v>41888</v>
      </c>
      <c r="B882" s="144">
        <v>1.2948</v>
      </c>
      <c r="C882" s="144">
        <v>47.834000000000003</v>
      </c>
      <c r="D882" s="144">
        <v>8.1370000000000005</v>
      </c>
      <c r="E882" s="144">
        <v>136.27000000000001</v>
      </c>
      <c r="F882" s="144">
        <v>0.79454999999999998</v>
      </c>
      <c r="G882" s="144">
        <v>1.2063999999999999</v>
      </c>
      <c r="I882" s="144">
        <v>1</v>
      </c>
      <c r="J882" s="145">
        <f t="shared" si="99"/>
        <v>41888</v>
      </c>
      <c r="K882" s="144">
        <f t="shared" ca="1" si="103"/>
        <v>0.93172690763052202</v>
      </c>
      <c r="L882" s="144">
        <f t="shared" ca="1" si="103"/>
        <v>0.61364689527340133</v>
      </c>
      <c r="M882" s="144">
        <f t="shared" ca="1" si="103"/>
        <v>105.24405313561941</v>
      </c>
      <c r="N882" s="144">
        <f t="shared" ca="1" si="103"/>
        <v>6.2843682421995677</v>
      </c>
      <c r="O882" s="144">
        <f t="shared" ca="1" si="103"/>
        <v>36.943157244362069</v>
      </c>
      <c r="P882" s="144">
        <f t="shared" ca="1" si="103"/>
        <v>1</v>
      </c>
      <c r="Q882" s="144">
        <f t="shared" ca="1" si="103"/>
        <v>0.7723200494284832</v>
      </c>
    </row>
    <row r="883" spans="1:17" x14ac:dyDescent="0.25">
      <c r="A883" s="145">
        <v>41887</v>
      </c>
      <c r="B883" s="144">
        <v>1.2948</v>
      </c>
      <c r="C883" s="144">
        <v>47.834000000000003</v>
      </c>
      <c r="D883" s="144">
        <v>8.1370000000000005</v>
      </c>
      <c r="E883" s="144">
        <v>136.27000000000001</v>
      </c>
      <c r="F883" s="144">
        <v>0.79454999999999998</v>
      </c>
      <c r="G883" s="144">
        <v>1.2063999999999999</v>
      </c>
      <c r="I883" s="144">
        <v>1</v>
      </c>
      <c r="J883" s="145">
        <f t="shared" si="99"/>
        <v>41887</v>
      </c>
      <c r="K883" s="144">
        <f t="shared" ca="1" si="103"/>
        <v>0.93172690763052202</v>
      </c>
      <c r="L883" s="144">
        <f t="shared" ca="1" si="103"/>
        <v>0.61364689527340133</v>
      </c>
      <c r="M883" s="144">
        <f t="shared" ca="1" si="103"/>
        <v>105.24405313561941</v>
      </c>
      <c r="N883" s="144">
        <f t="shared" ca="1" si="103"/>
        <v>6.2843682421995677</v>
      </c>
      <c r="O883" s="144">
        <f t="shared" ca="1" si="103"/>
        <v>36.943157244362069</v>
      </c>
      <c r="P883" s="144">
        <f t="shared" ca="1" si="103"/>
        <v>1</v>
      </c>
      <c r="Q883" s="144">
        <f t="shared" ca="1" si="103"/>
        <v>0.7723200494284832</v>
      </c>
    </row>
    <row r="884" spans="1:17" x14ac:dyDescent="0.25">
      <c r="A884" s="145">
        <v>41886</v>
      </c>
      <c r="B884" s="144">
        <v>1.3015000000000001</v>
      </c>
      <c r="C884" s="144">
        <v>48.2042</v>
      </c>
      <c r="D884" s="144">
        <v>8.1174999999999997</v>
      </c>
      <c r="E884" s="144">
        <v>136.88999999999999</v>
      </c>
      <c r="F884" s="144">
        <v>0.79320000000000002</v>
      </c>
      <c r="G884" s="144">
        <v>1.2055</v>
      </c>
      <c r="I884" s="144">
        <v>1</v>
      </c>
      <c r="J884" s="145">
        <f t="shared" si="99"/>
        <v>41886</v>
      </c>
      <c r="K884" s="144">
        <f t="shared" ca="1" si="103"/>
        <v>0.92623895505186316</v>
      </c>
      <c r="L884" s="144">
        <f t="shared" ca="1" si="103"/>
        <v>0.60945063388398002</v>
      </c>
      <c r="M884" s="144">
        <f t="shared" ca="1" si="103"/>
        <v>105.17864003073375</v>
      </c>
      <c r="N884" s="144">
        <f t="shared" ca="1" si="103"/>
        <v>6.2370341913177096</v>
      </c>
      <c r="O884" s="144">
        <f t="shared" ca="1" si="103"/>
        <v>37.037418363426809</v>
      </c>
      <c r="P884" s="144">
        <f t="shared" ca="1" si="103"/>
        <v>1</v>
      </c>
      <c r="Q884" s="144">
        <f t="shared" ca="1" si="103"/>
        <v>0.76834421820975796</v>
      </c>
    </row>
    <row r="885" spans="1:17" x14ac:dyDescent="0.25">
      <c r="A885" s="145">
        <v>41885</v>
      </c>
      <c r="B885" s="144">
        <v>1.3150999999999999</v>
      </c>
      <c r="C885" s="144">
        <v>48.438499999999998</v>
      </c>
      <c r="D885" s="144">
        <v>8.1605000000000008</v>
      </c>
      <c r="E885" s="144">
        <v>138.11000000000001</v>
      </c>
      <c r="F885" s="144">
        <v>0.79854999999999998</v>
      </c>
      <c r="G885" s="144">
        <v>1.2078</v>
      </c>
      <c r="I885" s="144">
        <v>1</v>
      </c>
      <c r="J885" s="145">
        <f t="shared" si="99"/>
        <v>41885</v>
      </c>
      <c r="K885" s="144">
        <f t="shared" ref="K885:Q894" ca="1" si="104">OFFSET($A885,0,K$3)/OFFSET($A885,0,$P$3)</f>
        <v>0.91840924644513733</v>
      </c>
      <c r="L885" s="144">
        <f t="shared" ca="1" si="104"/>
        <v>0.60721618127899024</v>
      </c>
      <c r="M885" s="144">
        <f t="shared" ca="1" si="104"/>
        <v>105.0186297619953</v>
      </c>
      <c r="N885" s="144">
        <f t="shared" ca="1" si="104"/>
        <v>6.2052315413276569</v>
      </c>
      <c r="O885" s="144">
        <f t="shared" ca="1" si="104"/>
        <v>36.832560261577065</v>
      </c>
      <c r="P885" s="144">
        <f t="shared" ca="1" si="104"/>
        <v>1</v>
      </c>
      <c r="Q885" s="144">
        <f t="shared" ca="1" si="104"/>
        <v>0.76039844878716456</v>
      </c>
    </row>
    <row r="886" spans="1:17" x14ac:dyDescent="0.25">
      <c r="A886" s="145">
        <v>41884</v>
      </c>
      <c r="B886" s="144">
        <v>1.3115000000000001</v>
      </c>
      <c r="C886" s="144">
        <v>49.150500000000001</v>
      </c>
      <c r="D886" s="144">
        <v>8.1219999999999999</v>
      </c>
      <c r="E886" s="144">
        <v>137.63</v>
      </c>
      <c r="F886" s="144">
        <v>0.79330000000000001</v>
      </c>
      <c r="G886" s="144">
        <v>1.2072000000000001</v>
      </c>
      <c r="I886" s="144">
        <v>1</v>
      </c>
      <c r="J886" s="145">
        <f t="shared" si="99"/>
        <v>41884</v>
      </c>
      <c r="K886" s="144">
        <f t="shared" ca="1" si="104"/>
        <v>0.92047274113610367</v>
      </c>
      <c r="L886" s="144">
        <f t="shared" ca="1" si="104"/>
        <v>0.60487990850171558</v>
      </c>
      <c r="M886" s="144">
        <f t="shared" ca="1" si="104"/>
        <v>104.94090735798703</v>
      </c>
      <c r="N886" s="144">
        <f t="shared" ca="1" si="104"/>
        <v>6.1929088829584442</v>
      </c>
      <c r="O886" s="144">
        <f t="shared" ca="1" si="104"/>
        <v>37.476553564620659</v>
      </c>
      <c r="P886" s="144">
        <f t="shared" ca="1" si="104"/>
        <v>1</v>
      </c>
      <c r="Q886" s="144">
        <f t="shared" ca="1" si="104"/>
        <v>0.76248570339306132</v>
      </c>
    </row>
    <row r="887" spans="1:17" x14ac:dyDescent="0.25">
      <c r="A887" s="145">
        <v>41883</v>
      </c>
      <c r="B887" s="144">
        <v>1.3132999999999999</v>
      </c>
      <c r="C887" s="144">
        <v>48.981499999999997</v>
      </c>
      <c r="D887" s="144">
        <v>8.1329999999999991</v>
      </c>
      <c r="E887" s="144">
        <v>136.97</v>
      </c>
      <c r="F887" s="144">
        <v>0.79025000000000001</v>
      </c>
      <c r="G887" s="144">
        <v>1.2072000000000001</v>
      </c>
      <c r="I887" s="144">
        <v>1</v>
      </c>
      <c r="J887" s="145">
        <f t="shared" si="99"/>
        <v>41883</v>
      </c>
      <c r="K887" s="144">
        <f t="shared" ca="1" si="104"/>
        <v>0.91921114749105315</v>
      </c>
      <c r="L887" s="144">
        <f t="shared" ca="1" si="104"/>
        <v>0.60172847026574283</v>
      </c>
      <c r="M887" s="144">
        <f t="shared" ca="1" si="104"/>
        <v>104.29452524175741</v>
      </c>
      <c r="N887" s="144">
        <f t="shared" ca="1" si="104"/>
        <v>6.1927967714916621</v>
      </c>
      <c r="O887" s="144">
        <f t="shared" ca="1" si="104"/>
        <v>37.296504987436229</v>
      </c>
      <c r="P887" s="144">
        <f t="shared" ca="1" si="104"/>
        <v>1</v>
      </c>
      <c r="Q887" s="144">
        <f t="shared" ca="1" si="104"/>
        <v>0.76144064570166758</v>
      </c>
    </row>
    <row r="888" spans="1:17" x14ac:dyDescent="0.25">
      <c r="A888" s="145">
        <v>41882</v>
      </c>
      <c r="B888" s="144">
        <v>1.3188</v>
      </c>
      <c r="C888" s="144">
        <v>48.740600000000001</v>
      </c>
      <c r="D888" s="144">
        <v>8.1464999999999996</v>
      </c>
      <c r="E888" s="144">
        <v>137.11000000000001</v>
      </c>
      <c r="F888" s="144">
        <v>0.79530000000000001</v>
      </c>
      <c r="G888" s="144">
        <v>1.2060999999999999</v>
      </c>
      <c r="I888" s="144">
        <v>1</v>
      </c>
      <c r="J888" s="145">
        <f t="shared" si="99"/>
        <v>41882</v>
      </c>
      <c r="K888" s="144">
        <f t="shared" ca="1" si="104"/>
        <v>0.91454352441613584</v>
      </c>
      <c r="L888" s="144">
        <f t="shared" ca="1" si="104"/>
        <v>0.60304822565969063</v>
      </c>
      <c r="M888" s="144">
        <f t="shared" ca="1" si="104"/>
        <v>103.96572641795574</v>
      </c>
      <c r="N888" s="144">
        <f t="shared" ca="1" si="104"/>
        <v>6.1772065514103733</v>
      </c>
      <c r="O888" s="144">
        <f t="shared" ca="1" si="104"/>
        <v>36.958295420078862</v>
      </c>
      <c r="P888" s="144">
        <f t="shared" ca="1" si="104"/>
        <v>1</v>
      </c>
      <c r="Q888" s="144">
        <f t="shared" ca="1" si="104"/>
        <v>0.7582650894752806</v>
      </c>
    </row>
    <row r="889" spans="1:17" x14ac:dyDescent="0.25">
      <c r="A889" s="145">
        <v>41881</v>
      </c>
      <c r="B889" s="144">
        <v>1.3188</v>
      </c>
      <c r="C889" s="144">
        <v>48.740600000000001</v>
      </c>
      <c r="D889" s="144">
        <v>8.1464999999999996</v>
      </c>
      <c r="E889" s="144">
        <v>137.11000000000001</v>
      </c>
      <c r="F889" s="144">
        <v>0.79530000000000001</v>
      </c>
      <c r="G889" s="144">
        <v>1.2060999999999999</v>
      </c>
      <c r="I889" s="144">
        <v>1</v>
      </c>
      <c r="J889" s="145">
        <f t="shared" si="99"/>
        <v>41881</v>
      </c>
      <c r="K889" s="144">
        <f t="shared" ca="1" si="104"/>
        <v>0.91454352441613584</v>
      </c>
      <c r="L889" s="144">
        <f t="shared" ca="1" si="104"/>
        <v>0.60304822565969063</v>
      </c>
      <c r="M889" s="144">
        <f t="shared" ca="1" si="104"/>
        <v>103.96572641795574</v>
      </c>
      <c r="N889" s="144">
        <f t="shared" ca="1" si="104"/>
        <v>6.1772065514103733</v>
      </c>
      <c r="O889" s="144">
        <f t="shared" ca="1" si="104"/>
        <v>36.958295420078862</v>
      </c>
      <c r="P889" s="144">
        <f t="shared" ca="1" si="104"/>
        <v>1</v>
      </c>
      <c r="Q889" s="144">
        <f t="shared" ca="1" si="104"/>
        <v>0.7582650894752806</v>
      </c>
    </row>
    <row r="890" spans="1:17" x14ac:dyDescent="0.25">
      <c r="A890" s="145">
        <v>41880</v>
      </c>
      <c r="B890" s="144">
        <v>1.3188</v>
      </c>
      <c r="C890" s="144">
        <v>48.740600000000001</v>
      </c>
      <c r="D890" s="144">
        <v>8.1464999999999996</v>
      </c>
      <c r="E890" s="144">
        <v>137.11000000000001</v>
      </c>
      <c r="F890" s="144">
        <v>0.79530000000000001</v>
      </c>
      <c r="G890" s="144">
        <v>1.2060999999999999</v>
      </c>
      <c r="I890" s="144">
        <v>1</v>
      </c>
      <c r="J890" s="145">
        <f t="shared" si="99"/>
        <v>41880</v>
      </c>
      <c r="K890" s="144">
        <f t="shared" ca="1" si="104"/>
        <v>0.91454352441613584</v>
      </c>
      <c r="L890" s="144">
        <f t="shared" ca="1" si="104"/>
        <v>0.60304822565969063</v>
      </c>
      <c r="M890" s="144">
        <f t="shared" ca="1" si="104"/>
        <v>103.96572641795574</v>
      </c>
      <c r="N890" s="144">
        <f t="shared" ca="1" si="104"/>
        <v>6.1772065514103733</v>
      </c>
      <c r="O890" s="144">
        <f t="shared" ca="1" si="104"/>
        <v>36.958295420078862</v>
      </c>
      <c r="P890" s="144">
        <f t="shared" ca="1" si="104"/>
        <v>1</v>
      </c>
      <c r="Q890" s="144">
        <f t="shared" ca="1" si="104"/>
        <v>0.7582650894752806</v>
      </c>
    </row>
    <row r="891" spans="1:17" x14ac:dyDescent="0.25">
      <c r="A891" s="145">
        <v>41879</v>
      </c>
      <c r="B891" s="144">
        <v>1.3178000000000001</v>
      </c>
      <c r="C891" s="144">
        <v>48.447000000000003</v>
      </c>
      <c r="D891" s="144">
        <v>8.1524999999999999</v>
      </c>
      <c r="E891" s="144">
        <v>136.68</v>
      </c>
      <c r="F891" s="144">
        <v>0.79449999999999998</v>
      </c>
      <c r="G891" s="144">
        <v>1.206</v>
      </c>
      <c r="I891" s="144">
        <v>1</v>
      </c>
      <c r="J891" s="145">
        <f t="shared" si="99"/>
        <v>41879</v>
      </c>
      <c r="K891" s="144">
        <f t="shared" ca="1" si="104"/>
        <v>0.91516163302473807</v>
      </c>
      <c r="L891" s="144">
        <f t="shared" ca="1" si="104"/>
        <v>0.60289877067840336</v>
      </c>
      <c r="M891" s="144">
        <f t="shared" ca="1" si="104"/>
        <v>103.71831840947033</v>
      </c>
      <c r="N891" s="144">
        <f t="shared" ca="1" si="104"/>
        <v>6.1864471088177257</v>
      </c>
      <c r="O891" s="144">
        <f t="shared" ca="1" si="104"/>
        <v>36.763545302777359</v>
      </c>
      <c r="P891" s="144">
        <f t="shared" ca="1" si="104"/>
        <v>1</v>
      </c>
      <c r="Q891" s="144">
        <f t="shared" ca="1" si="104"/>
        <v>0.75884049172863854</v>
      </c>
    </row>
    <row r="892" spans="1:17" x14ac:dyDescent="0.25">
      <c r="A892" s="145">
        <v>41878</v>
      </c>
      <c r="B892" s="144">
        <v>1.3177000000000001</v>
      </c>
      <c r="C892" s="144">
        <v>47.498600000000003</v>
      </c>
      <c r="D892" s="144">
        <v>8.1555</v>
      </c>
      <c r="E892" s="144">
        <v>136.88</v>
      </c>
      <c r="F892" s="144">
        <v>0.79400000000000004</v>
      </c>
      <c r="G892" s="144">
        <v>1.2068000000000001</v>
      </c>
      <c r="I892" s="144">
        <v>1</v>
      </c>
      <c r="J892" s="145">
        <f t="shared" si="99"/>
        <v>41878</v>
      </c>
      <c r="K892" s="144">
        <f t="shared" ca="1" si="104"/>
        <v>0.91583820292934659</v>
      </c>
      <c r="L892" s="144">
        <f t="shared" ca="1" si="104"/>
        <v>0.60256507551035898</v>
      </c>
      <c r="M892" s="144">
        <f t="shared" ca="1" si="104"/>
        <v>103.87796918873794</v>
      </c>
      <c r="N892" s="144">
        <f t="shared" ca="1" si="104"/>
        <v>6.1891932913409722</v>
      </c>
      <c r="O892" s="144">
        <f t="shared" ca="1" si="104"/>
        <v>36.046596342111258</v>
      </c>
      <c r="P892" s="144">
        <f t="shared" ca="1" si="104"/>
        <v>1</v>
      </c>
      <c r="Q892" s="144">
        <f t="shared" ca="1" si="104"/>
        <v>0.75889807998785763</v>
      </c>
    </row>
    <row r="893" spans="1:17" x14ac:dyDescent="0.25">
      <c r="A893" s="145">
        <v>41877</v>
      </c>
      <c r="B893" s="144">
        <v>1.3191999999999999</v>
      </c>
      <c r="C893" s="144">
        <v>47.683999999999997</v>
      </c>
      <c r="D893" s="144">
        <v>8.1460000000000008</v>
      </c>
      <c r="E893" s="144">
        <v>137.15</v>
      </c>
      <c r="F893" s="144">
        <v>0.79605000000000004</v>
      </c>
      <c r="G893" s="144">
        <v>1.2085999999999999</v>
      </c>
      <c r="I893" s="144">
        <v>1</v>
      </c>
      <c r="J893" s="145">
        <f t="shared" si="99"/>
        <v>41877</v>
      </c>
      <c r="K893" s="144">
        <f t="shared" ca="1" si="104"/>
        <v>0.91616130988477862</v>
      </c>
      <c r="L893" s="144">
        <f t="shared" ca="1" si="104"/>
        <v>0.60343389933292912</v>
      </c>
      <c r="M893" s="144">
        <f t="shared" ca="1" si="104"/>
        <v>103.96452395391147</v>
      </c>
      <c r="N893" s="144">
        <f t="shared" ca="1" si="104"/>
        <v>6.1749545178896312</v>
      </c>
      <c r="O893" s="144">
        <f t="shared" ca="1" si="104"/>
        <v>36.146149181322016</v>
      </c>
      <c r="P893" s="144">
        <f t="shared" ca="1" si="104"/>
        <v>1</v>
      </c>
      <c r="Q893" s="144">
        <f t="shared" ca="1" si="104"/>
        <v>0.75803517283201949</v>
      </c>
    </row>
    <row r="894" spans="1:17" x14ac:dyDescent="0.25">
      <c r="A894" s="145">
        <v>41876</v>
      </c>
      <c r="B894" s="144">
        <v>1.32</v>
      </c>
      <c r="C894" s="144">
        <v>47.727200000000003</v>
      </c>
      <c r="D894" s="144">
        <v>8.1515000000000004</v>
      </c>
      <c r="E894" s="144">
        <v>137.13</v>
      </c>
      <c r="F894" s="144">
        <v>0.79566999999999999</v>
      </c>
      <c r="G894" s="144">
        <v>1.2087000000000001</v>
      </c>
      <c r="I894" s="144">
        <v>1</v>
      </c>
      <c r="J894" s="145">
        <f t="shared" si="99"/>
        <v>41876</v>
      </c>
      <c r="K894" s="144">
        <f t="shared" ca="1" si="104"/>
        <v>0.91568181818181826</v>
      </c>
      <c r="L894" s="144">
        <f t="shared" ca="1" si="104"/>
        <v>0.60278030303030294</v>
      </c>
      <c r="M894" s="144">
        <f t="shared" ca="1" si="104"/>
        <v>103.88636363636363</v>
      </c>
      <c r="N894" s="144">
        <f t="shared" ca="1" si="104"/>
        <v>6.1753787878787882</v>
      </c>
      <c r="O894" s="144">
        <f t="shared" ca="1" si="104"/>
        <v>36.156969696969696</v>
      </c>
      <c r="P894" s="144">
        <f t="shared" ca="1" si="104"/>
        <v>1</v>
      </c>
      <c r="Q894" s="144">
        <f t="shared" ca="1" si="104"/>
        <v>0.75757575757575757</v>
      </c>
    </row>
    <row r="895" spans="1:17" x14ac:dyDescent="0.25">
      <c r="A895" s="145">
        <v>41875</v>
      </c>
      <c r="B895" s="144">
        <v>1.3267</v>
      </c>
      <c r="C895" s="144">
        <v>48.048999999999999</v>
      </c>
      <c r="D895" s="144">
        <v>8.1494999999999997</v>
      </c>
      <c r="E895" s="144">
        <v>137.69999999999999</v>
      </c>
      <c r="F895" s="144">
        <v>0.80030000000000001</v>
      </c>
      <c r="G895" s="144">
        <v>1.21</v>
      </c>
      <c r="I895" s="144">
        <v>1</v>
      </c>
      <c r="J895" s="145">
        <f t="shared" si="99"/>
        <v>41875</v>
      </c>
      <c r="K895" s="144">
        <f t="shared" ref="K895:Q904" ca="1" si="105">OFFSET($A895,0,K$3)/OFFSET($A895,0,$P$3)</f>
        <v>0.91203738599532669</v>
      </c>
      <c r="L895" s="144">
        <f t="shared" ca="1" si="105"/>
        <v>0.60322604959674386</v>
      </c>
      <c r="M895" s="144">
        <f t="shared" ca="1" si="105"/>
        <v>103.79136202607974</v>
      </c>
      <c r="N895" s="144">
        <f t="shared" ca="1" si="105"/>
        <v>6.1426848571643928</v>
      </c>
      <c r="O895" s="144">
        <f t="shared" ca="1" si="105"/>
        <v>36.216929222883849</v>
      </c>
      <c r="P895" s="144">
        <f t="shared" ca="1" si="105"/>
        <v>1</v>
      </c>
      <c r="Q895" s="144">
        <f t="shared" ca="1" si="105"/>
        <v>0.75374990578126178</v>
      </c>
    </row>
    <row r="896" spans="1:17" x14ac:dyDescent="0.25">
      <c r="A896" s="145">
        <v>41874</v>
      </c>
      <c r="B896" s="144">
        <v>1.3267</v>
      </c>
      <c r="C896" s="144">
        <v>48.048999999999999</v>
      </c>
      <c r="D896" s="144">
        <v>8.1494999999999997</v>
      </c>
      <c r="E896" s="144">
        <v>137.69999999999999</v>
      </c>
      <c r="F896" s="144">
        <v>0.80030000000000001</v>
      </c>
      <c r="G896" s="144">
        <v>1.21</v>
      </c>
      <c r="I896" s="144">
        <v>1</v>
      </c>
      <c r="J896" s="145">
        <f t="shared" si="99"/>
        <v>41874</v>
      </c>
      <c r="K896" s="144">
        <f t="shared" ca="1" si="105"/>
        <v>0.91203738599532669</v>
      </c>
      <c r="L896" s="144">
        <f t="shared" ca="1" si="105"/>
        <v>0.60322604959674386</v>
      </c>
      <c r="M896" s="144">
        <f t="shared" ca="1" si="105"/>
        <v>103.79136202607974</v>
      </c>
      <c r="N896" s="144">
        <f t="shared" ca="1" si="105"/>
        <v>6.1426848571643928</v>
      </c>
      <c r="O896" s="144">
        <f t="shared" ca="1" si="105"/>
        <v>36.216929222883849</v>
      </c>
      <c r="P896" s="144">
        <f t="shared" ca="1" si="105"/>
        <v>1</v>
      </c>
      <c r="Q896" s="144">
        <f t="shared" ca="1" si="105"/>
        <v>0.75374990578126178</v>
      </c>
    </row>
    <row r="897" spans="1:17" x14ac:dyDescent="0.25">
      <c r="A897" s="145">
        <v>41873</v>
      </c>
      <c r="B897" s="144">
        <v>1.3267</v>
      </c>
      <c r="C897" s="144">
        <v>48.048999999999999</v>
      </c>
      <c r="D897" s="144">
        <v>8.1494999999999997</v>
      </c>
      <c r="E897" s="144">
        <v>137.69999999999999</v>
      </c>
      <c r="F897" s="144">
        <v>0.80030000000000001</v>
      </c>
      <c r="G897" s="144">
        <v>1.21</v>
      </c>
      <c r="I897" s="144">
        <v>1</v>
      </c>
      <c r="J897" s="145">
        <f t="shared" si="99"/>
        <v>41873</v>
      </c>
      <c r="K897" s="144">
        <f t="shared" ca="1" si="105"/>
        <v>0.91203738599532669</v>
      </c>
      <c r="L897" s="144">
        <f t="shared" ca="1" si="105"/>
        <v>0.60322604959674386</v>
      </c>
      <c r="M897" s="144">
        <f t="shared" ca="1" si="105"/>
        <v>103.79136202607974</v>
      </c>
      <c r="N897" s="144">
        <f t="shared" ca="1" si="105"/>
        <v>6.1426848571643928</v>
      </c>
      <c r="O897" s="144">
        <f t="shared" ca="1" si="105"/>
        <v>36.216929222883849</v>
      </c>
      <c r="P897" s="144">
        <f t="shared" ca="1" si="105"/>
        <v>1</v>
      </c>
      <c r="Q897" s="144">
        <f t="shared" ca="1" si="105"/>
        <v>0.75374990578126178</v>
      </c>
    </row>
    <row r="898" spans="1:17" x14ac:dyDescent="0.25">
      <c r="A898" s="145">
        <v>41872</v>
      </c>
      <c r="B898" s="144">
        <v>1.3262</v>
      </c>
      <c r="C898" s="144">
        <v>48.1708</v>
      </c>
      <c r="D898" s="144">
        <v>8.1630000000000003</v>
      </c>
      <c r="E898" s="144">
        <v>137.71</v>
      </c>
      <c r="F898" s="144">
        <v>0.79925000000000002</v>
      </c>
      <c r="G898" s="144">
        <v>1.2109000000000001</v>
      </c>
      <c r="I898" s="144">
        <v>1</v>
      </c>
      <c r="J898" s="145">
        <f t="shared" si="99"/>
        <v>41872</v>
      </c>
      <c r="K898" s="144">
        <f t="shared" ca="1" si="105"/>
        <v>0.91305987030613789</v>
      </c>
      <c r="L898" s="144">
        <f t="shared" ca="1" si="105"/>
        <v>0.602661740310662</v>
      </c>
      <c r="M898" s="144">
        <f t="shared" ca="1" si="105"/>
        <v>103.83803347911326</v>
      </c>
      <c r="N898" s="144">
        <f t="shared" ca="1" si="105"/>
        <v>6.1551802141456795</v>
      </c>
      <c r="O898" s="144">
        <f t="shared" ca="1" si="105"/>
        <v>36.322424973608804</v>
      </c>
      <c r="P898" s="144">
        <f t="shared" ca="1" si="105"/>
        <v>1</v>
      </c>
      <c r="Q898" s="144">
        <f t="shared" ca="1" si="105"/>
        <v>0.75403408234052172</v>
      </c>
    </row>
    <row r="899" spans="1:17" x14ac:dyDescent="0.25">
      <c r="A899" s="145">
        <v>41871</v>
      </c>
      <c r="B899" s="144">
        <v>1.3284</v>
      </c>
      <c r="C899" s="144">
        <v>48.198799999999999</v>
      </c>
      <c r="D899" s="144">
        <v>8.2035</v>
      </c>
      <c r="E899" s="144">
        <v>137.22999999999999</v>
      </c>
      <c r="F899" s="144">
        <v>0.79810000000000003</v>
      </c>
      <c r="G899" s="144">
        <v>1.2105999999999999</v>
      </c>
      <c r="I899" s="144">
        <v>1</v>
      </c>
      <c r="J899" s="145">
        <f t="shared" si="99"/>
        <v>41871</v>
      </c>
      <c r="K899" s="144">
        <f t="shared" ca="1" si="105"/>
        <v>0.9113218909966877</v>
      </c>
      <c r="L899" s="144">
        <f t="shared" ca="1" si="105"/>
        <v>0.60079795242396872</v>
      </c>
      <c r="M899" s="144">
        <f t="shared" ca="1" si="105"/>
        <v>103.30472749171935</v>
      </c>
      <c r="N899" s="144">
        <f t="shared" ca="1" si="105"/>
        <v>6.1754742547425474</v>
      </c>
      <c r="O899" s="144">
        <f t="shared" ca="1" si="105"/>
        <v>36.283348389039446</v>
      </c>
      <c r="P899" s="144">
        <f t="shared" ca="1" si="105"/>
        <v>1</v>
      </c>
      <c r="Q899" s="144">
        <f t="shared" ca="1" si="105"/>
        <v>0.75278530563083412</v>
      </c>
    </row>
    <row r="900" spans="1:17" x14ac:dyDescent="0.25">
      <c r="A900" s="145">
        <v>41870</v>
      </c>
      <c r="B900" s="144">
        <v>1.3353999999999999</v>
      </c>
      <c r="C900" s="144">
        <v>48.305700000000002</v>
      </c>
      <c r="D900" s="144">
        <v>8.1974999999999998</v>
      </c>
      <c r="E900" s="144">
        <v>137.12</v>
      </c>
      <c r="F900" s="144">
        <v>0.80264999999999997</v>
      </c>
      <c r="G900" s="144">
        <v>1.2103999999999999</v>
      </c>
      <c r="I900" s="144">
        <v>1</v>
      </c>
      <c r="J900" s="145">
        <f t="shared" si="99"/>
        <v>41870</v>
      </c>
      <c r="K900" s="144">
        <f t="shared" ca="1" si="105"/>
        <v>0.90639508761419796</v>
      </c>
      <c r="L900" s="144">
        <f t="shared" ca="1" si="105"/>
        <v>0.60105586341171191</v>
      </c>
      <c r="M900" s="144">
        <f t="shared" ca="1" si="105"/>
        <v>102.68084469072937</v>
      </c>
      <c r="N900" s="144">
        <f t="shared" ca="1" si="105"/>
        <v>6.1386101542608955</v>
      </c>
      <c r="O900" s="144">
        <f t="shared" ca="1" si="105"/>
        <v>36.173206529878691</v>
      </c>
      <c r="P900" s="144">
        <f t="shared" ca="1" si="105"/>
        <v>1</v>
      </c>
      <c r="Q900" s="144">
        <f t="shared" ca="1" si="105"/>
        <v>0.74883929908641611</v>
      </c>
    </row>
    <row r="901" spans="1:17" x14ac:dyDescent="0.25">
      <c r="A901" s="145">
        <v>41869</v>
      </c>
      <c r="B901" s="144">
        <v>1.3383</v>
      </c>
      <c r="C901" s="144">
        <v>48.231999999999999</v>
      </c>
      <c r="D901" s="144">
        <v>8.2315000000000005</v>
      </c>
      <c r="E901" s="144">
        <v>137.22</v>
      </c>
      <c r="F901" s="144">
        <v>0.80020000000000002</v>
      </c>
      <c r="G901" s="144">
        <v>1.2107000000000001</v>
      </c>
      <c r="I901" s="144">
        <v>1</v>
      </c>
      <c r="J901" s="145">
        <f t="shared" ref="J901:J964" si="106">A901</f>
        <v>41869</v>
      </c>
      <c r="K901" s="144">
        <f t="shared" ca="1" si="105"/>
        <v>0.90465515953074804</v>
      </c>
      <c r="L901" s="144">
        <f t="shared" ca="1" si="105"/>
        <v>0.5979227378016887</v>
      </c>
      <c r="M901" s="144">
        <f t="shared" ca="1" si="105"/>
        <v>102.53306433535082</v>
      </c>
      <c r="N901" s="144">
        <f t="shared" ca="1" si="105"/>
        <v>6.1507135918702831</v>
      </c>
      <c r="O901" s="144">
        <f t="shared" ca="1" si="105"/>
        <v>36.039751924082793</v>
      </c>
      <c r="P901" s="144">
        <f t="shared" ca="1" si="105"/>
        <v>1</v>
      </c>
      <c r="Q901" s="144">
        <f t="shared" ca="1" si="105"/>
        <v>0.74721661809758644</v>
      </c>
    </row>
    <row r="902" spans="1:17" x14ac:dyDescent="0.25">
      <c r="A902" s="145">
        <v>41868</v>
      </c>
      <c r="B902" s="144">
        <v>1.3388</v>
      </c>
      <c r="C902" s="144">
        <v>48.143500000000003</v>
      </c>
      <c r="D902" s="144">
        <v>8.2204999999999995</v>
      </c>
      <c r="E902" s="144">
        <v>137.33000000000001</v>
      </c>
      <c r="F902" s="144">
        <v>0.80215000000000003</v>
      </c>
      <c r="G902" s="144">
        <v>1.2114</v>
      </c>
      <c r="I902" s="144">
        <v>1</v>
      </c>
      <c r="J902" s="145">
        <f t="shared" si="106"/>
        <v>41868</v>
      </c>
      <c r="K902" s="144">
        <f t="shared" ca="1" si="105"/>
        <v>0.90484015536301166</v>
      </c>
      <c r="L902" s="144">
        <f t="shared" ca="1" si="105"/>
        <v>0.59915596056169707</v>
      </c>
      <c r="M902" s="144">
        <f t="shared" ca="1" si="105"/>
        <v>102.5769345682701</v>
      </c>
      <c r="N902" s="144">
        <f t="shared" ca="1" si="105"/>
        <v>6.1402001792650127</v>
      </c>
      <c r="O902" s="144">
        <f t="shared" ca="1" si="105"/>
        <v>35.960188228264123</v>
      </c>
      <c r="P902" s="144">
        <f t="shared" ca="1" si="105"/>
        <v>1</v>
      </c>
      <c r="Q902" s="144">
        <f t="shared" ca="1" si="105"/>
        <v>0.74693755602031675</v>
      </c>
    </row>
    <row r="903" spans="1:17" x14ac:dyDescent="0.25">
      <c r="A903" s="145">
        <v>41867</v>
      </c>
      <c r="B903" s="144">
        <v>1.3388</v>
      </c>
      <c r="C903" s="144">
        <v>48.143500000000003</v>
      </c>
      <c r="D903" s="144">
        <v>8.2204999999999995</v>
      </c>
      <c r="E903" s="144">
        <v>137.33000000000001</v>
      </c>
      <c r="F903" s="144">
        <v>0.80215000000000003</v>
      </c>
      <c r="G903" s="144">
        <v>1.2114</v>
      </c>
      <c r="I903" s="144">
        <v>1</v>
      </c>
      <c r="J903" s="145">
        <f t="shared" si="106"/>
        <v>41867</v>
      </c>
      <c r="K903" s="144">
        <f t="shared" ca="1" si="105"/>
        <v>0.90484015536301166</v>
      </c>
      <c r="L903" s="144">
        <f t="shared" ca="1" si="105"/>
        <v>0.59915596056169707</v>
      </c>
      <c r="M903" s="144">
        <f t="shared" ca="1" si="105"/>
        <v>102.5769345682701</v>
      </c>
      <c r="N903" s="144">
        <f t="shared" ca="1" si="105"/>
        <v>6.1402001792650127</v>
      </c>
      <c r="O903" s="144">
        <f t="shared" ca="1" si="105"/>
        <v>35.960188228264123</v>
      </c>
      <c r="P903" s="144">
        <f t="shared" ca="1" si="105"/>
        <v>1</v>
      </c>
      <c r="Q903" s="144">
        <f t="shared" ca="1" si="105"/>
        <v>0.74693755602031675</v>
      </c>
    </row>
    <row r="904" spans="1:17" x14ac:dyDescent="0.25">
      <c r="A904" s="145">
        <v>41866</v>
      </c>
      <c r="B904" s="144">
        <v>1.3388</v>
      </c>
      <c r="C904" s="144">
        <v>48.143500000000003</v>
      </c>
      <c r="D904" s="144">
        <v>8.2204999999999995</v>
      </c>
      <c r="E904" s="144">
        <v>137.33000000000001</v>
      </c>
      <c r="F904" s="144">
        <v>0.80215000000000003</v>
      </c>
      <c r="G904" s="144">
        <v>1.2114</v>
      </c>
      <c r="I904" s="144">
        <v>1</v>
      </c>
      <c r="J904" s="145">
        <f t="shared" si="106"/>
        <v>41866</v>
      </c>
      <c r="K904" s="144">
        <f t="shared" ca="1" si="105"/>
        <v>0.90484015536301166</v>
      </c>
      <c r="L904" s="144">
        <f t="shared" ca="1" si="105"/>
        <v>0.59915596056169707</v>
      </c>
      <c r="M904" s="144">
        <f t="shared" ca="1" si="105"/>
        <v>102.5769345682701</v>
      </c>
      <c r="N904" s="144">
        <f t="shared" ca="1" si="105"/>
        <v>6.1402001792650127</v>
      </c>
      <c r="O904" s="144">
        <f t="shared" ca="1" si="105"/>
        <v>35.960188228264123</v>
      </c>
      <c r="P904" s="144">
        <f t="shared" ca="1" si="105"/>
        <v>1</v>
      </c>
      <c r="Q904" s="144">
        <f t="shared" ca="1" si="105"/>
        <v>0.74693755602031675</v>
      </c>
    </row>
    <row r="905" spans="1:17" x14ac:dyDescent="0.25">
      <c r="A905" s="145">
        <v>41865</v>
      </c>
      <c r="B905" s="144">
        <v>1.3372999999999999</v>
      </c>
      <c r="C905" s="144">
        <v>48.035499999999999</v>
      </c>
      <c r="D905" s="144">
        <v>8.2260000000000009</v>
      </c>
      <c r="E905" s="144">
        <v>136.99</v>
      </c>
      <c r="F905" s="144">
        <v>0.80159999999999998</v>
      </c>
      <c r="G905" s="144">
        <v>1.2123999999999999</v>
      </c>
      <c r="I905" s="144">
        <v>1</v>
      </c>
      <c r="J905" s="145">
        <f t="shared" si="106"/>
        <v>41865</v>
      </c>
      <c r="K905" s="144">
        <f t="shared" ref="K905:Q914" ca="1" si="107">OFFSET($A905,0,K$3)/OFFSET($A905,0,$P$3)</f>
        <v>0.90660285650190686</v>
      </c>
      <c r="L905" s="144">
        <f t="shared" ca="1" si="107"/>
        <v>0.59941673521274208</v>
      </c>
      <c r="M905" s="144">
        <f t="shared" ca="1" si="107"/>
        <v>102.43774770059075</v>
      </c>
      <c r="N905" s="144">
        <f t="shared" ca="1" si="107"/>
        <v>6.1512001794660893</v>
      </c>
      <c r="O905" s="144">
        <f t="shared" ca="1" si="107"/>
        <v>35.919763702983623</v>
      </c>
      <c r="P905" s="144">
        <f t="shared" ca="1" si="107"/>
        <v>1</v>
      </c>
      <c r="Q905" s="144">
        <f t="shared" ca="1" si="107"/>
        <v>0.74777536827936897</v>
      </c>
    </row>
    <row r="906" spans="1:17" x14ac:dyDescent="0.25">
      <c r="A906" s="145">
        <v>41864</v>
      </c>
      <c r="B906" s="144">
        <v>1.3360000000000001</v>
      </c>
      <c r="C906" s="144">
        <v>48.432400000000001</v>
      </c>
      <c r="D906" s="144">
        <v>8.2375000000000007</v>
      </c>
      <c r="E906" s="144">
        <v>136.88999999999999</v>
      </c>
      <c r="F906" s="144">
        <v>0.79969999999999997</v>
      </c>
      <c r="G906" s="144">
        <v>1.2135</v>
      </c>
      <c r="I906" s="144">
        <v>1</v>
      </c>
      <c r="J906" s="145">
        <f t="shared" si="106"/>
        <v>41864</v>
      </c>
      <c r="K906" s="144">
        <f t="shared" ca="1" si="107"/>
        <v>0.90830838323353291</v>
      </c>
      <c r="L906" s="144">
        <f t="shared" ca="1" si="107"/>
        <v>0.59857784431137717</v>
      </c>
      <c r="M906" s="144">
        <f t="shared" ca="1" si="107"/>
        <v>102.46257485029939</v>
      </c>
      <c r="N906" s="144">
        <f t="shared" ca="1" si="107"/>
        <v>6.1657934131736525</v>
      </c>
      <c r="O906" s="144">
        <f t="shared" ca="1" si="107"/>
        <v>36.25179640718563</v>
      </c>
      <c r="P906" s="144">
        <f t="shared" ca="1" si="107"/>
        <v>1</v>
      </c>
      <c r="Q906" s="144">
        <f t="shared" ca="1" si="107"/>
        <v>0.74850299401197595</v>
      </c>
    </row>
    <row r="907" spans="1:17" x14ac:dyDescent="0.25">
      <c r="A907" s="145">
        <v>41863</v>
      </c>
      <c r="B907" s="144">
        <v>1.3346</v>
      </c>
      <c r="C907" s="144">
        <v>48.238199999999999</v>
      </c>
      <c r="D907" s="144">
        <v>8.2424999999999997</v>
      </c>
      <c r="E907" s="144">
        <v>136.49</v>
      </c>
      <c r="F907" s="144">
        <v>0.79549999999999998</v>
      </c>
      <c r="G907" s="144">
        <v>1.2138</v>
      </c>
      <c r="I907" s="144">
        <v>1</v>
      </c>
      <c r="J907" s="145">
        <f t="shared" si="106"/>
        <v>41863</v>
      </c>
      <c r="K907" s="144">
        <f t="shared" ca="1" si="107"/>
        <v>0.90948598831110439</v>
      </c>
      <c r="L907" s="144">
        <f t="shared" ca="1" si="107"/>
        <v>0.59605874419301663</v>
      </c>
      <c r="M907" s="144">
        <f t="shared" ca="1" si="107"/>
        <v>102.27034317398473</v>
      </c>
      <c r="N907" s="144">
        <f t="shared" ca="1" si="107"/>
        <v>6.1760077925970327</v>
      </c>
      <c r="O907" s="144">
        <f t="shared" ca="1" si="107"/>
        <v>36.144312902742392</v>
      </c>
      <c r="P907" s="144">
        <f t="shared" ca="1" si="107"/>
        <v>1</v>
      </c>
      <c r="Q907" s="144">
        <f t="shared" ca="1" si="107"/>
        <v>0.74928817623257904</v>
      </c>
    </row>
    <row r="908" spans="1:17" x14ac:dyDescent="0.25">
      <c r="A908" s="145">
        <v>41862</v>
      </c>
      <c r="B908" s="144">
        <v>1.3386</v>
      </c>
      <c r="C908" s="144">
        <v>48.295000000000002</v>
      </c>
      <c r="D908" s="144">
        <v>8.2789999999999999</v>
      </c>
      <c r="E908" s="144">
        <v>136.72</v>
      </c>
      <c r="F908" s="144">
        <v>0.79759999999999998</v>
      </c>
      <c r="G908" s="144">
        <v>1.2134</v>
      </c>
      <c r="I908" s="144">
        <v>1</v>
      </c>
      <c r="J908" s="145">
        <f t="shared" si="106"/>
        <v>41862</v>
      </c>
      <c r="K908" s="144">
        <f t="shared" ca="1" si="107"/>
        <v>0.90646944568952637</v>
      </c>
      <c r="L908" s="144">
        <f t="shared" ca="1" si="107"/>
        <v>0.59584640669356037</v>
      </c>
      <c r="M908" s="144">
        <f t="shared" ca="1" si="107"/>
        <v>102.13656058568654</v>
      </c>
      <c r="N908" s="144">
        <f t="shared" ca="1" si="107"/>
        <v>6.184819961153444</v>
      </c>
      <c r="O908" s="144">
        <f t="shared" ca="1" si="107"/>
        <v>36.078738981024955</v>
      </c>
      <c r="P908" s="144">
        <f t="shared" ca="1" si="107"/>
        <v>1</v>
      </c>
      <c r="Q908" s="144">
        <f t="shared" ca="1" si="107"/>
        <v>0.74704915583445386</v>
      </c>
    </row>
    <row r="909" spans="1:17" x14ac:dyDescent="0.25">
      <c r="A909" s="145">
        <v>41861</v>
      </c>
      <c r="B909" s="144">
        <v>1.3388</v>
      </c>
      <c r="C909" s="144">
        <v>48.579000000000001</v>
      </c>
      <c r="D909" s="144">
        <v>8.36</v>
      </c>
      <c r="E909" s="144">
        <v>136.44999999999999</v>
      </c>
      <c r="F909" s="144">
        <v>0.79669999999999996</v>
      </c>
      <c r="G909" s="144">
        <v>1.2137</v>
      </c>
      <c r="I909" s="144">
        <v>1</v>
      </c>
      <c r="J909" s="145">
        <f t="shared" si="106"/>
        <v>41861</v>
      </c>
      <c r="K909" s="144">
        <f t="shared" ca="1" si="107"/>
        <v>0.90655811174185841</v>
      </c>
      <c r="L909" s="144">
        <f t="shared" ca="1" si="107"/>
        <v>0.59508515088138625</v>
      </c>
      <c r="M909" s="144">
        <f t="shared" ca="1" si="107"/>
        <v>101.9196295189722</v>
      </c>
      <c r="N909" s="144">
        <f t="shared" ca="1" si="107"/>
        <v>6.2443979683298476</v>
      </c>
      <c r="O909" s="144">
        <f t="shared" ca="1" si="107"/>
        <v>36.285479533910966</v>
      </c>
      <c r="P909" s="144">
        <f t="shared" ca="1" si="107"/>
        <v>1</v>
      </c>
      <c r="Q909" s="144">
        <f t="shared" ca="1" si="107"/>
        <v>0.74693755602031675</v>
      </c>
    </row>
    <row r="910" spans="1:17" x14ac:dyDescent="0.25">
      <c r="A910" s="145">
        <v>41860</v>
      </c>
      <c r="B910" s="144">
        <v>1.3388</v>
      </c>
      <c r="C910" s="144">
        <v>48.579000000000001</v>
      </c>
      <c r="D910" s="144">
        <v>8.36</v>
      </c>
      <c r="E910" s="144">
        <v>136.44999999999999</v>
      </c>
      <c r="F910" s="144">
        <v>0.79669999999999996</v>
      </c>
      <c r="G910" s="144">
        <v>1.2137</v>
      </c>
      <c r="I910" s="144">
        <v>1</v>
      </c>
      <c r="J910" s="145">
        <f t="shared" si="106"/>
        <v>41860</v>
      </c>
      <c r="K910" s="144">
        <f t="shared" ca="1" si="107"/>
        <v>0.90655811174185841</v>
      </c>
      <c r="L910" s="144">
        <f t="shared" ca="1" si="107"/>
        <v>0.59508515088138625</v>
      </c>
      <c r="M910" s="144">
        <f t="shared" ca="1" si="107"/>
        <v>101.9196295189722</v>
      </c>
      <c r="N910" s="144">
        <f t="shared" ca="1" si="107"/>
        <v>6.2443979683298476</v>
      </c>
      <c r="O910" s="144">
        <f t="shared" ca="1" si="107"/>
        <v>36.285479533910966</v>
      </c>
      <c r="P910" s="144">
        <f t="shared" ca="1" si="107"/>
        <v>1</v>
      </c>
      <c r="Q910" s="144">
        <f t="shared" ca="1" si="107"/>
        <v>0.74693755602031675</v>
      </c>
    </row>
    <row r="911" spans="1:17" x14ac:dyDescent="0.25">
      <c r="A911" s="145">
        <v>41859</v>
      </c>
      <c r="B911" s="144">
        <v>1.3388</v>
      </c>
      <c r="C911" s="144">
        <v>48.579000000000001</v>
      </c>
      <c r="D911" s="144">
        <v>8.36</v>
      </c>
      <c r="E911" s="144">
        <v>136.44999999999999</v>
      </c>
      <c r="F911" s="144">
        <v>0.79669999999999996</v>
      </c>
      <c r="G911" s="144">
        <v>1.2137</v>
      </c>
      <c r="I911" s="144">
        <v>1</v>
      </c>
      <c r="J911" s="145">
        <f t="shared" si="106"/>
        <v>41859</v>
      </c>
      <c r="K911" s="144">
        <f t="shared" ca="1" si="107"/>
        <v>0.90655811174185841</v>
      </c>
      <c r="L911" s="144">
        <f t="shared" ca="1" si="107"/>
        <v>0.59508515088138625</v>
      </c>
      <c r="M911" s="144">
        <f t="shared" ca="1" si="107"/>
        <v>101.9196295189722</v>
      </c>
      <c r="N911" s="144">
        <f t="shared" ca="1" si="107"/>
        <v>6.2443979683298476</v>
      </c>
      <c r="O911" s="144">
        <f t="shared" ca="1" si="107"/>
        <v>36.285479533910966</v>
      </c>
      <c r="P911" s="144">
        <f t="shared" ca="1" si="107"/>
        <v>1</v>
      </c>
      <c r="Q911" s="144">
        <f t="shared" ca="1" si="107"/>
        <v>0.74693755602031675</v>
      </c>
    </row>
    <row r="912" spans="1:17" x14ac:dyDescent="0.25">
      <c r="A912" s="145">
        <v>41858</v>
      </c>
      <c r="B912" s="144">
        <v>1.3368</v>
      </c>
      <c r="C912" s="144">
        <v>48.6417</v>
      </c>
      <c r="D912" s="144">
        <v>8.3699999999999992</v>
      </c>
      <c r="E912" s="144">
        <v>136.76</v>
      </c>
      <c r="F912" s="144">
        <v>0.79400000000000004</v>
      </c>
      <c r="G912" s="144">
        <v>1.2150000000000001</v>
      </c>
      <c r="I912" s="144">
        <v>1</v>
      </c>
      <c r="J912" s="145">
        <f t="shared" si="106"/>
        <v>41858</v>
      </c>
      <c r="K912" s="144">
        <f t="shared" ca="1" si="107"/>
        <v>0.90888689407540402</v>
      </c>
      <c r="L912" s="144">
        <f t="shared" ca="1" si="107"/>
        <v>0.59395571514063439</v>
      </c>
      <c r="M912" s="144">
        <f t="shared" ca="1" si="107"/>
        <v>102.30400957510471</v>
      </c>
      <c r="N912" s="144">
        <f t="shared" ca="1" si="107"/>
        <v>6.2612208258527824</v>
      </c>
      <c r="O912" s="144">
        <f t="shared" ca="1" si="107"/>
        <v>36.386669658886895</v>
      </c>
      <c r="P912" s="144">
        <f t="shared" ca="1" si="107"/>
        <v>1</v>
      </c>
      <c r="Q912" s="144">
        <f t="shared" ca="1" si="107"/>
        <v>0.74805505685218432</v>
      </c>
    </row>
    <row r="913" spans="1:17" x14ac:dyDescent="0.25">
      <c r="A913" s="145">
        <v>41857</v>
      </c>
      <c r="B913" s="144">
        <v>1.3345</v>
      </c>
      <c r="C913" s="144">
        <v>48.3508</v>
      </c>
      <c r="D913" s="144">
        <v>8.4105000000000008</v>
      </c>
      <c r="E913" s="144">
        <v>136.58000000000001</v>
      </c>
      <c r="F913" s="144">
        <v>0.79285000000000005</v>
      </c>
      <c r="G913" s="144">
        <v>1.2152000000000001</v>
      </c>
      <c r="I913" s="144">
        <v>1</v>
      </c>
      <c r="J913" s="145">
        <f t="shared" si="106"/>
        <v>41857</v>
      </c>
      <c r="K913" s="144">
        <f t="shared" ca="1" si="107"/>
        <v>0.91060322218059198</v>
      </c>
      <c r="L913" s="144">
        <f t="shared" ca="1" si="107"/>
        <v>0.59411764705882353</v>
      </c>
      <c r="M913" s="144">
        <f t="shared" ca="1" si="107"/>
        <v>102.34544773323343</v>
      </c>
      <c r="N913" s="144">
        <f t="shared" ca="1" si="107"/>
        <v>6.3023604346197084</v>
      </c>
      <c r="O913" s="144">
        <f t="shared" ca="1" si="107"/>
        <v>36.231397527163729</v>
      </c>
      <c r="P913" s="144">
        <f t="shared" ca="1" si="107"/>
        <v>1</v>
      </c>
      <c r="Q913" s="144">
        <f t="shared" ca="1" si="107"/>
        <v>0.74934432371674786</v>
      </c>
    </row>
    <row r="914" spans="1:17" x14ac:dyDescent="0.25">
      <c r="A914" s="145">
        <v>41856</v>
      </c>
      <c r="B914" s="144">
        <v>1.3382000000000001</v>
      </c>
      <c r="C914" s="144">
        <v>47.980899999999998</v>
      </c>
      <c r="D914" s="144">
        <v>8.3864999999999998</v>
      </c>
      <c r="E914" s="144">
        <v>137.46</v>
      </c>
      <c r="F914" s="144">
        <v>0.79390000000000005</v>
      </c>
      <c r="G914" s="144">
        <v>1.2175</v>
      </c>
      <c r="I914" s="144">
        <v>1</v>
      </c>
      <c r="J914" s="145">
        <f t="shared" si="106"/>
        <v>41856</v>
      </c>
      <c r="K914" s="144">
        <f t="shared" ca="1" si="107"/>
        <v>0.90980421461664918</v>
      </c>
      <c r="L914" s="144">
        <f t="shared" ca="1" si="107"/>
        <v>0.59325960245105369</v>
      </c>
      <c r="M914" s="144">
        <f t="shared" ca="1" si="107"/>
        <v>102.72007173815574</v>
      </c>
      <c r="N914" s="144">
        <f t="shared" ca="1" si="107"/>
        <v>6.2670004483634729</v>
      </c>
      <c r="O914" s="144">
        <f t="shared" ca="1" si="107"/>
        <v>35.854804961889101</v>
      </c>
      <c r="P914" s="144">
        <f t="shared" ca="1" si="107"/>
        <v>1</v>
      </c>
      <c r="Q914" s="144">
        <f t="shared" ca="1" si="107"/>
        <v>0.74727245553728883</v>
      </c>
    </row>
    <row r="915" spans="1:17" x14ac:dyDescent="0.25">
      <c r="A915" s="145">
        <v>41855</v>
      </c>
      <c r="B915" s="144">
        <v>1.3422000000000001</v>
      </c>
      <c r="C915" s="144">
        <v>48.025199999999998</v>
      </c>
      <c r="D915" s="144">
        <v>8.4284999999999997</v>
      </c>
      <c r="E915" s="144">
        <v>137.72</v>
      </c>
      <c r="F915" s="144">
        <v>0.79720000000000002</v>
      </c>
      <c r="G915" s="144">
        <v>1.2166999999999999</v>
      </c>
      <c r="I915" s="144">
        <v>1</v>
      </c>
      <c r="J915" s="145">
        <f t="shared" si="106"/>
        <v>41855</v>
      </c>
      <c r="K915" s="144">
        <f t="shared" ref="K915:Q924" ca="1" si="108">OFFSET($A915,0,K$3)/OFFSET($A915,0,$P$3)</f>
        <v>0.90649679630457447</v>
      </c>
      <c r="L915" s="144">
        <f t="shared" ca="1" si="108"/>
        <v>0.59395023096408883</v>
      </c>
      <c r="M915" s="144">
        <f t="shared" ca="1" si="108"/>
        <v>102.60765906720309</v>
      </c>
      <c r="N915" s="144">
        <f t="shared" ca="1" si="108"/>
        <v>6.2796155565489489</v>
      </c>
      <c r="O915" s="144">
        <f t="shared" ca="1" si="108"/>
        <v>35.780956638354937</v>
      </c>
      <c r="P915" s="144">
        <f t="shared" ca="1" si="108"/>
        <v>1</v>
      </c>
      <c r="Q915" s="144">
        <f t="shared" ca="1" si="108"/>
        <v>0.74504544777231407</v>
      </c>
    </row>
    <row r="916" spans="1:17" x14ac:dyDescent="0.25">
      <c r="A916" s="145">
        <v>41854</v>
      </c>
      <c r="B916" s="144">
        <v>1.3394999999999999</v>
      </c>
      <c r="C916" s="144">
        <v>47.964799999999997</v>
      </c>
      <c r="D916" s="144">
        <v>8.4390000000000001</v>
      </c>
      <c r="E916" s="144">
        <v>137.91999999999999</v>
      </c>
      <c r="F916" s="144">
        <v>0.79610000000000003</v>
      </c>
      <c r="G916" s="144">
        <v>1.2162999999999999</v>
      </c>
      <c r="I916" s="144">
        <v>1</v>
      </c>
      <c r="J916" s="145">
        <f t="shared" si="106"/>
        <v>41854</v>
      </c>
      <c r="K916" s="144">
        <f t="shared" ca="1" si="108"/>
        <v>0.90802538260544985</v>
      </c>
      <c r="L916" s="144">
        <f t="shared" ca="1" si="108"/>
        <v>0.59432624113475185</v>
      </c>
      <c r="M916" s="144">
        <f t="shared" ca="1" si="108"/>
        <v>102.96379245987309</v>
      </c>
      <c r="N916" s="144">
        <f t="shared" ca="1" si="108"/>
        <v>6.3001119820828668</v>
      </c>
      <c r="O916" s="144">
        <f t="shared" ca="1" si="108"/>
        <v>35.807988055244493</v>
      </c>
      <c r="P916" s="144">
        <f t="shared" ca="1" si="108"/>
        <v>1</v>
      </c>
      <c r="Q916" s="144">
        <f t="shared" ca="1" si="108"/>
        <v>0.74654721911160882</v>
      </c>
    </row>
    <row r="917" spans="1:17" x14ac:dyDescent="0.25">
      <c r="A917" s="145">
        <v>41853</v>
      </c>
      <c r="B917" s="144">
        <v>1.3394999999999999</v>
      </c>
      <c r="C917" s="144">
        <v>47.964799999999997</v>
      </c>
      <c r="D917" s="144">
        <v>8.4390000000000001</v>
      </c>
      <c r="E917" s="144">
        <v>137.91999999999999</v>
      </c>
      <c r="F917" s="144">
        <v>0.79610000000000003</v>
      </c>
      <c r="G917" s="144">
        <v>1.2162999999999999</v>
      </c>
      <c r="I917" s="144">
        <v>1</v>
      </c>
      <c r="J917" s="145">
        <f t="shared" si="106"/>
        <v>41853</v>
      </c>
      <c r="K917" s="144">
        <f t="shared" ca="1" si="108"/>
        <v>0.90802538260544985</v>
      </c>
      <c r="L917" s="144">
        <f t="shared" ca="1" si="108"/>
        <v>0.59432624113475185</v>
      </c>
      <c r="M917" s="144">
        <f t="shared" ca="1" si="108"/>
        <v>102.96379245987309</v>
      </c>
      <c r="N917" s="144">
        <f t="shared" ca="1" si="108"/>
        <v>6.3001119820828668</v>
      </c>
      <c r="O917" s="144">
        <f t="shared" ca="1" si="108"/>
        <v>35.807988055244493</v>
      </c>
      <c r="P917" s="144">
        <f t="shared" ca="1" si="108"/>
        <v>1</v>
      </c>
      <c r="Q917" s="144">
        <f t="shared" ca="1" si="108"/>
        <v>0.74654721911160882</v>
      </c>
    </row>
    <row r="918" spans="1:17" x14ac:dyDescent="0.25">
      <c r="A918" s="145">
        <v>41852</v>
      </c>
      <c r="B918" s="144">
        <v>1.3394999999999999</v>
      </c>
      <c r="C918" s="144">
        <v>47.964799999999997</v>
      </c>
      <c r="D918" s="144">
        <v>8.4390000000000001</v>
      </c>
      <c r="E918" s="144">
        <v>137.91999999999999</v>
      </c>
      <c r="F918" s="144">
        <v>0.79610000000000003</v>
      </c>
      <c r="G918" s="144">
        <v>1.2162999999999999</v>
      </c>
      <c r="I918" s="144">
        <v>1</v>
      </c>
      <c r="J918" s="145">
        <f t="shared" si="106"/>
        <v>41852</v>
      </c>
      <c r="K918" s="144">
        <f t="shared" ca="1" si="108"/>
        <v>0.90802538260544985</v>
      </c>
      <c r="L918" s="144">
        <f t="shared" ca="1" si="108"/>
        <v>0.59432624113475185</v>
      </c>
      <c r="M918" s="144">
        <f t="shared" ca="1" si="108"/>
        <v>102.96379245987309</v>
      </c>
      <c r="N918" s="144">
        <f t="shared" ca="1" si="108"/>
        <v>6.3001119820828668</v>
      </c>
      <c r="O918" s="144">
        <f t="shared" ca="1" si="108"/>
        <v>35.807988055244493</v>
      </c>
      <c r="P918" s="144">
        <f t="shared" ca="1" si="108"/>
        <v>1</v>
      </c>
      <c r="Q918" s="144">
        <f t="shared" ca="1" si="108"/>
        <v>0.74654721911160882</v>
      </c>
    </row>
    <row r="919" spans="1:17" x14ac:dyDescent="0.25">
      <c r="A919" s="145">
        <v>41851</v>
      </c>
      <c r="B919" s="144">
        <v>1.3379000000000001</v>
      </c>
      <c r="C919" s="144">
        <v>47.521999999999998</v>
      </c>
      <c r="D919" s="144">
        <v>8.4049999999999994</v>
      </c>
      <c r="E919" s="144">
        <v>137.66</v>
      </c>
      <c r="F919" s="144">
        <v>0.79279999999999995</v>
      </c>
      <c r="G919" s="144">
        <v>1.2169000000000001</v>
      </c>
      <c r="I919" s="144">
        <v>1</v>
      </c>
      <c r="J919" s="145">
        <f t="shared" si="106"/>
        <v>41851</v>
      </c>
      <c r="K919" s="144">
        <f t="shared" ca="1" si="108"/>
        <v>0.90955975782943421</v>
      </c>
      <c r="L919" s="144">
        <f t="shared" ca="1" si="108"/>
        <v>0.59257044622169064</v>
      </c>
      <c r="M919" s="144">
        <f t="shared" ca="1" si="108"/>
        <v>102.89259286942222</v>
      </c>
      <c r="N919" s="144">
        <f t="shared" ca="1" si="108"/>
        <v>6.2822333507735992</v>
      </c>
      <c r="O919" s="144">
        <f t="shared" ca="1" si="108"/>
        <v>35.519844532476263</v>
      </c>
      <c r="P919" s="144">
        <f t="shared" ca="1" si="108"/>
        <v>1</v>
      </c>
      <c r="Q919" s="144">
        <f t="shared" ca="1" si="108"/>
        <v>0.74744001793856041</v>
      </c>
    </row>
    <row r="920" spans="1:17" x14ac:dyDescent="0.25">
      <c r="A920" s="145">
        <v>41850</v>
      </c>
      <c r="B920" s="144">
        <v>1.3401000000000001</v>
      </c>
      <c r="C920" s="144">
        <v>47.767000000000003</v>
      </c>
      <c r="D920" s="144">
        <v>8.3770000000000007</v>
      </c>
      <c r="E920" s="144">
        <v>137.05000000000001</v>
      </c>
      <c r="F920" s="144">
        <v>0.79169999999999996</v>
      </c>
      <c r="G920" s="144">
        <v>1.2164999999999999</v>
      </c>
      <c r="I920" s="144">
        <v>1</v>
      </c>
      <c r="J920" s="145">
        <f t="shared" si="106"/>
        <v>41850</v>
      </c>
      <c r="K920" s="144">
        <f t="shared" ca="1" si="108"/>
        <v>0.90776807700917828</v>
      </c>
      <c r="L920" s="144">
        <f t="shared" ca="1" si="108"/>
        <v>0.59077680770091778</v>
      </c>
      <c r="M920" s="144">
        <f t="shared" ca="1" si="108"/>
        <v>102.26848742631147</v>
      </c>
      <c r="N920" s="144">
        <f t="shared" ca="1" si="108"/>
        <v>6.251026042832625</v>
      </c>
      <c r="O920" s="144">
        <f t="shared" ca="1" si="108"/>
        <v>35.644354898888146</v>
      </c>
      <c r="P920" s="144">
        <f t="shared" ca="1" si="108"/>
        <v>1</v>
      </c>
      <c r="Q920" s="144">
        <f t="shared" ca="1" si="108"/>
        <v>0.74621296918140434</v>
      </c>
    </row>
    <row r="921" spans="1:17" x14ac:dyDescent="0.25">
      <c r="A921" s="145">
        <v>41849</v>
      </c>
      <c r="B921" s="144">
        <v>1.3429</v>
      </c>
      <c r="C921" s="144">
        <v>47.854199999999999</v>
      </c>
      <c r="D921" s="144">
        <v>8.3620000000000001</v>
      </c>
      <c r="E921" s="144">
        <v>137.04</v>
      </c>
      <c r="F921" s="144">
        <v>0.79239999999999999</v>
      </c>
      <c r="G921" s="144">
        <v>1.2152000000000001</v>
      </c>
      <c r="I921" s="144">
        <v>1</v>
      </c>
      <c r="J921" s="145">
        <f t="shared" si="106"/>
        <v>41849</v>
      </c>
      <c r="K921" s="144">
        <f t="shared" ca="1" si="108"/>
        <v>0.9049072901928662</v>
      </c>
      <c r="L921" s="144">
        <f t="shared" ca="1" si="108"/>
        <v>0.59006627448060167</v>
      </c>
      <c r="M921" s="144">
        <f t="shared" ca="1" si="108"/>
        <v>102.04780698488345</v>
      </c>
      <c r="N921" s="144">
        <f t="shared" ca="1" si="108"/>
        <v>6.2268225482165462</v>
      </c>
      <c r="O921" s="144">
        <f t="shared" ca="1" si="108"/>
        <v>35.634969096730956</v>
      </c>
      <c r="P921" s="144">
        <f t="shared" ca="1" si="108"/>
        <v>1</v>
      </c>
      <c r="Q921" s="144">
        <f t="shared" ca="1" si="108"/>
        <v>0.74465708541216769</v>
      </c>
    </row>
    <row r="922" spans="1:17" x14ac:dyDescent="0.25">
      <c r="A922" s="145">
        <v>41848</v>
      </c>
      <c r="B922" s="144">
        <v>1.3432999999999999</v>
      </c>
      <c r="C922" s="144">
        <v>47.550699999999999</v>
      </c>
      <c r="D922" s="144">
        <v>8.3364999999999991</v>
      </c>
      <c r="E922" s="144">
        <v>136.74</v>
      </c>
      <c r="F922" s="144">
        <v>0.79054999999999997</v>
      </c>
      <c r="G922" s="144">
        <v>1.2150000000000001</v>
      </c>
      <c r="I922" s="144">
        <v>1</v>
      </c>
      <c r="J922" s="145">
        <f t="shared" si="106"/>
        <v>41848</v>
      </c>
      <c r="K922" s="144">
        <f t="shared" ca="1" si="108"/>
        <v>0.90448894513511513</v>
      </c>
      <c r="L922" s="144">
        <f t="shared" ca="1" si="108"/>
        <v>0.58851336261445697</v>
      </c>
      <c r="M922" s="144">
        <f t="shared" ca="1" si="108"/>
        <v>101.79408918335444</v>
      </c>
      <c r="N922" s="144">
        <f t="shared" ca="1" si="108"/>
        <v>6.2059852601801531</v>
      </c>
      <c r="O922" s="144">
        <f t="shared" ca="1" si="108"/>
        <v>35.398421797066923</v>
      </c>
      <c r="P922" s="144">
        <f t="shared" ca="1" si="108"/>
        <v>1</v>
      </c>
      <c r="Q922" s="144">
        <f t="shared" ca="1" si="108"/>
        <v>0.74443534579021819</v>
      </c>
    </row>
    <row r="923" spans="1:17" x14ac:dyDescent="0.25">
      <c r="A923" s="145">
        <v>41847</v>
      </c>
      <c r="B923" s="144">
        <v>1.3440000000000001</v>
      </c>
      <c r="C923" s="144">
        <v>47.187100000000001</v>
      </c>
      <c r="D923" s="144">
        <v>8.3394999999999992</v>
      </c>
      <c r="E923" s="144">
        <v>136.97</v>
      </c>
      <c r="F923" s="144">
        <v>0.79115000000000002</v>
      </c>
      <c r="G923" s="144">
        <v>1.2152000000000001</v>
      </c>
      <c r="I923" s="144">
        <v>1</v>
      </c>
      <c r="J923" s="145">
        <f t="shared" si="106"/>
        <v>41847</v>
      </c>
      <c r="K923" s="144">
        <f t="shared" ca="1" si="108"/>
        <v>0.90416666666666667</v>
      </c>
      <c r="L923" s="144">
        <f t="shared" ca="1" si="108"/>
        <v>0.58865327380952381</v>
      </c>
      <c r="M923" s="144">
        <f t="shared" ca="1" si="108"/>
        <v>101.91220238095238</v>
      </c>
      <c r="N923" s="144">
        <f t="shared" ca="1" si="108"/>
        <v>6.2049851190476177</v>
      </c>
      <c r="O923" s="144">
        <f t="shared" ca="1" si="108"/>
        <v>35.109449404761904</v>
      </c>
      <c r="P923" s="144">
        <f t="shared" ca="1" si="108"/>
        <v>1</v>
      </c>
      <c r="Q923" s="144">
        <f t="shared" ca="1" si="108"/>
        <v>0.74404761904761896</v>
      </c>
    </row>
    <row r="924" spans="1:17" x14ac:dyDescent="0.25">
      <c r="A924" s="145">
        <v>41846</v>
      </c>
      <c r="B924" s="144">
        <v>1.3440000000000001</v>
      </c>
      <c r="C924" s="144">
        <v>47.187100000000001</v>
      </c>
      <c r="D924" s="144">
        <v>8.3394999999999992</v>
      </c>
      <c r="E924" s="144">
        <v>136.97</v>
      </c>
      <c r="F924" s="144">
        <v>0.79115000000000002</v>
      </c>
      <c r="G924" s="144">
        <v>1.2152000000000001</v>
      </c>
      <c r="I924" s="144">
        <v>1</v>
      </c>
      <c r="J924" s="145">
        <f t="shared" si="106"/>
        <v>41846</v>
      </c>
      <c r="K924" s="144">
        <f t="shared" ca="1" si="108"/>
        <v>0.90416666666666667</v>
      </c>
      <c r="L924" s="144">
        <f t="shared" ca="1" si="108"/>
        <v>0.58865327380952381</v>
      </c>
      <c r="M924" s="144">
        <f t="shared" ca="1" si="108"/>
        <v>101.91220238095238</v>
      </c>
      <c r="N924" s="144">
        <f t="shared" ca="1" si="108"/>
        <v>6.2049851190476177</v>
      </c>
      <c r="O924" s="144">
        <f t="shared" ca="1" si="108"/>
        <v>35.109449404761904</v>
      </c>
      <c r="P924" s="144">
        <f t="shared" ca="1" si="108"/>
        <v>1</v>
      </c>
      <c r="Q924" s="144">
        <f t="shared" ca="1" si="108"/>
        <v>0.74404761904761896</v>
      </c>
    </row>
    <row r="925" spans="1:17" x14ac:dyDescent="0.25">
      <c r="A925" s="145">
        <v>41845</v>
      </c>
      <c r="B925" s="144">
        <v>1.3440000000000001</v>
      </c>
      <c r="C925" s="144">
        <v>47.187100000000001</v>
      </c>
      <c r="D925" s="144">
        <v>8.3394999999999992</v>
      </c>
      <c r="E925" s="144">
        <v>136.97</v>
      </c>
      <c r="F925" s="144">
        <v>0.79115000000000002</v>
      </c>
      <c r="G925" s="144">
        <v>1.2152000000000001</v>
      </c>
      <c r="I925" s="144">
        <v>1</v>
      </c>
      <c r="J925" s="145">
        <f t="shared" si="106"/>
        <v>41845</v>
      </c>
      <c r="K925" s="144">
        <f t="shared" ref="K925:Q934" ca="1" si="109">OFFSET($A925,0,K$3)/OFFSET($A925,0,$P$3)</f>
        <v>0.90416666666666667</v>
      </c>
      <c r="L925" s="144">
        <f t="shared" ca="1" si="109"/>
        <v>0.58865327380952381</v>
      </c>
      <c r="M925" s="144">
        <f t="shared" ca="1" si="109"/>
        <v>101.91220238095238</v>
      </c>
      <c r="N925" s="144">
        <f t="shared" ca="1" si="109"/>
        <v>6.2049851190476177</v>
      </c>
      <c r="O925" s="144">
        <f t="shared" ca="1" si="109"/>
        <v>35.109449404761904</v>
      </c>
      <c r="P925" s="144">
        <f t="shared" ca="1" si="109"/>
        <v>1</v>
      </c>
      <c r="Q925" s="144">
        <f t="shared" ca="1" si="109"/>
        <v>0.74404761904761896</v>
      </c>
    </row>
    <row r="926" spans="1:17" x14ac:dyDescent="0.25">
      <c r="A926" s="145">
        <v>41844</v>
      </c>
      <c r="B926" s="144">
        <v>1.3472</v>
      </c>
      <c r="C926" s="144">
        <v>47.107999999999997</v>
      </c>
      <c r="D926" s="144">
        <v>8.3610000000000007</v>
      </c>
      <c r="E926" s="144">
        <v>136.97</v>
      </c>
      <c r="F926" s="144">
        <v>0.79215000000000002</v>
      </c>
      <c r="G926" s="144">
        <v>1.2152000000000001</v>
      </c>
      <c r="I926" s="144">
        <v>1</v>
      </c>
      <c r="J926" s="145">
        <f t="shared" si="106"/>
        <v>41844</v>
      </c>
      <c r="K926" s="144">
        <f t="shared" ca="1" si="109"/>
        <v>0.90201900237529697</v>
      </c>
      <c r="L926" s="144">
        <f t="shared" ca="1" si="109"/>
        <v>0.58799732779097391</v>
      </c>
      <c r="M926" s="144">
        <f t="shared" ca="1" si="109"/>
        <v>101.67013064133018</v>
      </c>
      <c r="N926" s="144">
        <f t="shared" ca="1" si="109"/>
        <v>6.2062054631828989</v>
      </c>
      <c r="O926" s="144">
        <f t="shared" ca="1" si="109"/>
        <v>34.967339667458432</v>
      </c>
      <c r="P926" s="144">
        <f t="shared" ca="1" si="109"/>
        <v>1</v>
      </c>
      <c r="Q926" s="144">
        <f t="shared" ca="1" si="109"/>
        <v>0.74228028503562948</v>
      </c>
    </row>
    <row r="927" spans="1:17" x14ac:dyDescent="0.25">
      <c r="A927" s="145">
        <v>41843</v>
      </c>
      <c r="B927" s="144">
        <v>1.3465</v>
      </c>
      <c r="C927" s="144">
        <v>46.939700000000002</v>
      </c>
      <c r="D927" s="144">
        <v>8.3234999999999992</v>
      </c>
      <c r="E927" s="144">
        <v>136.51</v>
      </c>
      <c r="F927" s="144">
        <v>0.79079999999999995</v>
      </c>
      <c r="G927" s="144">
        <v>1.2150000000000001</v>
      </c>
      <c r="I927" s="144">
        <v>1</v>
      </c>
      <c r="J927" s="145">
        <f t="shared" si="106"/>
        <v>41843</v>
      </c>
      <c r="K927" s="144">
        <f t="shared" ca="1" si="109"/>
        <v>0.90233939844040112</v>
      </c>
      <c r="L927" s="144">
        <f t="shared" ca="1" si="109"/>
        <v>0.58730040846639431</v>
      </c>
      <c r="M927" s="144">
        <f t="shared" ca="1" si="109"/>
        <v>101.38135907909394</v>
      </c>
      <c r="N927" s="144">
        <f t="shared" ca="1" si="109"/>
        <v>6.1815818789454129</v>
      </c>
      <c r="O927" s="144">
        <f t="shared" ca="1" si="109"/>
        <v>34.860527292981807</v>
      </c>
      <c r="P927" s="144">
        <f t="shared" ca="1" si="109"/>
        <v>1</v>
      </c>
      <c r="Q927" s="144">
        <f t="shared" ca="1" si="109"/>
        <v>0.74266617155588566</v>
      </c>
    </row>
    <row r="928" spans="1:17" x14ac:dyDescent="0.25">
      <c r="A928" s="145">
        <v>41842</v>
      </c>
      <c r="B928" s="144">
        <v>1.3481000000000001</v>
      </c>
      <c r="C928" s="144">
        <v>47.082999999999998</v>
      </c>
      <c r="D928" s="144">
        <v>8.3439999999999994</v>
      </c>
      <c r="E928" s="144">
        <v>136.93</v>
      </c>
      <c r="F928" s="144">
        <v>0.79049999999999998</v>
      </c>
      <c r="G928" s="144">
        <v>1.2151000000000001</v>
      </c>
      <c r="I928" s="144">
        <v>1</v>
      </c>
      <c r="J928" s="145">
        <f t="shared" si="106"/>
        <v>41842</v>
      </c>
      <c r="K928" s="144">
        <f t="shared" ca="1" si="109"/>
        <v>0.90134263036866702</v>
      </c>
      <c r="L928" s="144">
        <f t="shared" ca="1" si="109"/>
        <v>0.58638083228247162</v>
      </c>
      <c r="M928" s="144">
        <f t="shared" ca="1" si="109"/>
        <v>101.57258363622877</v>
      </c>
      <c r="N928" s="144">
        <f t="shared" ca="1" si="109"/>
        <v>6.189451821081521</v>
      </c>
      <c r="O928" s="144">
        <f t="shared" ca="1" si="109"/>
        <v>34.925450634225946</v>
      </c>
      <c r="P928" s="144">
        <f t="shared" ca="1" si="109"/>
        <v>1</v>
      </c>
      <c r="Q928" s="144">
        <f t="shared" ca="1" si="109"/>
        <v>0.74178473407017276</v>
      </c>
    </row>
    <row r="929" spans="1:17" x14ac:dyDescent="0.25">
      <c r="A929" s="145">
        <v>41841</v>
      </c>
      <c r="B929" s="144">
        <v>1.3517999999999999</v>
      </c>
      <c r="C929" s="144">
        <v>47.4681</v>
      </c>
      <c r="D929" s="144">
        <v>8.3975000000000009</v>
      </c>
      <c r="E929" s="144">
        <v>136.97</v>
      </c>
      <c r="F929" s="144">
        <v>0.79149999999999998</v>
      </c>
      <c r="G929" s="144">
        <v>1.2143999999999999</v>
      </c>
      <c r="I929" s="144">
        <v>1</v>
      </c>
      <c r="J929" s="145">
        <f t="shared" si="106"/>
        <v>41841</v>
      </c>
      <c r="K929" s="144">
        <f t="shared" ca="1" si="109"/>
        <v>0.89835774522858414</v>
      </c>
      <c r="L929" s="144">
        <f t="shared" ca="1" si="109"/>
        <v>0.58551560881787246</v>
      </c>
      <c r="M929" s="144">
        <f t="shared" ca="1" si="109"/>
        <v>101.32416037875426</v>
      </c>
      <c r="N929" s="144">
        <f t="shared" ca="1" si="109"/>
        <v>6.2120875869211432</v>
      </c>
      <c r="O929" s="144">
        <f t="shared" ca="1" si="109"/>
        <v>35.11473590767865</v>
      </c>
      <c r="P929" s="144">
        <f t="shared" ca="1" si="109"/>
        <v>1</v>
      </c>
      <c r="Q929" s="144">
        <f t="shared" ca="1" si="109"/>
        <v>0.73975440153868921</v>
      </c>
    </row>
    <row r="930" spans="1:17" x14ac:dyDescent="0.25">
      <c r="A930" s="145">
        <v>41840</v>
      </c>
      <c r="B930" s="144">
        <v>1.3525</v>
      </c>
      <c r="C930" s="144">
        <v>47.4</v>
      </c>
      <c r="D930" s="144">
        <v>8.3574999999999999</v>
      </c>
      <c r="E930" s="144">
        <v>137.07</v>
      </c>
      <c r="F930" s="144">
        <v>0.79154999999999998</v>
      </c>
      <c r="G930" s="144">
        <v>1.2143999999999999</v>
      </c>
      <c r="I930" s="144">
        <v>1</v>
      </c>
      <c r="J930" s="145">
        <f t="shared" si="106"/>
        <v>41840</v>
      </c>
      <c r="K930" s="144">
        <f t="shared" ca="1" si="109"/>
        <v>0.8978927911275415</v>
      </c>
      <c r="L930" s="144">
        <f t="shared" ca="1" si="109"/>
        <v>0.58524953789279111</v>
      </c>
      <c r="M930" s="144">
        <f t="shared" ca="1" si="109"/>
        <v>101.34565619223659</v>
      </c>
      <c r="N930" s="144">
        <f t="shared" ca="1" si="109"/>
        <v>6.1792975970425132</v>
      </c>
      <c r="O930" s="144">
        <f t="shared" ca="1" si="109"/>
        <v>35.046210720887245</v>
      </c>
      <c r="P930" s="144">
        <f t="shared" ca="1" si="109"/>
        <v>1</v>
      </c>
      <c r="Q930" s="144">
        <f t="shared" ca="1" si="109"/>
        <v>0.73937153419593349</v>
      </c>
    </row>
    <row r="931" spans="1:17" x14ac:dyDescent="0.25">
      <c r="A931" s="145">
        <v>41839</v>
      </c>
      <c r="B931" s="144">
        <v>1.3525</v>
      </c>
      <c r="C931" s="144">
        <v>47.4</v>
      </c>
      <c r="D931" s="144">
        <v>8.3574999999999999</v>
      </c>
      <c r="E931" s="144">
        <v>137.07</v>
      </c>
      <c r="F931" s="144">
        <v>0.79154999999999998</v>
      </c>
      <c r="G931" s="144">
        <v>1.2143999999999999</v>
      </c>
      <c r="I931" s="144">
        <v>1</v>
      </c>
      <c r="J931" s="145">
        <f t="shared" si="106"/>
        <v>41839</v>
      </c>
      <c r="K931" s="144">
        <f t="shared" ca="1" si="109"/>
        <v>0.8978927911275415</v>
      </c>
      <c r="L931" s="144">
        <f t="shared" ca="1" si="109"/>
        <v>0.58524953789279111</v>
      </c>
      <c r="M931" s="144">
        <f t="shared" ca="1" si="109"/>
        <v>101.34565619223659</v>
      </c>
      <c r="N931" s="144">
        <f t="shared" ca="1" si="109"/>
        <v>6.1792975970425132</v>
      </c>
      <c r="O931" s="144">
        <f t="shared" ca="1" si="109"/>
        <v>35.046210720887245</v>
      </c>
      <c r="P931" s="144">
        <f t="shared" ca="1" si="109"/>
        <v>1</v>
      </c>
      <c r="Q931" s="144">
        <f t="shared" ca="1" si="109"/>
        <v>0.73937153419593349</v>
      </c>
    </row>
    <row r="932" spans="1:17" x14ac:dyDescent="0.25">
      <c r="A932" s="145">
        <v>41838</v>
      </c>
      <c r="B932" s="144">
        <v>1.3525</v>
      </c>
      <c r="C932" s="144">
        <v>47.4</v>
      </c>
      <c r="D932" s="144">
        <v>8.3574999999999999</v>
      </c>
      <c r="E932" s="144">
        <v>137.07</v>
      </c>
      <c r="F932" s="144">
        <v>0.79154999999999998</v>
      </c>
      <c r="G932" s="144">
        <v>1.2143999999999999</v>
      </c>
      <c r="I932" s="144">
        <v>1</v>
      </c>
      <c r="J932" s="145">
        <f t="shared" si="106"/>
        <v>41838</v>
      </c>
      <c r="K932" s="144">
        <f t="shared" ca="1" si="109"/>
        <v>0.8978927911275415</v>
      </c>
      <c r="L932" s="144">
        <f t="shared" ca="1" si="109"/>
        <v>0.58524953789279111</v>
      </c>
      <c r="M932" s="144">
        <f t="shared" ca="1" si="109"/>
        <v>101.34565619223659</v>
      </c>
      <c r="N932" s="144">
        <f t="shared" ca="1" si="109"/>
        <v>6.1792975970425132</v>
      </c>
      <c r="O932" s="144">
        <f t="shared" ca="1" si="109"/>
        <v>35.046210720887245</v>
      </c>
      <c r="P932" s="144">
        <f t="shared" ca="1" si="109"/>
        <v>1</v>
      </c>
      <c r="Q932" s="144">
        <f t="shared" ca="1" si="109"/>
        <v>0.73937153419593349</v>
      </c>
    </row>
    <row r="933" spans="1:17" x14ac:dyDescent="0.25">
      <c r="A933" s="145">
        <v>41837</v>
      </c>
      <c r="B933" s="144">
        <v>1.3525</v>
      </c>
      <c r="C933" s="144">
        <v>47.259</v>
      </c>
      <c r="D933" s="144">
        <v>8.3825000000000003</v>
      </c>
      <c r="E933" s="144">
        <v>137.27000000000001</v>
      </c>
      <c r="F933" s="144">
        <v>0.79090000000000005</v>
      </c>
      <c r="G933" s="144">
        <v>1.2146999999999999</v>
      </c>
      <c r="I933" s="144">
        <v>1</v>
      </c>
      <c r="J933" s="145">
        <f t="shared" si="106"/>
        <v>41837</v>
      </c>
      <c r="K933" s="144">
        <f t="shared" ca="1" si="109"/>
        <v>0.89811460258780029</v>
      </c>
      <c r="L933" s="144">
        <f t="shared" ca="1" si="109"/>
        <v>0.58476894639556376</v>
      </c>
      <c r="M933" s="144">
        <f t="shared" ca="1" si="109"/>
        <v>101.49353049907579</v>
      </c>
      <c r="N933" s="144">
        <f t="shared" ca="1" si="109"/>
        <v>6.1977818853974123</v>
      </c>
      <c r="O933" s="144">
        <f t="shared" ca="1" si="109"/>
        <v>34.941959334565617</v>
      </c>
      <c r="P933" s="144">
        <f t="shared" ca="1" si="109"/>
        <v>1</v>
      </c>
      <c r="Q933" s="144">
        <f t="shared" ca="1" si="109"/>
        <v>0.73937153419593349</v>
      </c>
    </row>
    <row r="934" spans="1:17" x14ac:dyDescent="0.25">
      <c r="A934" s="145">
        <v>41836</v>
      </c>
      <c r="B934" s="144">
        <v>1.3532</v>
      </c>
      <c r="C934" s="144">
        <v>46.551000000000002</v>
      </c>
      <c r="D934" s="144">
        <v>8.3849999999999998</v>
      </c>
      <c r="E934" s="144">
        <v>137.72999999999999</v>
      </c>
      <c r="F934" s="144">
        <v>0.7903</v>
      </c>
      <c r="G934" s="144">
        <v>1.2156</v>
      </c>
      <c r="I934" s="144">
        <v>1</v>
      </c>
      <c r="J934" s="145">
        <f t="shared" si="106"/>
        <v>41836</v>
      </c>
      <c r="K934" s="144">
        <f t="shared" ca="1" si="109"/>
        <v>0.89831510493644695</v>
      </c>
      <c r="L934" s="144">
        <f t="shared" ca="1" si="109"/>
        <v>0.5840230564587644</v>
      </c>
      <c r="M934" s="144">
        <f t="shared" ca="1" si="109"/>
        <v>101.7809636417381</v>
      </c>
      <c r="N934" s="144">
        <f t="shared" ca="1" si="109"/>
        <v>6.1964232929352647</v>
      </c>
      <c r="O934" s="144">
        <f t="shared" ca="1" si="109"/>
        <v>34.400679869937925</v>
      </c>
      <c r="P934" s="144">
        <f t="shared" ca="1" si="109"/>
        <v>1</v>
      </c>
      <c r="Q934" s="144">
        <f t="shared" ca="1" si="109"/>
        <v>0.73898906296186817</v>
      </c>
    </row>
    <row r="935" spans="1:17" x14ac:dyDescent="0.25">
      <c r="A935" s="145">
        <v>41835</v>
      </c>
      <c r="B935" s="144">
        <v>1.3613</v>
      </c>
      <c r="C935" s="144">
        <v>46.731099999999998</v>
      </c>
      <c r="D935" s="144">
        <v>8.4305000000000003</v>
      </c>
      <c r="E935" s="144">
        <v>138.28</v>
      </c>
      <c r="F935" s="144">
        <v>0.79310000000000003</v>
      </c>
      <c r="G935" s="144">
        <v>1.2141999999999999</v>
      </c>
      <c r="I935" s="144">
        <v>1</v>
      </c>
      <c r="J935" s="145">
        <f t="shared" si="106"/>
        <v>41835</v>
      </c>
      <c r="K935" s="144">
        <f t="shared" ref="K935:Q944" ca="1" si="110">OFFSET($A935,0,K$3)/OFFSET($A935,0,$P$3)</f>
        <v>0.89194152648203917</v>
      </c>
      <c r="L935" s="144">
        <f t="shared" ca="1" si="110"/>
        <v>0.58260486299860437</v>
      </c>
      <c r="M935" s="144">
        <f t="shared" ca="1" si="110"/>
        <v>101.57937265848821</v>
      </c>
      <c r="N935" s="144">
        <f t="shared" ca="1" si="110"/>
        <v>6.1929773011092344</v>
      </c>
      <c r="O935" s="144">
        <f t="shared" ca="1" si="110"/>
        <v>34.32828913538529</v>
      </c>
      <c r="P935" s="144">
        <f t="shared" ca="1" si="110"/>
        <v>1</v>
      </c>
      <c r="Q935" s="144">
        <f t="shared" ca="1" si="110"/>
        <v>0.73459193418056268</v>
      </c>
    </row>
    <row r="936" spans="1:17" x14ac:dyDescent="0.25">
      <c r="A936" s="145">
        <v>41834</v>
      </c>
      <c r="B936" s="144">
        <v>1.3627</v>
      </c>
      <c r="C936" s="144">
        <v>46.790500000000002</v>
      </c>
      <c r="D936" s="144">
        <v>8.41</v>
      </c>
      <c r="E936" s="144">
        <v>138.29</v>
      </c>
      <c r="F936" s="144">
        <v>0.79659999999999997</v>
      </c>
      <c r="G936" s="144">
        <v>1.2139</v>
      </c>
      <c r="I936" s="144">
        <v>1</v>
      </c>
      <c r="J936" s="145">
        <f t="shared" si="106"/>
        <v>41834</v>
      </c>
      <c r="K936" s="144">
        <f t="shared" ca="1" si="110"/>
        <v>0.89080501944668666</v>
      </c>
      <c r="L936" s="144">
        <f t="shared" ca="1" si="110"/>
        <v>0.58457474132237464</v>
      </c>
      <c r="M936" s="144">
        <f t="shared" ca="1" si="110"/>
        <v>101.48235121450061</v>
      </c>
      <c r="N936" s="144">
        <f t="shared" ca="1" si="110"/>
        <v>6.1715711455199234</v>
      </c>
      <c r="O936" s="144">
        <f t="shared" ca="1" si="110"/>
        <v>34.336611139649229</v>
      </c>
      <c r="P936" s="144">
        <f t="shared" ca="1" si="110"/>
        <v>1</v>
      </c>
      <c r="Q936" s="144">
        <f t="shared" ca="1" si="110"/>
        <v>0.73383723490129893</v>
      </c>
    </row>
    <row r="937" spans="1:17" x14ac:dyDescent="0.25">
      <c r="A937" s="145">
        <v>41833</v>
      </c>
      <c r="B937" s="144">
        <v>1.3594999999999999</v>
      </c>
      <c r="C937" s="144">
        <v>46.423699999999997</v>
      </c>
      <c r="D937" s="144">
        <v>8.3770000000000007</v>
      </c>
      <c r="E937" s="144">
        <v>137.75</v>
      </c>
      <c r="F937" s="144">
        <v>0.79410000000000003</v>
      </c>
      <c r="G937" s="144">
        <v>1.2142999999999999</v>
      </c>
      <c r="I937" s="144">
        <v>1</v>
      </c>
      <c r="J937" s="145">
        <f t="shared" si="106"/>
        <v>41833</v>
      </c>
      <c r="K937" s="144">
        <f t="shared" ca="1" si="110"/>
        <v>0.8931960279514527</v>
      </c>
      <c r="L937" s="144">
        <f t="shared" ca="1" si="110"/>
        <v>0.58411180581096001</v>
      </c>
      <c r="M937" s="144">
        <f t="shared" ca="1" si="110"/>
        <v>101.32401618242001</v>
      </c>
      <c r="N937" s="144">
        <f t="shared" ca="1" si="110"/>
        <v>6.161824200073557</v>
      </c>
      <c r="O937" s="144">
        <f t="shared" ca="1" si="110"/>
        <v>34.147627804339827</v>
      </c>
      <c r="P937" s="144">
        <f t="shared" ca="1" si="110"/>
        <v>1</v>
      </c>
      <c r="Q937" s="144">
        <f t="shared" ca="1" si="110"/>
        <v>0.73556454578889297</v>
      </c>
    </row>
    <row r="938" spans="1:17" x14ac:dyDescent="0.25">
      <c r="A938" s="145">
        <v>41832</v>
      </c>
      <c r="B938" s="144">
        <v>1.3594999999999999</v>
      </c>
      <c r="C938" s="144">
        <v>46.423699999999997</v>
      </c>
      <c r="D938" s="144">
        <v>8.3770000000000007</v>
      </c>
      <c r="E938" s="144">
        <v>137.75</v>
      </c>
      <c r="F938" s="144">
        <v>0.79410000000000003</v>
      </c>
      <c r="G938" s="144">
        <v>1.2142999999999999</v>
      </c>
      <c r="I938" s="144">
        <v>1</v>
      </c>
      <c r="J938" s="145">
        <f t="shared" si="106"/>
        <v>41832</v>
      </c>
      <c r="K938" s="144">
        <f t="shared" ca="1" si="110"/>
        <v>0.8931960279514527</v>
      </c>
      <c r="L938" s="144">
        <f t="shared" ca="1" si="110"/>
        <v>0.58411180581096001</v>
      </c>
      <c r="M938" s="144">
        <f t="shared" ca="1" si="110"/>
        <v>101.32401618242001</v>
      </c>
      <c r="N938" s="144">
        <f t="shared" ca="1" si="110"/>
        <v>6.161824200073557</v>
      </c>
      <c r="O938" s="144">
        <f t="shared" ca="1" si="110"/>
        <v>34.147627804339827</v>
      </c>
      <c r="P938" s="144">
        <f t="shared" ca="1" si="110"/>
        <v>1</v>
      </c>
      <c r="Q938" s="144">
        <f t="shared" ca="1" si="110"/>
        <v>0.73556454578889297</v>
      </c>
    </row>
    <row r="939" spans="1:17" x14ac:dyDescent="0.25">
      <c r="A939" s="145">
        <v>41831</v>
      </c>
      <c r="B939" s="144">
        <v>1.3594999999999999</v>
      </c>
      <c r="C939" s="144">
        <v>46.423699999999997</v>
      </c>
      <c r="D939" s="144">
        <v>8.3770000000000007</v>
      </c>
      <c r="E939" s="144">
        <v>137.75</v>
      </c>
      <c r="F939" s="144">
        <v>0.79410000000000003</v>
      </c>
      <c r="G939" s="144">
        <v>1.2142999999999999</v>
      </c>
      <c r="I939" s="144">
        <v>1</v>
      </c>
      <c r="J939" s="145">
        <f t="shared" si="106"/>
        <v>41831</v>
      </c>
      <c r="K939" s="144">
        <f t="shared" ca="1" si="110"/>
        <v>0.8931960279514527</v>
      </c>
      <c r="L939" s="144">
        <f t="shared" ca="1" si="110"/>
        <v>0.58411180581096001</v>
      </c>
      <c r="M939" s="144">
        <f t="shared" ca="1" si="110"/>
        <v>101.32401618242001</v>
      </c>
      <c r="N939" s="144">
        <f t="shared" ca="1" si="110"/>
        <v>6.161824200073557</v>
      </c>
      <c r="O939" s="144">
        <f t="shared" ca="1" si="110"/>
        <v>34.147627804339827</v>
      </c>
      <c r="P939" s="144">
        <f t="shared" ca="1" si="110"/>
        <v>1</v>
      </c>
      <c r="Q939" s="144">
        <f t="shared" ca="1" si="110"/>
        <v>0.73556454578889297</v>
      </c>
    </row>
    <row r="940" spans="1:17" x14ac:dyDescent="0.25">
      <c r="A940" s="145">
        <v>41830</v>
      </c>
      <c r="B940" s="144">
        <v>1.3604000000000001</v>
      </c>
      <c r="C940" s="144">
        <v>46.332500000000003</v>
      </c>
      <c r="D940" s="144">
        <v>8.3770000000000007</v>
      </c>
      <c r="E940" s="144">
        <v>137.87</v>
      </c>
      <c r="F940" s="144">
        <v>0.79505000000000003</v>
      </c>
      <c r="G940" s="144">
        <v>1.2142999999999999</v>
      </c>
      <c r="I940" s="144">
        <v>1</v>
      </c>
      <c r="J940" s="145">
        <f t="shared" si="106"/>
        <v>41830</v>
      </c>
      <c r="K940" s="144">
        <f t="shared" ca="1" si="110"/>
        <v>0.89260511614231097</v>
      </c>
      <c r="L940" s="144">
        <f t="shared" ca="1" si="110"/>
        <v>0.58442369891208468</v>
      </c>
      <c r="M940" s="144">
        <f t="shared" ca="1" si="110"/>
        <v>101.34519259041458</v>
      </c>
      <c r="N940" s="144">
        <f t="shared" ca="1" si="110"/>
        <v>6.1577477212584535</v>
      </c>
      <c r="O940" s="144">
        <f t="shared" ca="1" si="110"/>
        <v>34.057997647750661</v>
      </c>
      <c r="P940" s="144">
        <f t="shared" ca="1" si="110"/>
        <v>1</v>
      </c>
      <c r="Q940" s="144">
        <f t="shared" ca="1" si="110"/>
        <v>0.73507791825933544</v>
      </c>
    </row>
    <row r="941" spans="1:17" x14ac:dyDescent="0.25">
      <c r="A941" s="145">
        <v>41829</v>
      </c>
      <c r="B941" s="144">
        <v>1.3603000000000001</v>
      </c>
      <c r="C941" s="144">
        <v>46.402999999999999</v>
      </c>
      <c r="D941" s="144">
        <v>8.4034999999999993</v>
      </c>
      <c r="E941" s="144">
        <v>138.38</v>
      </c>
      <c r="F941" s="144">
        <v>0.79554999999999998</v>
      </c>
      <c r="G941" s="144">
        <v>1.2158</v>
      </c>
      <c r="I941" s="144">
        <v>1</v>
      </c>
      <c r="J941" s="145">
        <f t="shared" si="106"/>
        <v>41829</v>
      </c>
      <c r="K941" s="144">
        <f t="shared" ca="1" si="110"/>
        <v>0.8937734323311034</v>
      </c>
      <c r="L941" s="144">
        <f t="shared" ca="1" si="110"/>
        <v>0.58483422774387994</v>
      </c>
      <c r="M941" s="144">
        <f t="shared" ca="1" si="110"/>
        <v>101.72756009703741</v>
      </c>
      <c r="N941" s="144">
        <f t="shared" ca="1" si="110"/>
        <v>6.1776813938101878</v>
      </c>
      <c r="O941" s="144">
        <f t="shared" ca="1" si="110"/>
        <v>34.112328162905236</v>
      </c>
      <c r="P941" s="144">
        <f t="shared" ca="1" si="110"/>
        <v>1</v>
      </c>
      <c r="Q941" s="144">
        <f t="shared" ca="1" si="110"/>
        <v>0.73513195618613536</v>
      </c>
    </row>
    <row r="942" spans="1:17" x14ac:dyDescent="0.25">
      <c r="A942" s="145">
        <v>41828</v>
      </c>
      <c r="B942" s="144">
        <v>1.3589</v>
      </c>
      <c r="C942" s="144">
        <v>46.513300000000001</v>
      </c>
      <c r="D942" s="144">
        <v>8.3964999999999996</v>
      </c>
      <c r="E942" s="144">
        <v>138.26</v>
      </c>
      <c r="F942" s="144">
        <v>0.79384999999999994</v>
      </c>
      <c r="G942" s="144">
        <v>1.2155</v>
      </c>
      <c r="I942" s="144">
        <v>1</v>
      </c>
      <c r="J942" s="145">
        <f t="shared" si="106"/>
        <v>41828</v>
      </c>
      <c r="K942" s="144">
        <f t="shared" ca="1" si="110"/>
        <v>0.89447347118993303</v>
      </c>
      <c r="L942" s="144">
        <f t="shared" ca="1" si="110"/>
        <v>0.58418573846493482</v>
      </c>
      <c r="M942" s="144">
        <f t="shared" ca="1" si="110"/>
        <v>101.74405769372285</v>
      </c>
      <c r="N942" s="144">
        <f t="shared" ca="1" si="110"/>
        <v>6.1788946942379868</v>
      </c>
      <c r="O942" s="144">
        <f t="shared" ca="1" si="110"/>
        <v>34.228640812421816</v>
      </c>
      <c r="P942" s="144">
        <f t="shared" ca="1" si="110"/>
        <v>1</v>
      </c>
      <c r="Q942" s="144">
        <f t="shared" ca="1" si="110"/>
        <v>0.73588932224593417</v>
      </c>
    </row>
    <row r="943" spans="1:17" x14ac:dyDescent="0.25">
      <c r="A943" s="145">
        <v>41827</v>
      </c>
      <c r="B943" s="144">
        <v>1.3592</v>
      </c>
      <c r="C943" s="144">
        <v>46.978099999999998</v>
      </c>
      <c r="D943" s="144">
        <v>8.4019999999999992</v>
      </c>
      <c r="E943" s="144">
        <v>138.53</v>
      </c>
      <c r="F943" s="144">
        <v>0.79384999999999994</v>
      </c>
      <c r="G943" s="144">
        <v>1.2155</v>
      </c>
      <c r="I943" s="144">
        <v>1</v>
      </c>
      <c r="J943" s="145">
        <f t="shared" si="106"/>
        <v>41827</v>
      </c>
      <c r="K943" s="144">
        <f t="shared" ca="1" si="110"/>
        <v>0.89427604473219546</v>
      </c>
      <c r="L943" s="144">
        <f t="shared" ca="1" si="110"/>
        <v>0.5840567981165391</v>
      </c>
      <c r="M943" s="144">
        <f t="shared" ca="1" si="110"/>
        <v>101.9202472042378</v>
      </c>
      <c r="N943" s="144">
        <f t="shared" ca="1" si="110"/>
        <v>6.1815773984696873</v>
      </c>
      <c r="O943" s="144">
        <f t="shared" ca="1" si="110"/>
        <v>34.563051795173628</v>
      </c>
      <c r="P943" s="144">
        <f t="shared" ca="1" si="110"/>
        <v>1</v>
      </c>
      <c r="Q943" s="144">
        <f t="shared" ca="1" si="110"/>
        <v>0.73572689817539727</v>
      </c>
    </row>
    <row r="944" spans="1:17" x14ac:dyDescent="0.25">
      <c r="A944" s="145">
        <v>41826</v>
      </c>
      <c r="B944" s="144">
        <v>1.3588</v>
      </c>
      <c r="C944" s="144">
        <v>46.744999999999997</v>
      </c>
      <c r="D944" s="144">
        <v>8.4115000000000002</v>
      </c>
      <c r="E944" s="144">
        <v>138.66999999999999</v>
      </c>
      <c r="F944" s="144">
        <v>0.79259999999999997</v>
      </c>
      <c r="G944" s="144">
        <v>1.216</v>
      </c>
      <c r="I944" s="144">
        <v>1</v>
      </c>
      <c r="J944" s="145">
        <f t="shared" si="106"/>
        <v>41826</v>
      </c>
      <c r="K944" s="144">
        <f t="shared" ca="1" si="110"/>
        <v>0.89490727112157786</v>
      </c>
      <c r="L944" s="144">
        <f t="shared" ca="1" si="110"/>
        <v>0.58330880188401524</v>
      </c>
      <c r="M944" s="144">
        <f t="shared" ca="1" si="110"/>
        <v>102.05328230791874</v>
      </c>
      <c r="N944" s="144">
        <f t="shared" ca="1" si="110"/>
        <v>6.1903885781571972</v>
      </c>
      <c r="O944" s="144">
        <f t="shared" ca="1" si="110"/>
        <v>34.401677951133351</v>
      </c>
      <c r="P944" s="144">
        <f t="shared" ca="1" si="110"/>
        <v>1</v>
      </c>
      <c r="Q944" s="144">
        <f t="shared" ca="1" si="110"/>
        <v>0.73594347954077122</v>
      </c>
    </row>
    <row r="945" spans="1:17" x14ac:dyDescent="0.25">
      <c r="A945" s="145">
        <v>41825</v>
      </c>
      <c r="B945" s="144">
        <v>1.3588</v>
      </c>
      <c r="C945" s="144">
        <v>46.744999999999997</v>
      </c>
      <c r="D945" s="144">
        <v>8.4115000000000002</v>
      </c>
      <c r="E945" s="144">
        <v>138.66999999999999</v>
      </c>
      <c r="F945" s="144">
        <v>0.79259999999999997</v>
      </c>
      <c r="G945" s="144">
        <v>1.216</v>
      </c>
      <c r="I945" s="144">
        <v>1</v>
      </c>
      <c r="J945" s="145">
        <f t="shared" si="106"/>
        <v>41825</v>
      </c>
      <c r="K945" s="144">
        <f t="shared" ref="K945:Q954" ca="1" si="111">OFFSET($A945,0,K$3)/OFFSET($A945,0,$P$3)</f>
        <v>0.89490727112157786</v>
      </c>
      <c r="L945" s="144">
        <f t="shared" ca="1" si="111"/>
        <v>0.58330880188401524</v>
      </c>
      <c r="M945" s="144">
        <f t="shared" ca="1" si="111"/>
        <v>102.05328230791874</v>
      </c>
      <c r="N945" s="144">
        <f t="shared" ca="1" si="111"/>
        <v>6.1903885781571972</v>
      </c>
      <c r="O945" s="144">
        <f t="shared" ca="1" si="111"/>
        <v>34.401677951133351</v>
      </c>
      <c r="P945" s="144">
        <f t="shared" ca="1" si="111"/>
        <v>1</v>
      </c>
      <c r="Q945" s="144">
        <f t="shared" ca="1" si="111"/>
        <v>0.73594347954077122</v>
      </c>
    </row>
    <row r="946" spans="1:17" x14ac:dyDescent="0.25">
      <c r="A946" s="145">
        <v>41824</v>
      </c>
      <c r="B946" s="144">
        <v>1.3588</v>
      </c>
      <c r="C946" s="144">
        <v>46.744999999999997</v>
      </c>
      <c r="D946" s="144">
        <v>8.4115000000000002</v>
      </c>
      <c r="E946" s="144">
        <v>138.66999999999999</v>
      </c>
      <c r="F946" s="144">
        <v>0.79259999999999997</v>
      </c>
      <c r="G946" s="144">
        <v>1.216</v>
      </c>
      <c r="I946" s="144">
        <v>1</v>
      </c>
      <c r="J946" s="145">
        <f t="shared" si="106"/>
        <v>41824</v>
      </c>
      <c r="K946" s="144">
        <f t="shared" ca="1" si="111"/>
        <v>0.89490727112157786</v>
      </c>
      <c r="L946" s="144">
        <f t="shared" ca="1" si="111"/>
        <v>0.58330880188401524</v>
      </c>
      <c r="M946" s="144">
        <f t="shared" ca="1" si="111"/>
        <v>102.05328230791874</v>
      </c>
      <c r="N946" s="144">
        <f t="shared" ca="1" si="111"/>
        <v>6.1903885781571972</v>
      </c>
      <c r="O946" s="144">
        <f t="shared" ca="1" si="111"/>
        <v>34.401677951133351</v>
      </c>
      <c r="P946" s="144">
        <f t="shared" ca="1" si="111"/>
        <v>1</v>
      </c>
      <c r="Q946" s="144">
        <f t="shared" ca="1" si="111"/>
        <v>0.73594347954077122</v>
      </c>
    </row>
    <row r="947" spans="1:17" x14ac:dyDescent="0.25">
      <c r="A947" s="145">
        <v>41823</v>
      </c>
      <c r="B947" s="144">
        <v>1.3646</v>
      </c>
      <c r="C947" s="144">
        <v>46.704999999999998</v>
      </c>
      <c r="D947" s="144">
        <v>8.4809999999999999</v>
      </c>
      <c r="E947" s="144">
        <v>139.06</v>
      </c>
      <c r="F947" s="144">
        <v>0.79649999999999999</v>
      </c>
      <c r="G947" s="144">
        <v>1.2146999999999999</v>
      </c>
      <c r="I947" s="144">
        <v>1</v>
      </c>
      <c r="J947" s="145">
        <f t="shared" si="106"/>
        <v>41823</v>
      </c>
      <c r="K947" s="144">
        <f t="shared" ca="1" si="111"/>
        <v>0.89015095998827487</v>
      </c>
      <c r="L947" s="144">
        <f t="shared" ca="1" si="111"/>
        <v>0.58368752748058039</v>
      </c>
      <c r="M947" s="144">
        <f t="shared" ca="1" si="111"/>
        <v>101.90532024036348</v>
      </c>
      <c r="N947" s="144">
        <f t="shared" ca="1" si="111"/>
        <v>6.2150080609702476</v>
      </c>
      <c r="O947" s="144">
        <f t="shared" ca="1" si="111"/>
        <v>34.226146856221604</v>
      </c>
      <c r="P947" s="144">
        <f t="shared" ca="1" si="111"/>
        <v>1</v>
      </c>
      <c r="Q947" s="144">
        <f t="shared" ca="1" si="111"/>
        <v>0.73281547706287553</v>
      </c>
    </row>
    <row r="948" spans="1:17" x14ac:dyDescent="0.25">
      <c r="A948" s="145">
        <v>41822</v>
      </c>
      <c r="B948" s="144">
        <v>1.3655999999999999</v>
      </c>
      <c r="C948" s="144">
        <v>46.756</v>
      </c>
      <c r="D948" s="144">
        <v>8.4250000000000007</v>
      </c>
      <c r="E948" s="144">
        <v>138.65</v>
      </c>
      <c r="F948" s="144">
        <v>0.79579999999999995</v>
      </c>
      <c r="G948" s="144">
        <v>1.2137</v>
      </c>
      <c r="I948" s="144">
        <v>1</v>
      </c>
      <c r="J948" s="145">
        <f t="shared" si="106"/>
        <v>41822</v>
      </c>
      <c r="K948" s="144">
        <f t="shared" ca="1" si="111"/>
        <v>0.88876684241359116</v>
      </c>
      <c r="L948" s="144">
        <f t="shared" ca="1" si="111"/>
        <v>0.58274751025190397</v>
      </c>
      <c r="M948" s="144">
        <f t="shared" ca="1" si="111"/>
        <v>101.53046280023433</v>
      </c>
      <c r="N948" s="144">
        <f t="shared" ca="1" si="111"/>
        <v>6.1694493263034573</v>
      </c>
      <c r="O948" s="144">
        <f t="shared" ca="1" si="111"/>
        <v>34.238429994141768</v>
      </c>
      <c r="P948" s="144">
        <f t="shared" ca="1" si="111"/>
        <v>1</v>
      </c>
      <c r="Q948" s="144">
        <f t="shared" ca="1" si="111"/>
        <v>0.73227885178676044</v>
      </c>
    </row>
    <row r="949" spans="1:17" x14ac:dyDescent="0.25">
      <c r="A949" s="145">
        <v>41821</v>
      </c>
      <c r="B949" s="144">
        <v>1.3688</v>
      </c>
      <c r="C949" s="144">
        <v>46.895000000000003</v>
      </c>
      <c r="D949" s="144">
        <v>8.4380000000000006</v>
      </c>
      <c r="E949" s="144">
        <v>138.97999999999999</v>
      </c>
      <c r="F949" s="144">
        <v>0.79810000000000003</v>
      </c>
      <c r="G949" s="144">
        <v>1.2138</v>
      </c>
      <c r="I949" s="144">
        <v>1</v>
      </c>
      <c r="J949" s="145">
        <f t="shared" si="106"/>
        <v>41821</v>
      </c>
      <c r="K949" s="144">
        <f t="shared" ca="1" si="111"/>
        <v>0.88676212741087079</v>
      </c>
      <c r="L949" s="144">
        <f t="shared" ca="1" si="111"/>
        <v>0.58306545879602578</v>
      </c>
      <c r="M949" s="144">
        <f t="shared" ca="1" si="111"/>
        <v>101.53419053185272</v>
      </c>
      <c r="N949" s="144">
        <f t="shared" ca="1" si="111"/>
        <v>6.1645236703682063</v>
      </c>
      <c r="O949" s="144">
        <f t="shared" ca="1" si="111"/>
        <v>34.259935710111051</v>
      </c>
      <c r="P949" s="144">
        <f t="shared" ca="1" si="111"/>
        <v>1</v>
      </c>
      <c r="Q949" s="144">
        <f t="shared" ca="1" si="111"/>
        <v>0.73056691992986555</v>
      </c>
    </row>
    <row r="950" spans="1:17" x14ac:dyDescent="0.25">
      <c r="A950" s="145">
        <v>41820</v>
      </c>
      <c r="B950" s="144">
        <v>1.3657999999999999</v>
      </c>
      <c r="C950" s="144">
        <v>46.377899999999997</v>
      </c>
      <c r="D950" s="144">
        <v>8.4034999999999993</v>
      </c>
      <c r="E950" s="144">
        <v>138.44</v>
      </c>
      <c r="F950" s="144">
        <v>0.80149999999999999</v>
      </c>
      <c r="G950" s="144">
        <v>1.2156</v>
      </c>
      <c r="I950" s="144">
        <v>1</v>
      </c>
      <c r="J950" s="145">
        <f t="shared" si="106"/>
        <v>41820</v>
      </c>
      <c r="K950" s="144">
        <f t="shared" ca="1" si="111"/>
        <v>0.89002782252159918</v>
      </c>
      <c r="L950" s="144">
        <f t="shared" ca="1" si="111"/>
        <v>0.5868355542539172</v>
      </c>
      <c r="M950" s="144">
        <f t="shared" ca="1" si="111"/>
        <v>101.36183921511203</v>
      </c>
      <c r="N950" s="144">
        <f t="shared" ca="1" si="111"/>
        <v>6.1528042173085371</v>
      </c>
      <c r="O950" s="144">
        <f t="shared" ca="1" si="111"/>
        <v>33.956582222873038</v>
      </c>
      <c r="P950" s="144">
        <f t="shared" ca="1" si="111"/>
        <v>1</v>
      </c>
      <c r="Q950" s="144">
        <f t="shared" ca="1" si="111"/>
        <v>0.73217162102796896</v>
      </c>
    </row>
    <row r="951" spans="1:17" x14ac:dyDescent="0.25">
      <c r="A951" s="145">
        <v>41819</v>
      </c>
      <c r="B951" s="144">
        <v>1.3620000000000001</v>
      </c>
      <c r="C951" s="144">
        <v>45.896900000000002</v>
      </c>
      <c r="D951" s="144">
        <v>8.3680000000000003</v>
      </c>
      <c r="E951" s="144">
        <v>138.09</v>
      </c>
      <c r="F951" s="144">
        <v>0.79964999999999997</v>
      </c>
      <c r="G951" s="144">
        <v>1.2161999999999999</v>
      </c>
      <c r="I951" s="144">
        <v>1</v>
      </c>
      <c r="J951" s="145">
        <f t="shared" si="106"/>
        <v>41819</v>
      </c>
      <c r="K951" s="144">
        <f t="shared" ca="1" si="111"/>
        <v>0.89295154185022019</v>
      </c>
      <c r="L951" s="144">
        <f t="shared" ca="1" si="111"/>
        <v>0.5871145374449338</v>
      </c>
      <c r="M951" s="144">
        <f t="shared" ca="1" si="111"/>
        <v>101.38766519823788</v>
      </c>
      <c r="N951" s="144">
        <f t="shared" ca="1" si="111"/>
        <v>6.1439060205580027</v>
      </c>
      <c r="O951" s="144">
        <f t="shared" ca="1" si="111"/>
        <v>33.698164464023492</v>
      </c>
      <c r="P951" s="144">
        <f t="shared" ca="1" si="111"/>
        <v>1</v>
      </c>
      <c r="Q951" s="144">
        <f t="shared" ca="1" si="111"/>
        <v>0.73421439060205573</v>
      </c>
    </row>
    <row r="952" spans="1:17" x14ac:dyDescent="0.25">
      <c r="A952" s="145">
        <v>41818</v>
      </c>
      <c r="B952" s="144">
        <v>1.3620000000000001</v>
      </c>
      <c r="C952" s="144">
        <v>45.896900000000002</v>
      </c>
      <c r="D952" s="144">
        <v>8.3680000000000003</v>
      </c>
      <c r="E952" s="144">
        <v>138.09</v>
      </c>
      <c r="F952" s="144">
        <v>0.79964999999999997</v>
      </c>
      <c r="G952" s="144">
        <v>1.2161999999999999</v>
      </c>
      <c r="I952" s="144">
        <v>1</v>
      </c>
      <c r="J952" s="145">
        <f t="shared" si="106"/>
        <v>41818</v>
      </c>
      <c r="K952" s="144">
        <f t="shared" ca="1" si="111"/>
        <v>0.89295154185022019</v>
      </c>
      <c r="L952" s="144">
        <f t="shared" ca="1" si="111"/>
        <v>0.5871145374449338</v>
      </c>
      <c r="M952" s="144">
        <f t="shared" ca="1" si="111"/>
        <v>101.38766519823788</v>
      </c>
      <c r="N952" s="144">
        <f t="shared" ca="1" si="111"/>
        <v>6.1439060205580027</v>
      </c>
      <c r="O952" s="144">
        <f t="shared" ca="1" si="111"/>
        <v>33.698164464023492</v>
      </c>
      <c r="P952" s="144">
        <f t="shared" ca="1" si="111"/>
        <v>1</v>
      </c>
      <c r="Q952" s="144">
        <f t="shared" ca="1" si="111"/>
        <v>0.73421439060205573</v>
      </c>
    </row>
    <row r="953" spans="1:17" x14ac:dyDescent="0.25">
      <c r="A953" s="145">
        <v>41817</v>
      </c>
      <c r="B953" s="144">
        <v>1.3620000000000001</v>
      </c>
      <c r="C953" s="144">
        <v>45.896900000000002</v>
      </c>
      <c r="D953" s="144">
        <v>8.3680000000000003</v>
      </c>
      <c r="E953" s="144">
        <v>138.09</v>
      </c>
      <c r="F953" s="144">
        <v>0.79964999999999997</v>
      </c>
      <c r="G953" s="144">
        <v>1.2161999999999999</v>
      </c>
      <c r="I953" s="144">
        <v>1</v>
      </c>
      <c r="J953" s="145">
        <f t="shared" si="106"/>
        <v>41817</v>
      </c>
      <c r="K953" s="144">
        <f t="shared" ca="1" si="111"/>
        <v>0.89295154185022019</v>
      </c>
      <c r="L953" s="144">
        <f t="shared" ca="1" si="111"/>
        <v>0.5871145374449338</v>
      </c>
      <c r="M953" s="144">
        <f t="shared" ca="1" si="111"/>
        <v>101.38766519823788</v>
      </c>
      <c r="N953" s="144">
        <f t="shared" ca="1" si="111"/>
        <v>6.1439060205580027</v>
      </c>
      <c r="O953" s="144">
        <f t="shared" ca="1" si="111"/>
        <v>33.698164464023492</v>
      </c>
      <c r="P953" s="144">
        <f t="shared" ca="1" si="111"/>
        <v>1</v>
      </c>
      <c r="Q953" s="144">
        <f t="shared" ca="1" si="111"/>
        <v>0.73421439060205573</v>
      </c>
    </row>
    <row r="954" spans="1:17" x14ac:dyDescent="0.25">
      <c r="A954" s="145">
        <v>41816</v>
      </c>
      <c r="B954" s="144">
        <v>1.3606</v>
      </c>
      <c r="C954" s="144">
        <v>45.877499999999998</v>
      </c>
      <c r="D954" s="144">
        <v>8.3565000000000005</v>
      </c>
      <c r="E954" s="144">
        <v>138.49</v>
      </c>
      <c r="F954" s="144">
        <v>0.79910000000000003</v>
      </c>
      <c r="G954" s="144">
        <v>1.2163999999999999</v>
      </c>
      <c r="I954" s="144">
        <v>1</v>
      </c>
      <c r="J954" s="145">
        <f t="shared" si="106"/>
        <v>41816</v>
      </c>
      <c r="K954" s="144">
        <f t="shared" ca="1" si="111"/>
        <v>0.89401734528884313</v>
      </c>
      <c r="L954" s="144">
        <f t="shared" ca="1" si="111"/>
        <v>0.58731442010877555</v>
      </c>
      <c r="M954" s="144">
        <f t="shared" ca="1" si="111"/>
        <v>101.78597677495223</v>
      </c>
      <c r="N954" s="144">
        <f t="shared" ca="1" si="111"/>
        <v>6.1417756871968248</v>
      </c>
      <c r="O954" s="144">
        <f t="shared" ca="1" si="111"/>
        <v>33.718580038218434</v>
      </c>
      <c r="P954" s="144">
        <f t="shared" ca="1" si="111"/>
        <v>1</v>
      </c>
      <c r="Q954" s="144">
        <f t="shared" ca="1" si="111"/>
        <v>0.73496986623548433</v>
      </c>
    </row>
    <row r="955" spans="1:17" x14ac:dyDescent="0.25">
      <c r="A955" s="145">
        <v>41815</v>
      </c>
      <c r="B955" s="144">
        <v>1.3614999999999999</v>
      </c>
      <c r="C955" s="144">
        <v>45.987499999999997</v>
      </c>
      <c r="D955" s="144">
        <v>8.3584999999999994</v>
      </c>
      <c r="E955" s="144">
        <v>138.72999999999999</v>
      </c>
      <c r="F955" s="144">
        <v>0.80225000000000002</v>
      </c>
      <c r="G955" s="144">
        <v>1.2168000000000001</v>
      </c>
      <c r="I955" s="144">
        <v>1</v>
      </c>
      <c r="J955" s="145">
        <f t="shared" si="106"/>
        <v>41815</v>
      </c>
      <c r="K955" s="144">
        <f t="shared" ref="K955:Q964" ca="1" si="112">OFFSET($A955,0,K$3)/OFFSET($A955,0,$P$3)</f>
        <v>0.8937201615864856</v>
      </c>
      <c r="L955" s="144">
        <f t="shared" ca="1" si="112"/>
        <v>0.58923980903415352</v>
      </c>
      <c r="M955" s="144">
        <f t="shared" ca="1" si="112"/>
        <v>101.89496878442894</v>
      </c>
      <c r="N955" s="144">
        <f t="shared" ca="1" si="112"/>
        <v>6.1391847227322804</v>
      </c>
      <c r="O955" s="144">
        <f t="shared" ca="1" si="112"/>
        <v>33.777084098420858</v>
      </c>
      <c r="P955" s="144">
        <f t="shared" ca="1" si="112"/>
        <v>1</v>
      </c>
      <c r="Q955" s="144">
        <f t="shared" ca="1" si="112"/>
        <v>0.73448402497245691</v>
      </c>
    </row>
    <row r="956" spans="1:17" x14ac:dyDescent="0.25">
      <c r="A956" s="145">
        <v>41814</v>
      </c>
      <c r="B956" s="144">
        <v>1.3617999999999999</v>
      </c>
      <c r="C956" s="144">
        <v>46.055</v>
      </c>
      <c r="D956" s="144">
        <v>8.3034999999999997</v>
      </c>
      <c r="E956" s="144">
        <v>138.80000000000001</v>
      </c>
      <c r="F956" s="144">
        <v>0.80149999999999999</v>
      </c>
      <c r="G956" s="144">
        <v>1.2173</v>
      </c>
      <c r="I956" s="144">
        <v>1</v>
      </c>
      <c r="J956" s="145">
        <f t="shared" si="106"/>
        <v>41814</v>
      </c>
      <c r="K956" s="144">
        <f t="shared" ca="1" si="112"/>
        <v>0.89389043912468802</v>
      </c>
      <c r="L956" s="144">
        <f t="shared" ca="1" si="112"/>
        <v>0.58855925980320167</v>
      </c>
      <c r="M956" s="144">
        <f t="shared" ca="1" si="112"/>
        <v>101.92392421794685</v>
      </c>
      <c r="N956" s="144">
        <f t="shared" ca="1" si="112"/>
        <v>6.097444558672346</v>
      </c>
      <c r="O956" s="144">
        <f t="shared" ca="1" si="112"/>
        <v>33.819209869290646</v>
      </c>
      <c r="P956" s="144">
        <f t="shared" ca="1" si="112"/>
        <v>1</v>
      </c>
      <c r="Q956" s="144">
        <f t="shared" ca="1" si="112"/>
        <v>0.73432222059039509</v>
      </c>
    </row>
    <row r="957" spans="1:17" x14ac:dyDescent="0.25">
      <c r="A957" s="145">
        <v>41813</v>
      </c>
      <c r="B957" s="144">
        <v>1.3595999999999999</v>
      </c>
      <c r="C957" s="144">
        <v>46.503799999999998</v>
      </c>
      <c r="D957" s="144">
        <v>8.3239999999999998</v>
      </c>
      <c r="E957" s="144">
        <v>138.46</v>
      </c>
      <c r="F957" s="144">
        <v>0.7994</v>
      </c>
      <c r="G957" s="144">
        <v>1.2166999999999999</v>
      </c>
      <c r="I957" s="144">
        <v>1</v>
      </c>
      <c r="J957" s="145">
        <f t="shared" si="106"/>
        <v>41813</v>
      </c>
      <c r="K957" s="144">
        <f t="shared" ca="1" si="112"/>
        <v>0.89489555751691674</v>
      </c>
      <c r="L957" s="144">
        <f t="shared" ca="1" si="112"/>
        <v>0.58796704913209774</v>
      </c>
      <c r="M957" s="144">
        <f t="shared" ca="1" si="112"/>
        <v>101.83877611062078</v>
      </c>
      <c r="N957" s="144">
        <f t="shared" ca="1" si="112"/>
        <v>6.1223889379229188</v>
      </c>
      <c r="O957" s="144">
        <f t="shared" ca="1" si="112"/>
        <v>34.204030597234478</v>
      </c>
      <c r="P957" s="144">
        <f t="shared" ca="1" si="112"/>
        <v>1</v>
      </c>
      <c r="Q957" s="144">
        <f t="shared" ca="1" si="112"/>
        <v>0.73551044424830836</v>
      </c>
    </row>
    <row r="958" spans="1:17" x14ac:dyDescent="0.25">
      <c r="A958" s="145">
        <v>41812</v>
      </c>
      <c r="B958" s="144">
        <v>1.3588</v>
      </c>
      <c r="C958" s="144">
        <v>46.6935</v>
      </c>
      <c r="D958" s="144">
        <v>8.3420000000000005</v>
      </c>
      <c r="E958" s="144">
        <v>138.68</v>
      </c>
      <c r="F958" s="144">
        <v>0.79749999999999999</v>
      </c>
      <c r="G958" s="144">
        <v>1.2169000000000001</v>
      </c>
      <c r="I958" s="144">
        <v>1</v>
      </c>
      <c r="J958" s="145">
        <f t="shared" si="106"/>
        <v>41812</v>
      </c>
      <c r="K958" s="144">
        <f t="shared" ca="1" si="112"/>
        <v>0.89556962025316467</v>
      </c>
      <c r="L958" s="144">
        <f t="shared" ca="1" si="112"/>
        <v>0.58691492493376507</v>
      </c>
      <c r="M958" s="144">
        <f t="shared" ca="1" si="112"/>
        <v>102.06064174271417</v>
      </c>
      <c r="N958" s="144">
        <f t="shared" ca="1" si="112"/>
        <v>6.1392405063291147</v>
      </c>
      <c r="O958" s="144">
        <f t="shared" ca="1" si="112"/>
        <v>34.363776861937005</v>
      </c>
      <c r="P958" s="144">
        <f t="shared" ca="1" si="112"/>
        <v>1</v>
      </c>
      <c r="Q958" s="144">
        <f t="shared" ca="1" si="112"/>
        <v>0.73594347954077122</v>
      </c>
    </row>
    <row r="959" spans="1:17" x14ac:dyDescent="0.25">
      <c r="A959" s="145">
        <v>41811</v>
      </c>
      <c r="B959" s="144">
        <v>1.3588</v>
      </c>
      <c r="C959" s="144">
        <v>46.6935</v>
      </c>
      <c r="D959" s="144">
        <v>8.3420000000000005</v>
      </c>
      <c r="E959" s="144">
        <v>138.68</v>
      </c>
      <c r="F959" s="144">
        <v>0.79749999999999999</v>
      </c>
      <c r="G959" s="144">
        <v>1.2169000000000001</v>
      </c>
      <c r="I959" s="144">
        <v>1</v>
      </c>
      <c r="J959" s="145">
        <f t="shared" si="106"/>
        <v>41811</v>
      </c>
      <c r="K959" s="144">
        <f t="shared" ca="1" si="112"/>
        <v>0.89556962025316467</v>
      </c>
      <c r="L959" s="144">
        <f t="shared" ca="1" si="112"/>
        <v>0.58691492493376507</v>
      </c>
      <c r="M959" s="144">
        <f t="shared" ca="1" si="112"/>
        <v>102.06064174271417</v>
      </c>
      <c r="N959" s="144">
        <f t="shared" ca="1" si="112"/>
        <v>6.1392405063291147</v>
      </c>
      <c r="O959" s="144">
        <f t="shared" ca="1" si="112"/>
        <v>34.363776861937005</v>
      </c>
      <c r="P959" s="144">
        <f t="shared" ca="1" si="112"/>
        <v>1</v>
      </c>
      <c r="Q959" s="144">
        <f t="shared" ca="1" si="112"/>
        <v>0.73594347954077122</v>
      </c>
    </row>
    <row r="960" spans="1:17" x14ac:dyDescent="0.25">
      <c r="A960" s="145">
        <v>41810</v>
      </c>
      <c r="B960" s="144">
        <v>1.3588</v>
      </c>
      <c r="C960" s="144">
        <v>46.6935</v>
      </c>
      <c r="D960" s="144">
        <v>8.3420000000000005</v>
      </c>
      <c r="E960" s="144">
        <v>138.68</v>
      </c>
      <c r="F960" s="144">
        <v>0.79749999999999999</v>
      </c>
      <c r="G960" s="144">
        <v>1.2169000000000001</v>
      </c>
      <c r="I960" s="144">
        <v>1</v>
      </c>
      <c r="J960" s="145">
        <f t="shared" si="106"/>
        <v>41810</v>
      </c>
      <c r="K960" s="144">
        <f t="shared" ca="1" si="112"/>
        <v>0.89556962025316467</v>
      </c>
      <c r="L960" s="144">
        <f t="shared" ca="1" si="112"/>
        <v>0.58691492493376507</v>
      </c>
      <c r="M960" s="144">
        <f t="shared" ca="1" si="112"/>
        <v>102.06064174271417</v>
      </c>
      <c r="N960" s="144">
        <f t="shared" ca="1" si="112"/>
        <v>6.1392405063291147</v>
      </c>
      <c r="O960" s="144">
        <f t="shared" ca="1" si="112"/>
        <v>34.363776861937005</v>
      </c>
      <c r="P960" s="144">
        <f t="shared" ca="1" si="112"/>
        <v>1</v>
      </c>
      <c r="Q960" s="144">
        <f t="shared" ca="1" si="112"/>
        <v>0.73594347954077122</v>
      </c>
    </row>
    <row r="961" spans="1:17" x14ac:dyDescent="0.25">
      <c r="A961" s="145">
        <v>41809</v>
      </c>
      <c r="B961" s="144">
        <v>1.3620000000000001</v>
      </c>
      <c r="C961" s="144">
        <v>46.694000000000003</v>
      </c>
      <c r="D961" s="144">
        <v>8.3140000000000001</v>
      </c>
      <c r="E961" s="144">
        <v>138.82</v>
      </c>
      <c r="F961" s="144">
        <v>0.79984999999999995</v>
      </c>
      <c r="G961" s="144">
        <v>1.2170000000000001</v>
      </c>
      <c r="I961" s="144">
        <v>1</v>
      </c>
      <c r="J961" s="145">
        <f t="shared" si="106"/>
        <v>41809</v>
      </c>
      <c r="K961" s="144">
        <f t="shared" ca="1" si="112"/>
        <v>0.89353891336270186</v>
      </c>
      <c r="L961" s="144">
        <f t="shared" ca="1" si="112"/>
        <v>0.58726138032305431</v>
      </c>
      <c r="M961" s="144">
        <f t="shared" ca="1" si="112"/>
        <v>101.92364170337737</v>
      </c>
      <c r="N961" s="144">
        <f t="shared" ca="1" si="112"/>
        <v>6.1042584434654916</v>
      </c>
      <c r="O961" s="144">
        <f t="shared" ca="1" si="112"/>
        <v>34.283406754772393</v>
      </c>
      <c r="P961" s="144">
        <f t="shared" ca="1" si="112"/>
        <v>1</v>
      </c>
      <c r="Q961" s="144">
        <f t="shared" ca="1" si="112"/>
        <v>0.73421439060205573</v>
      </c>
    </row>
    <row r="962" spans="1:17" x14ac:dyDescent="0.25">
      <c r="A962" s="145">
        <v>41808</v>
      </c>
      <c r="B962" s="144">
        <v>1.3563000000000001</v>
      </c>
      <c r="C962" s="144">
        <v>46.8889</v>
      </c>
      <c r="D962" s="144">
        <v>8.1694999999999993</v>
      </c>
      <c r="E962" s="144">
        <v>138.65</v>
      </c>
      <c r="F962" s="144">
        <v>0.80049999999999999</v>
      </c>
      <c r="G962" s="144">
        <v>1.218</v>
      </c>
      <c r="I962" s="144">
        <v>1</v>
      </c>
      <c r="J962" s="145">
        <f t="shared" si="106"/>
        <v>41808</v>
      </c>
      <c r="K962" s="144">
        <f t="shared" ca="1" si="112"/>
        <v>0.89803140898031408</v>
      </c>
      <c r="L962" s="144">
        <f t="shared" ca="1" si="112"/>
        <v>0.59020865590208649</v>
      </c>
      <c r="M962" s="144">
        <f t="shared" ca="1" si="112"/>
        <v>102.22664602226646</v>
      </c>
      <c r="N962" s="144">
        <f t="shared" ca="1" si="112"/>
        <v>6.0233724102337236</v>
      </c>
      <c r="O962" s="144">
        <f t="shared" ca="1" si="112"/>
        <v>34.571186315711863</v>
      </c>
      <c r="P962" s="144">
        <f t="shared" ca="1" si="112"/>
        <v>1</v>
      </c>
      <c r="Q962" s="144">
        <f t="shared" ca="1" si="112"/>
        <v>0.73730000737300005</v>
      </c>
    </row>
    <row r="963" spans="1:17" x14ac:dyDescent="0.25">
      <c r="A963" s="145">
        <v>41807</v>
      </c>
      <c r="B963" s="144">
        <v>1.3568</v>
      </c>
      <c r="C963" s="144">
        <v>47.189500000000002</v>
      </c>
      <c r="D963" s="144">
        <v>8.1300000000000008</v>
      </c>
      <c r="E963" s="144">
        <v>138.4</v>
      </c>
      <c r="F963" s="144">
        <v>0.7994</v>
      </c>
      <c r="G963" s="144">
        <v>1.2188000000000001</v>
      </c>
      <c r="I963" s="144">
        <v>1</v>
      </c>
      <c r="J963" s="145">
        <f t="shared" si="106"/>
        <v>41807</v>
      </c>
      <c r="K963" s="144">
        <f t="shared" ca="1" si="112"/>
        <v>0.8982900943396227</v>
      </c>
      <c r="L963" s="144">
        <f t="shared" ca="1" si="112"/>
        <v>0.58918042452830188</v>
      </c>
      <c r="M963" s="144">
        <f t="shared" ca="1" si="112"/>
        <v>102.00471698113208</v>
      </c>
      <c r="N963" s="144">
        <f t="shared" ca="1" si="112"/>
        <v>5.9920400943396235</v>
      </c>
      <c r="O963" s="144">
        <f t="shared" ca="1" si="112"/>
        <v>34.779997051886795</v>
      </c>
      <c r="P963" s="144">
        <f t="shared" ca="1" si="112"/>
        <v>1</v>
      </c>
      <c r="Q963" s="144">
        <f t="shared" ca="1" si="112"/>
        <v>0.73702830188679247</v>
      </c>
    </row>
    <row r="964" spans="1:17" x14ac:dyDescent="0.25">
      <c r="A964" s="145">
        <v>41806</v>
      </c>
      <c r="B964" s="144">
        <v>1.3532</v>
      </c>
      <c r="C964" s="144">
        <v>46.9129</v>
      </c>
      <c r="D964" s="144">
        <v>8.1189999999999998</v>
      </c>
      <c r="E964" s="144">
        <v>137.81</v>
      </c>
      <c r="F964" s="144">
        <v>0.7974</v>
      </c>
      <c r="G964" s="144">
        <v>1.2176</v>
      </c>
      <c r="I964" s="144">
        <v>1</v>
      </c>
      <c r="J964" s="145">
        <f t="shared" si="106"/>
        <v>41806</v>
      </c>
      <c r="K964" s="144">
        <f t="shared" ca="1" si="112"/>
        <v>0.89979308306237071</v>
      </c>
      <c r="L964" s="144">
        <f t="shared" ca="1" si="112"/>
        <v>0.58926987880579373</v>
      </c>
      <c r="M964" s="144">
        <f t="shared" ca="1" si="112"/>
        <v>101.84008276677505</v>
      </c>
      <c r="N964" s="144">
        <f t="shared" ca="1" si="112"/>
        <v>5.9998522021874079</v>
      </c>
      <c r="O964" s="144">
        <f t="shared" ca="1" si="112"/>
        <v>34.668120011823824</v>
      </c>
      <c r="P964" s="144">
        <f t="shared" ca="1" si="112"/>
        <v>1</v>
      </c>
      <c r="Q964" s="144">
        <f t="shared" ca="1" si="112"/>
        <v>0.73898906296186817</v>
      </c>
    </row>
    <row r="965" spans="1:17" x14ac:dyDescent="0.25">
      <c r="A965" s="145">
        <v>41805</v>
      </c>
      <c r="B965" s="144">
        <v>1.3533999999999999</v>
      </c>
      <c r="C965" s="144">
        <v>46.600200000000001</v>
      </c>
      <c r="D965" s="144">
        <v>8.1255000000000006</v>
      </c>
      <c r="E965" s="144">
        <v>138.08000000000001</v>
      </c>
      <c r="F965" s="144">
        <v>0.79790000000000005</v>
      </c>
      <c r="G965" s="144">
        <v>1.2178</v>
      </c>
      <c r="I965" s="144">
        <v>1</v>
      </c>
      <c r="J965" s="145">
        <f t="shared" ref="J965:J1028" si="113">A965</f>
        <v>41805</v>
      </c>
      <c r="K965" s="144">
        <f t="shared" ref="K965:Q974" ca="1" si="114">OFFSET($A965,0,K$3)/OFFSET($A965,0,$P$3)</f>
        <v>0.89980789123688487</v>
      </c>
      <c r="L965" s="144">
        <f t="shared" ca="1" si="114"/>
        <v>0.58955223880597019</v>
      </c>
      <c r="M965" s="144">
        <f t="shared" ca="1" si="114"/>
        <v>102.02453081129009</v>
      </c>
      <c r="N965" s="144">
        <f t="shared" ca="1" si="114"/>
        <v>6.0037682872764897</v>
      </c>
      <c r="O965" s="144">
        <f t="shared" ca="1" si="114"/>
        <v>34.43194916506576</v>
      </c>
      <c r="P965" s="144">
        <f t="shared" ca="1" si="114"/>
        <v>1</v>
      </c>
      <c r="Q965" s="144">
        <f t="shared" ca="1" si="114"/>
        <v>0.73887985813506729</v>
      </c>
    </row>
    <row r="966" spans="1:17" x14ac:dyDescent="0.25">
      <c r="A966" s="145">
        <v>41804</v>
      </c>
      <c r="B966" s="144">
        <v>1.3533999999999999</v>
      </c>
      <c r="C966" s="144">
        <v>46.600200000000001</v>
      </c>
      <c r="D966" s="144">
        <v>8.1255000000000006</v>
      </c>
      <c r="E966" s="144">
        <v>138.08000000000001</v>
      </c>
      <c r="F966" s="144">
        <v>0.79790000000000005</v>
      </c>
      <c r="G966" s="144">
        <v>1.2178</v>
      </c>
      <c r="I966" s="144">
        <v>1</v>
      </c>
      <c r="J966" s="145">
        <f t="shared" si="113"/>
        <v>41804</v>
      </c>
      <c r="K966" s="144">
        <f t="shared" ca="1" si="114"/>
        <v>0.89980789123688487</v>
      </c>
      <c r="L966" s="144">
        <f t="shared" ca="1" si="114"/>
        <v>0.58955223880597019</v>
      </c>
      <c r="M966" s="144">
        <f t="shared" ca="1" si="114"/>
        <v>102.02453081129009</v>
      </c>
      <c r="N966" s="144">
        <f t="shared" ca="1" si="114"/>
        <v>6.0037682872764897</v>
      </c>
      <c r="O966" s="144">
        <f t="shared" ca="1" si="114"/>
        <v>34.43194916506576</v>
      </c>
      <c r="P966" s="144">
        <f t="shared" ca="1" si="114"/>
        <v>1</v>
      </c>
      <c r="Q966" s="144">
        <f t="shared" ca="1" si="114"/>
        <v>0.73887985813506729</v>
      </c>
    </row>
    <row r="967" spans="1:17" x14ac:dyDescent="0.25">
      <c r="A967" s="145">
        <v>41803</v>
      </c>
      <c r="B967" s="144">
        <v>1.3533999999999999</v>
      </c>
      <c r="C967" s="144">
        <v>46.600200000000001</v>
      </c>
      <c r="D967" s="144">
        <v>8.1255000000000006</v>
      </c>
      <c r="E967" s="144">
        <v>138.08000000000001</v>
      </c>
      <c r="F967" s="144">
        <v>0.79790000000000005</v>
      </c>
      <c r="G967" s="144">
        <v>1.2178</v>
      </c>
      <c r="I967" s="144">
        <v>1</v>
      </c>
      <c r="J967" s="145">
        <f t="shared" si="113"/>
        <v>41803</v>
      </c>
      <c r="K967" s="144">
        <f t="shared" ca="1" si="114"/>
        <v>0.89980789123688487</v>
      </c>
      <c r="L967" s="144">
        <f t="shared" ca="1" si="114"/>
        <v>0.58955223880597019</v>
      </c>
      <c r="M967" s="144">
        <f t="shared" ca="1" si="114"/>
        <v>102.02453081129009</v>
      </c>
      <c r="N967" s="144">
        <f t="shared" ca="1" si="114"/>
        <v>6.0037682872764897</v>
      </c>
      <c r="O967" s="144">
        <f t="shared" ca="1" si="114"/>
        <v>34.43194916506576</v>
      </c>
      <c r="P967" s="144">
        <f t="shared" ca="1" si="114"/>
        <v>1</v>
      </c>
      <c r="Q967" s="144">
        <f t="shared" ca="1" si="114"/>
        <v>0.73887985813506729</v>
      </c>
    </row>
    <row r="968" spans="1:17" x14ac:dyDescent="0.25">
      <c r="A968" s="145">
        <v>41802</v>
      </c>
      <c r="B968" s="144">
        <v>1.3528</v>
      </c>
      <c r="C968" s="144">
        <v>46.451999999999998</v>
      </c>
      <c r="D968" s="144">
        <v>8.1084999999999994</v>
      </c>
      <c r="E968" s="144">
        <v>138.12</v>
      </c>
      <c r="F968" s="144">
        <v>0.80389999999999995</v>
      </c>
      <c r="G968" s="144">
        <v>1.2174</v>
      </c>
      <c r="I968" s="144">
        <v>1</v>
      </c>
      <c r="J968" s="145">
        <f t="shared" si="113"/>
        <v>41802</v>
      </c>
      <c r="K968" s="144">
        <f t="shared" ca="1" si="114"/>
        <v>0.89991129509166179</v>
      </c>
      <c r="L968" s="144">
        <f t="shared" ca="1" si="114"/>
        <v>0.59424896510940273</v>
      </c>
      <c r="M968" s="144">
        <f t="shared" ca="1" si="114"/>
        <v>102.09934949733885</v>
      </c>
      <c r="N968" s="144">
        <f t="shared" ca="1" si="114"/>
        <v>5.9938645771732695</v>
      </c>
      <c r="O968" s="144">
        <f t="shared" ca="1" si="114"/>
        <v>34.337670017740983</v>
      </c>
      <c r="P968" s="144">
        <f t="shared" ca="1" si="114"/>
        <v>1</v>
      </c>
      <c r="Q968" s="144">
        <f t="shared" ca="1" si="114"/>
        <v>0.73920756948551158</v>
      </c>
    </row>
    <row r="969" spans="1:17" x14ac:dyDescent="0.25">
      <c r="A969" s="145">
        <v>41801</v>
      </c>
      <c r="B969" s="144">
        <v>1.3547</v>
      </c>
      <c r="C969" s="144">
        <v>46.586300000000001</v>
      </c>
      <c r="D969" s="144">
        <v>8.1084999999999994</v>
      </c>
      <c r="E969" s="144">
        <v>138.19</v>
      </c>
      <c r="F969" s="144">
        <v>0.80700000000000005</v>
      </c>
      <c r="G969" s="144">
        <v>1.2179</v>
      </c>
      <c r="I969" s="144">
        <v>1</v>
      </c>
      <c r="J969" s="145">
        <f t="shared" si="113"/>
        <v>41801</v>
      </c>
      <c r="K969" s="144">
        <f t="shared" ca="1" si="114"/>
        <v>0.89901823281907434</v>
      </c>
      <c r="L969" s="144">
        <f t="shared" ca="1" si="114"/>
        <v>0.5957038458699343</v>
      </c>
      <c r="M969" s="144">
        <f t="shared" ca="1" si="114"/>
        <v>102.00782461061489</v>
      </c>
      <c r="N969" s="144">
        <f t="shared" ca="1" si="114"/>
        <v>5.9854580349892963</v>
      </c>
      <c r="O969" s="144">
        <f t="shared" ca="1" si="114"/>
        <v>34.388646932900272</v>
      </c>
      <c r="P969" s="144">
        <f t="shared" ca="1" si="114"/>
        <v>1</v>
      </c>
      <c r="Q969" s="144">
        <f t="shared" ca="1" si="114"/>
        <v>0.73817081272606477</v>
      </c>
    </row>
    <row r="970" spans="1:17" x14ac:dyDescent="0.25">
      <c r="A970" s="145">
        <v>41800</v>
      </c>
      <c r="B970" s="144">
        <v>1.3547</v>
      </c>
      <c r="C970" s="144">
        <v>46.579799999999999</v>
      </c>
      <c r="D970" s="144">
        <v>8.0890000000000004</v>
      </c>
      <c r="E970" s="144">
        <v>138.63</v>
      </c>
      <c r="F970" s="144">
        <v>0.8075</v>
      </c>
      <c r="G970" s="144">
        <v>1.2188000000000001</v>
      </c>
      <c r="I970" s="144">
        <v>1</v>
      </c>
      <c r="J970" s="145">
        <f t="shared" si="113"/>
        <v>41800</v>
      </c>
      <c r="K970" s="144">
        <f t="shared" ca="1" si="114"/>
        <v>0.89968258655052791</v>
      </c>
      <c r="L970" s="144">
        <f t="shared" ca="1" si="114"/>
        <v>0.59607293127629735</v>
      </c>
      <c r="M970" s="144">
        <f t="shared" ca="1" si="114"/>
        <v>102.33261976821436</v>
      </c>
      <c r="N970" s="144">
        <f t="shared" ca="1" si="114"/>
        <v>5.9710637041411383</v>
      </c>
      <c r="O970" s="144">
        <f t="shared" ca="1" si="114"/>
        <v>34.383848822617551</v>
      </c>
      <c r="P970" s="144">
        <f t="shared" ca="1" si="114"/>
        <v>1</v>
      </c>
      <c r="Q970" s="144">
        <f t="shared" ca="1" si="114"/>
        <v>0.73817081272606477</v>
      </c>
    </row>
    <row r="971" spans="1:17" x14ac:dyDescent="0.25">
      <c r="A971" s="145">
        <v>41799</v>
      </c>
      <c r="B971" s="144">
        <v>1.3608</v>
      </c>
      <c r="C971" s="144">
        <v>46.668500000000002</v>
      </c>
      <c r="D971" s="144">
        <v>8.0997000000000003</v>
      </c>
      <c r="E971" s="144">
        <v>139.38999999999999</v>
      </c>
      <c r="F971" s="144">
        <v>0.80984999999999996</v>
      </c>
      <c r="G971" s="144">
        <v>1.2193000000000001</v>
      </c>
      <c r="I971" s="144">
        <v>1</v>
      </c>
      <c r="J971" s="145">
        <f t="shared" si="113"/>
        <v>41799</v>
      </c>
      <c r="K971" s="144">
        <f t="shared" ca="1" si="114"/>
        <v>0.89601704879482658</v>
      </c>
      <c r="L971" s="144">
        <f t="shared" ca="1" si="114"/>
        <v>0.59512786596119926</v>
      </c>
      <c r="M971" s="144">
        <f t="shared" ca="1" si="114"/>
        <v>102.43239271017048</v>
      </c>
      <c r="N971" s="144">
        <f t="shared" ca="1" si="114"/>
        <v>5.9521604938271606</v>
      </c>
      <c r="O971" s="144">
        <f t="shared" ca="1" si="114"/>
        <v>34.294900058788947</v>
      </c>
      <c r="P971" s="144">
        <f t="shared" ca="1" si="114"/>
        <v>1</v>
      </c>
      <c r="Q971" s="144">
        <f t="shared" ca="1" si="114"/>
        <v>0.73486184597295712</v>
      </c>
    </row>
    <row r="972" spans="1:17" x14ac:dyDescent="0.25">
      <c r="A972" s="145">
        <v>41798</v>
      </c>
      <c r="B972" s="144">
        <v>1.3642000000000001</v>
      </c>
      <c r="C972" s="144">
        <v>47.332999999999998</v>
      </c>
      <c r="D972" s="144">
        <v>8.1494999999999997</v>
      </c>
      <c r="E972" s="144">
        <v>139.71</v>
      </c>
      <c r="F972" s="144">
        <v>0.81079999999999997</v>
      </c>
      <c r="G972" s="144">
        <v>1.2184999999999999</v>
      </c>
      <c r="I972" s="144">
        <v>1</v>
      </c>
      <c r="J972" s="145">
        <f t="shared" si="113"/>
        <v>41798</v>
      </c>
      <c r="K972" s="144">
        <f t="shared" ca="1" si="114"/>
        <v>0.89319747837560459</v>
      </c>
      <c r="L972" s="144">
        <f t="shared" ca="1" si="114"/>
        <v>0.59434100571763659</v>
      </c>
      <c r="M972" s="144">
        <f t="shared" ca="1" si="114"/>
        <v>102.41166984313151</v>
      </c>
      <c r="N972" s="144">
        <f t="shared" ca="1" si="114"/>
        <v>5.9738308165958065</v>
      </c>
      <c r="O972" s="144">
        <f t="shared" ca="1" si="114"/>
        <v>34.696525436153053</v>
      </c>
      <c r="P972" s="144">
        <f t="shared" ca="1" si="114"/>
        <v>1</v>
      </c>
      <c r="Q972" s="144">
        <f t="shared" ca="1" si="114"/>
        <v>0.73303034745638462</v>
      </c>
    </row>
    <row r="973" spans="1:17" x14ac:dyDescent="0.25">
      <c r="A973" s="145">
        <v>41797</v>
      </c>
      <c r="B973" s="144">
        <v>1.3642000000000001</v>
      </c>
      <c r="C973" s="144">
        <v>47.332999999999998</v>
      </c>
      <c r="D973" s="144">
        <v>8.1494999999999997</v>
      </c>
      <c r="E973" s="144">
        <v>139.71</v>
      </c>
      <c r="F973" s="144">
        <v>0.81079999999999997</v>
      </c>
      <c r="G973" s="144">
        <v>1.2184999999999999</v>
      </c>
      <c r="I973" s="144">
        <v>1</v>
      </c>
      <c r="J973" s="145">
        <f t="shared" si="113"/>
        <v>41797</v>
      </c>
      <c r="K973" s="144">
        <f t="shared" ca="1" si="114"/>
        <v>0.89319747837560459</v>
      </c>
      <c r="L973" s="144">
        <f t="shared" ca="1" si="114"/>
        <v>0.59434100571763659</v>
      </c>
      <c r="M973" s="144">
        <f t="shared" ca="1" si="114"/>
        <v>102.41166984313151</v>
      </c>
      <c r="N973" s="144">
        <f t="shared" ca="1" si="114"/>
        <v>5.9738308165958065</v>
      </c>
      <c r="O973" s="144">
        <f t="shared" ca="1" si="114"/>
        <v>34.696525436153053</v>
      </c>
      <c r="P973" s="144">
        <f t="shared" ca="1" si="114"/>
        <v>1</v>
      </c>
      <c r="Q973" s="144">
        <f t="shared" ca="1" si="114"/>
        <v>0.73303034745638462</v>
      </c>
    </row>
    <row r="974" spans="1:17" x14ac:dyDescent="0.25">
      <c r="A974" s="145">
        <v>41796</v>
      </c>
      <c r="B974" s="144">
        <v>1.3642000000000001</v>
      </c>
      <c r="C974" s="144">
        <v>47.332999999999998</v>
      </c>
      <c r="D974" s="144">
        <v>8.1494999999999997</v>
      </c>
      <c r="E974" s="144">
        <v>139.71</v>
      </c>
      <c r="F974" s="144">
        <v>0.81079999999999997</v>
      </c>
      <c r="G974" s="144">
        <v>1.2184999999999999</v>
      </c>
      <c r="I974" s="144">
        <v>1</v>
      </c>
      <c r="J974" s="145">
        <f t="shared" si="113"/>
        <v>41796</v>
      </c>
      <c r="K974" s="144">
        <f t="shared" ca="1" si="114"/>
        <v>0.89319747837560459</v>
      </c>
      <c r="L974" s="144">
        <f t="shared" ca="1" si="114"/>
        <v>0.59434100571763659</v>
      </c>
      <c r="M974" s="144">
        <f t="shared" ca="1" si="114"/>
        <v>102.41166984313151</v>
      </c>
      <c r="N974" s="144">
        <f t="shared" ca="1" si="114"/>
        <v>5.9738308165958065</v>
      </c>
      <c r="O974" s="144">
        <f t="shared" ca="1" si="114"/>
        <v>34.696525436153053</v>
      </c>
      <c r="P974" s="144">
        <f t="shared" ca="1" si="114"/>
        <v>1</v>
      </c>
      <c r="Q974" s="144">
        <f t="shared" ca="1" si="114"/>
        <v>0.73303034745638462</v>
      </c>
    </row>
    <row r="975" spans="1:17" x14ac:dyDescent="0.25">
      <c r="A975" s="145">
        <v>41795</v>
      </c>
      <c r="B975" s="144">
        <v>1.3567</v>
      </c>
      <c r="C975" s="144">
        <v>47.240400000000001</v>
      </c>
      <c r="D975" s="144">
        <v>8.1359999999999992</v>
      </c>
      <c r="E975" s="144">
        <v>139.24</v>
      </c>
      <c r="F975" s="144">
        <v>0.81030000000000002</v>
      </c>
      <c r="G975" s="144">
        <v>1.22</v>
      </c>
      <c r="I975" s="144">
        <v>1</v>
      </c>
      <c r="J975" s="145">
        <f t="shared" si="113"/>
        <v>41795</v>
      </c>
      <c r="K975" s="144">
        <f t="shared" ref="K975:Q984" ca="1" si="115">OFFSET($A975,0,K$3)/OFFSET($A975,0,$P$3)</f>
        <v>0.89924080489422864</v>
      </c>
      <c r="L975" s="144">
        <f t="shared" ca="1" si="115"/>
        <v>0.5972580526276996</v>
      </c>
      <c r="M975" s="144">
        <f t="shared" ca="1" si="115"/>
        <v>102.63138497825607</v>
      </c>
      <c r="N975" s="144">
        <f t="shared" ca="1" si="115"/>
        <v>5.9969042529667567</v>
      </c>
      <c r="O975" s="144">
        <f t="shared" ca="1" si="115"/>
        <v>34.820078130758461</v>
      </c>
      <c r="P975" s="144">
        <f t="shared" ca="1" si="115"/>
        <v>1</v>
      </c>
      <c r="Q975" s="144">
        <f t="shared" ca="1" si="115"/>
        <v>0.7370826269624825</v>
      </c>
    </row>
    <row r="976" spans="1:17" x14ac:dyDescent="0.25">
      <c r="A976" s="145">
        <v>41794</v>
      </c>
      <c r="B976" s="144">
        <v>1.3627</v>
      </c>
      <c r="C976" s="144">
        <v>47.93</v>
      </c>
      <c r="D976" s="144">
        <v>8.1654999999999998</v>
      </c>
      <c r="E976" s="144">
        <v>139.78</v>
      </c>
      <c r="F976" s="144">
        <v>0.81299999999999994</v>
      </c>
      <c r="G976" s="144">
        <v>1.2203999999999999</v>
      </c>
      <c r="I976" s="144">
        <v>1</v>
      </c>
      <c r="J976" s="145">
        <f t="shared" si="113"/>
        <v>41794</v>
      </c>
      <c r="K976" s="144">
        <f t="shared" ca="1" si="115"/>
        <v>0.89557496147354509</v>
      </c>
      <c r="L976" s="144">
        <f t="shared" ca="1" si="115"/>
        <v>0.5966096719747559</v>
      </c>
      <c r="M976" s="144">
        <f t="shared" ca="1" si="115"/>
        <v>102.57576869450355</v>
      </c>
      <c r="N976" s="144">
        <f t="shared" ca="1" si="115"/>
        <v>5.9921479415865555</v>
      </c>
      <c r="O976" s="144">
        <f t="shared" ca="1" si="115"/>
        <v>35.172818668819254</v>
      </c>
      <c r="P976" s="144">
        <f t="shared" ca="1" si="115"/>
        <v>1</v>
      </c>
      <c r="Q976" s="144">
        <f t="shared" ca="1" si="115"/>
        <v>0.73383723490129893</v>
      </c>
    </row>
    <row r="977" spans="1:17" x14ac:dyDescent="0.25">
      <c r="A977" s="145">
        <v>41793</v>
      </c>
      <c r="B977" s="144">
        <v>1.3645</v>
      </c>
      <c r="C977" s="144">
        <v>47.810400000000001</v>
      </c>
      <c r="D977" s="144">
        <v>8.1814999999999998</v>
      </c>
      <c r="E977" s="144">
        <v>139.63999999999999</v>
      </c>
      <c r="F977" s="144">
        <v>0.81469999999999998</v>
      </c>
      <c r="G977" s="144">
        <v>1.2216</v>
      </c>
      <c r="I977" s="144">
        <v>1</v>
      </c>
      <c r="J977" s="145">
        <f t="shared" si="113"/>
        <v>41793</v>
      </c>
      <c r="K977" s="144">
        <f t="shared" ca="1" si="115"/>
        <v>0.89527299377061198</v>
      </c>
      <c r="L977" s="144">
        <f t="shared" ca="1" si="115"/>
        <v>0.5970685232685965</v>
      </c>
      <c r="M977" s="144">
        <f t="shared" ca="1" si="115"/>
        <v>102.33785269329424</v>
      </c>
      <c r="N977" s="144">
        <f t="shared" ca="1" si="115"/>
        <v>5.9959692194943202</v>
      </c>
      <c r="O977" s="144">
        <f t="shared" ca="1" si="115"/>
        <v>35.038768779772809</v>
      </c>
      <c r="P977" s="144">
        <f t="shared" ca="1" si="115"/>
        <v>1</v>
      </c>
      <c r="Q977" s="144">
        <f t="shared" ca="1" si="115"/>
        <v>0.73286918285086111</v>
      </c>
    </row>
    <row r="978" spans="1:17" x14ac:dyDescent="0.25">
      <c r="A978" s="145">
        <v>41792</v>
      </c>
      <c r="B978" s="144">
        <v>1.3611</v>
      </c>
      <c r="C978" s="144">
        <v>47.490499999999997</v>
      </c>
      <c r="D978" s="144">
        <v>8.1605000000000008</v>
      </c>
      <c r="E978" s="144">
        <v>138.94</v>
      </c>
      <c r="F978" s="144">
        <v>0.81289999999999996</v>
      </c>
      <c r="G978" s="144">
        <v>1.2214</v>
      </c>
      <c r="I978" s="144">
        <v>1</v>
      </c>
      <c r="J978" s="145">
        <f t="shared" si="113"/>
        <v>41792</v>
      </c>
      <c r="K978" s="144">
        <f t="shared" ca="1" si="115"/>
        <v>0.89736242744838735</v>
      </c>
      <c r="L978" s="144">
        <f t="shared" ca="1" si="115"/>
        <v>0.59723752846962008</v>
      </c>
      <c r="M978" s="144">
        <f t="shared" ca="1" si="115"/>
        <v>102.0792006465359</v>
      </c>
      <c r="N978" s="144">
        <f t="shared" ca="1" si="115"/>
        <v>5.9955183307618842</v>
      </c>
      <c r="O978" s="144">
        <f t="shared" ca="1" si="115"/>
        <v>34.891264418485051</v>
      </c>
      <c r="P978" s="144">
        <f t="shared" ca="1" si="115"/>
        <v>1</v>
      </c>
      <c r="Q978" s="144">
        <f t="shared" ca="1" si="115"/>
        <v>0.73469987510102119</v>
      </c>
    </row>
    <row r="979" spans="1:17" x14ac:dyDescent="0.25">
      <c r="A979" s="145">
        <v>41791</v>
      </c>
      <c r="B979" s="144">
        <v>1.3607</v>
      </c>
      <c r="C979" s="144">
        <v>47.309699999999999</v>
      </c>
      <c r="D979" s="144">
        <v>8.1425000000000001</v>
      </c>
      <c r="E979" s="144">
        <v>138.36000000000001</v>
      </c>
      <c r="F979" s="144">
        <v>0.81310000000000004</v>
      </c>
      <c r="G979" s="144">
        <v>1.2203999999999999</v>
      </c>
      <c r="I979" s="144">
        <v>1</v>
      </c>
      <c r="J979" s="145">
        <f t="shared" si="113"/>
        <v>41791</v>
      </c>
      <c r="K979" s="144">
        <f t="shared" ca="1" si="115"/>
        <v>0.89689130594546917</v>
      </c>
      <c r="L979" s="144">
        <f t="shared" ca="1" si="115"/>
        <v>0.59756007937091205</v>
      </c>
      <c r="M979" s="144">
        <f t="shared" ca="1" si="115"/>
        <v>101.682957301389</v>
      </c>
      <c r="N979" s="144">
        <f t="shared" ca="1" si="115"/>
        <v>5.9840523260086718</v>
      </c>
      <c r="O979" s="144">
        <f t="shared" ca="1" si="115"/>
        <v>34.768648489747925</v>
      </c>
      <c r="P979" s="144">
        <f t="shared" ca="1" si="115"/>
        <v>1</v>
      </c>
      <c r="Q979" s="144">
        <f t="shared" ca="1" si="115"/>
        <v>0.73491585213493049</v>
      </c>
    </row>
    <row r="980" spans="1:17" x14ac:dyDescent="0.25">
      <c r="A980" s="145">
        <v>41790</v>
      </c>
      <c r="B980" s="144">
        <v>1.3607</v>
      </c>
      <c r="C980" s="144">
        <v>47.309699999999999</v>
      </c>
      <c r="D980" s="144">
        <v>8.1425000000000001</v>
      </c>
      <c r="E980" s="144">
        <v>138.36000000000001</v>
      </c>
      <c r="F980" s="144">
        <v>0.81310000000000004</v>
      </c>
      <c r="G980" s="144">
        <v>1.2203999999999999</v>
      </c>
      <c r="I980" s="144">
        <v>1</v>
      </c>
      <c r="J980" s="145">
        <f t="shared" si="113"/>
        <v>41790</v>
      </c>
      <c r="K980" s="144">
        <f t="shared" ca="1" si="115"/>
        <v>0.89689130594546917</v>
      </c>
      <c r="L980" s="144">
        <f t="shared" ca="1" si="115"/>
        <v>0.59756007937091205</v>
      </c>
      <c r="M980" s="144">
        <f t="shared" ca="1" si="115"/>
        <v>101.682957301389</v>
      </c>
      <c r="N980" s="144">
        <f t="shared" ca="1" si="115"/>
        <v>5.9840523260086718</v>
      </c>
      <c r="O980" s="144">
        <f t="shared" ca="1" si="115"/>
        <v>34.768648489747925</v>
      </c>
      <c r="P980" s="144">
        <f t="shared" ca="1" si="115"/>
        <v>1</v>
      </c>
      <c r="Q980" s="144">
        <f t="shared" ca="1" si="115"/>
        <v>0.73491585213493049</v>
      </c>
    </row>
    <row r="981" spans="1:17" x14ac:dyDescent="0.25">
      <c r="A981" s="145">
        <v>41789</v>
      </c>
      <c r="B981" s="144">
        <v>1.3607</v>
      </c>
      <c r="C981" s="144">
        <v>47.309699999999999</v>
      </c>
      <c r="D981" s="144">
        <v>8.1425000000000001</v>
      </c>
      <c r="E981" s="144">
        <v>138.36000000000001</v>
      </c>
      <c r="F981" s="144">
        <v>0.81310000000000004</v>
      </c>
      <c r="G981" s="144">
        <v>1.2203999999999999</v>
      </c>
      <c r="I981" s="144">
        <v>1</v>
      </c>
      <c r="J981" s="145">
        <f t="shared" si="113"/>
        <v>41789</v>
      </c>
      <c r="K981" s="144">
        <f t="shared" ca="1" si="115"/>
        <v>0.89689130594546917</v>
      </c>
      <c r="L981" s="144">
        <f t="shared" ca="1" si="115"/>
        <v>0.59756007937091205</v>
      </c>
      <c r="M981" s="144">
        <f t="shared" ca="1" si="115"/>
        <v>101.682957301389</v>
      </c>
      <c r="N981" s="144">
        <f t="shared" ca="1" si="115"/>
        <v>5.9840523260086718</v>
      </c>
      <c r="O981" s="144">
        <f t="shared" ca="1" si="115"/>
        <v>34.768648489747925</v>
      </c>
      <c r="P981" s="144">
        <f t="shared" ca="1" si="115"/>
        <v>1</v>
      </c>
      <c r="Q981" s="144">
        <f t="shared" ca="1" si="115"/>
        <v>0.73491585213493049</v>
      </c>
    </row>
    <row r="982" spans="1:17" x14ac:dyDescent="0.25">
      <c r="A982" s="145">
        <v>41788</v>
      </c>
      <c r="B982" s="144">
        <v>1.3612</v>
      </c>
      <c r="C982" s="144">
        <v>47.205500000000001</v>
      </c>
      <c r="D982" s="144">
        <v>8.1105999999999998</v>
      </c>
      <c r="E982" s="144">
        <v>138.34</v>
      </c>
      <c r="F982" s="144">
        <v>0.8145</v>
      </c>
      <c r="G982" s="144">
        <v>1.2210000000000001</v>
      </c>
      <c r="I982" s="144">
        <v>1</v>
      </c>
      <c r="J982" s="145">
        <f t="shared" si="113"/>
        <v>41788</v>
      </c>
      <c r="K982" s="144">
        <f t="shared" ca="1" si="115"/>
        <v>0.89700264472524249</v>
      </c>
      <c r="L982" s="144">
        <f t="shared" ca="1" si="115"/>
        <v>0.59836908610049955</v>
      </c>
      <c r="M982" s="144">
        <f t="shared" ca="1" si="115"/>
        <v>101.63091389950044</v>
      </c>
      <c r="N982" s="144">
        <f t="shared" ca="1" si="115"/>
        <v>5.9584190420217453</v>
      </c>
      <c r="O982" s="144">
        <f t="shared" ca="1" si="115"/>
        <v>34.679327064354979</v>
      </c>
      <c r="P982" s="144">
        <f t="shared" ca="1" si="115"/>
        <v>1</v>
      </c>
      <c r="Q982" s="144">
        <f t="shared" ca="1" si="115"/>
        <v>0.73464590067587421</v>
      </c>
    </row>
    <row r="983" spans="1:17" x14ac:dyDescent="0.25">
      <c r="A983" s="145">
        <v>41787</v>
      </c>
      <c r="B983" s="144">
        <v>1.3608</v>
      </c>
      <c r="C983" s="144">
        <v>46.976399999999998</v>
      </c>
      <c r="D983" s="144">
        <v>8.1020000000000003</v>
      </c>
      <c r="E983" s="144">
        <v>138.72999999999999</v>
      </c>
      <c r="F983" s="144">
        <v>0.8125</v>
      </c>
      <c r="G983" s="144">
        <v>1.2224999999999999</v>
      </c>
      <c r="I983" s="144">
        <v>1</v>
      </c>
      <c r="J983" s="145">
        <f t="shared" si="113"/>
        <v>41787</v>
      </c>
      <c r="K983" s="144">
        <f t="shared" ca="1" si="115"/>
        <v>0.89836860670193996</v>
      </c>
      <c r="L983" s="144">
        <f t="shared" ca="1" si="115"/>
        <v>0.59707524985302762</v>
      </c>
      <c r="M983" s="144">
        <f t="shared" ca="1" si="115"/>
        <v>101.94738389182832</v>
      </c>
      <c r="N983" s="144">
        <f t="shared" ca="1" si="115"/>
        <v>5.9538506760728982</v>
      </c>
      <c r="O983" s="144">
        <f t="shared" ca="1" si="115"/>
        <v>34.521164021164019</v>
      </c>
      <c r="P983" s="144">
        <f t="shared" ca="1" si="115"/>
        <v>1</v>
      </c>
      <c r="Q983" s="144">
        <f t="shared" ca="1" si="115"/>
        <v>0.73486184597295712</v>
      </c>
    </row>
    <row r="984" spans="1:17" x14ac:dyDescent="0.25">
      <c r="A984" s="145">
        <v>41786</v>
      </c>
      <c r="B984" s="144">
        <v>1.3637999999999999</v>
      </c>
      <c r="C984" s="144">
        <v>46.944699999999997</v>
      </c>
      <c r="D984" s="144">
        <v>8.1184999999999992</v>
      </c>
      <c r="E984" s="144">
        <v>139.01</v>
      </c>
      <c r="F984" s="144">
        <v>0.81100000000000005</v>
      </c>
      <c r="G984" s="144">
        <v>1.2221</v>
      </c>
      <c r="I984" s="144">
        <v>1</v>
      </c>
      <c r="J984" s="145">
        <f t="shared" si="113"/>
        <v>41786</v>
      </c>
      <c r="K984" s="144">
        <f t="shared" ca="1" si="115"/>
        <v>0.8960991347704943</v>
      </c>
      <c r="L984" s="144">
        <f t="shared" ca="1" si="115"/>
        <v>0.5946619738964658</v>
      </c>
      <c r="M984" s="144">
        <f t="shared" ca="1" si="115"/>
        <v>101.92843525443614</v>
      </c>
      <c r="N984" s="144">
        <f t="shared" ca="1" si="115"/>
        <v>5.9528523243877398</v>
      </c>
      <c r="O984" s="144">
        <f t="shared" ca="1" si="115"/>
        <v>34.421982695409888</v>
      </c>
      <c r="P984" s="144">
        <f t="shared" ca="1" si="115"/>
        <v>1</v>
      </c>
      <c r="Q984" s="144">
        <f t="shared" ca="1" si="115"/>
        <v>0.7332453438920663</v>
      </c>
    </row>
    <row r="985" spans="1:17" x14ac:dyDescent="0.25">
      <c r="A985" s="145">
        <v>41785</v>
      </c>
      <c r="B985" s="144">
        <v>1.3634999999999999</v>
      </c>
      <c r="C985" s="144">
        <v>46.6175</v>
      </c>
      <c r="D985" s="144">
        <v>8.1244999999999994</v>
      </c>
      <c r="E985" s="144">
        <v>138.97</v>
      </c>
      <c r="F985" s="144">
        <v>0.80989999999999995</v>
      </c>
      <c r="G985" s="144">
        <v>1.2210000000000001</v>
      </c>
      <c r="I985" s="144">
        <v>1</v>
      </c>
      <c r="J985" s="145">
        <f t="shared" si="113"/>
        <v>41785</v>
      </c>
      <c r="K985" s="144">
        <f t="shared" ref="K985:Q994" ca="1" si="116">OFFSET($A985,0,K$3)/OFFSET($A985,0,$P$3)</f>
        <v>0.89548954895489563</v>
      </c>
      <c r="L985" s="144">
        <f t="shared" ca="1" si="116"/>
        <v>0.59398606527319397</v>
      </c>
      <c r="M985" s="144">
        <f t="shared" ca="1" si="116"/>
        <v>101.92152548588193</v>
      </c>
      <c r="N985" s="144">
        <f t="shared" ca="1" si="116"/>
        <v>5.9585625229189585</v>
      </c>
      <c r="O985" s="144">
        <f t="shared" ca="1" si="116"/>
        <v>34.189585625229192</v>
      </c>
      <c r="P985" s="144">
        <f t="shared" ca="1" si="116"/>
        <v>1</v>
      </c>
      <c r="Q985" s="144">
        <f t="shared" ca="1" si="116"/>
        <v>0.73340667400073345</v>
      </c>
    </row>
    <row r="986" spans="1:17" x14ac:dyDescent="0.25">
      <c r="A986" s="145">
        <v>41784</v>
      </c>
      <c r="B986" s="144">
        <v>1.363</v>
      </c>
      <c r="C986" s="144">
        <v>46.507899999999999</v>
      </c>
      <c r="D986" s="144">
        <v>8.1304999999999996</v>
      </c>
      <c r="E986" s="144">
        <v>138.91999999999999</v>
      </c>
      <c r="F986" s="144">
        <v>0.80935000000000001</v>
      </c>
      <c r="G986" s="144">
        <v>1.2210000000000001</v>
      </c>
      <c r="I986" s="144">
        <v>1</v>
      </c>
      <c r="J986" s="145">
        <f t="shared" si="113"/>
        <v>41784</v>
      </c>
      <c r="K986" s="144">
        <f t="shared" ca="1" si="116"/>
        <v>0.89581804842259727</v>
      </c>
      <c r="L986" s="144">
        <f t="shared" ca="1" si="116"/>
        <v>0.59380044020542921</v>
      </c>
      <c r="M986" s="144">
        <f t="shared" ca="1" si="116"/>
        <v>101.9222303741746</v>
      </c>
      <c r="N986" s="144">
        <f t="shared" ca="1" si="116"/>
        <v>5.9651504035216432</v>
      </c>
      <c r="O986" s="144">
        <f t="shared" ca="1" si="116"/>
        <v>34.121716801173882</v>
      </c>
      <c r="P986" s="144">
        <f t="shared" ca="1" si="116"/>
        <v>1</v>
      </c>
      <c r="Q986" s="144">
        <f t="shared" ca="1" si="116"/>
        <v>0.73367571533382248</v>
      </c>
    </row>
    <row r="987" spans="1:17" x14ac:dyDescent="0.25">
      <c r="A987" s="145">
        <v>41783</v>
      </c>
      <c r="B987" s="144">
        <v>1.363</v>
      </c>
      <c r="C987" s="144">
        <v>46.507899999999999</v>
      </c>
      <c r="D987" s="144">
        <v>8.1304999999999996</v>
      </c>
      <c r="E987" s="144">
        <v>138.91999999999999</v>
      </c>
      <c r="F987" s="144">
        <v>0.80935000000000001</v>
      </c>
      <c r="G987" s="144">
        <v>1.2210000000000001</v>
      </c>
      <c r="I987" s="144">
        <v>1</v>
      </c>
      <c r="J987" s="145">
        <f t="shared" si="113"/>
        <v>41783</v>
      </c>
      <c r="K987" s="144">
        <f t="shared" ca="1" si="116"/>
        <v>0.89581804842259727</v>
      </c>
      <c r="L987" s="144">
        <f t="shared" ca="1" si="116"/>
        <v>0.59380044020542921</v>
      </c>
      <c r="M987" s="144">
        <f t="shared" ca="1" si="116"/>
        <v>101.9222303741746</v>
      </c>
      <c r="N987" s="144">
        <f t="shared" ca="1" si="116"/>
        <v>5.9651504035216432</v>
      </c>
      <c r="O987" s="144">
        <f t="shared" ca="1" si="116"/>
        <v>34.121716801173882</v>
      </c>
      <c r="P987" s="144">
        <f t="shared" ca="1" si="116"/>
        <v>1</v>
      </c>
      <c r="Q987" s="144">
        <f t="shared" ca="1" si="116"/>
        <v>0.73367571533382248</v>
      </c>
    </row>
    <row r="988" spans="1:17" x14ac:dyDescent="0.25">
      <c r="A988" s="145">
        <v>41782</v>
      </c>
      <c r="B988" s="144">
        <v>1.363</v>
      </c>
      <c r="C988" s="144">
        <v>46.507899999999999</v>
      </c>
      <c r="D988" s="144">
        <v>8.1304999999999996</v>
      </c>
      <c r="E988" s="144">
        <v>138.91999999999999</v>
      </c>
      <c r="F988" s="144">
        <v>0.80935000000000001</v>
      </c>
      <c r="G988" s="144">
        <v>1.2210000000000001</v>
      </c>
      <c r="I988" s="144">
        <v>1</v>
      </c>
      <c r="J988" s="145">
        <f t="shared" si="113"/>
        <v>41782</v>
      </c>
      <c r="K988" s="144">
        <f t="shared" ca="1" si="116"/>
        <v>0.89581804842259727</v>
      </c>
      <c r="L988" s="144">
        <f t="shared" ca="1" si="116"/>
        <v>0.59380044020542921</v>
      </c>
      <c r="M988" s="144">
        <f t="shared" ca="1" si="116"/>
        <v>101.9222303741746</v>
      </c>
      <c r="N988" s="144">
        <f t="shared" ca="1" si="116"/>
        <v>5.9651504035216432</v>
      </c>
      <c r="O988" s="144">
        <f t="shared" ca="1" si="116"/>
        <v>34.121716801173882</v>
      </c>
      <c r="P988" s="144">
        <f t="shared" ca="1" si="116"/>
        <v>1</v>
      </c>
      <c r="Q988" s="144">
        <f t="shared" ca="1" si="116"/>
        <v>0.73367571533382248</v>
      </c>
    </row>
    <row r="989" spans="1:17" x14ac:dyDescent="0.25">
      <c r="A989" s="145">
        <v>41781</v>
      </c>
      <c r="B989" s="144">
        <v>1.3668</v>
      </c>
      <c r="C989" s="144">
        <v>46.873800000000003</v>
      </c>
      <c r="D989" s="144">
        <v>8.1199999999999992</v>
      </c>
      <c r="E989" s="144">
        <v>138.96</v>
      </c>
      <c r="F989" s="144">
        <v>0.81040000000000001</v>
      </c>
      <c r="G989" s="144">
        <v>1.2215</v>
      </c>
      <c r="I989" s="144">
        <v>1</v>
      </c>
      <c r="J989" s="145">
        <f t="shared" si="113"/>
        <v>41781</v>
      </c>
      <c r="K989" s="144">
        <f t="shared" ca="1" si="116"/>
        <v>0.89369329821480836</v>
      </c>
      <c r="L989" s="144">
        <f t="shared" ca="1" si="116"/>
        <v>0.59291776412057362</v>
      </c>
      <c r="M989" s="144">
        <f t="shared" ca="1" si="116"/>
        <v>101.66812993854259</v>
      </c>
      <c r="N989" s="144">
        <f t="shared" ca="1" si="116"/>
        <v>5.9408838162130522</v>
      </c>
      <c r="O989" s="144">
        <f t="shared" ca="1" si="116"/>
        <v>34.294556628621599</v>
      </c>
      <c r="P989" s="144">
        <f t="shared" ca="1" si="116"/>
        <v>1</v>
      </c>
      <c r="Q989" s="144">
        <f t="shared" ca="1" si="116"/>
        <v>0.73163593795727244</v>
      </c>
    </row>
    <row r="990" spans="1:17" x14ac:dyDescent="0.25">
      <c r="A990" s="145">
        <v>41780</v>
      </c>
      <c r="B990" s="144">
        <v>1.3675999999999999</v>
      </c>
      <c r="C990" s="144">
        <v>47.0732</v>
      </c>
      <c r="D990" s="144">
        <v>8.1389999999999993</v>
      </c>
      <c r="E990" s="144">
        <v>138.18</v>
      </c>
      <c r="F990" s="144">
        <v>0.80940000000000001</v>
      </c>
      <c r="G990" s="144">
        <v>1.2216</v>
      </c>
      <c r="I990" s="144">
        <v>1</v>
      </c>
      <c r="J990" s="145">
        <f t="shared" si="113"/>
        <v>41780</v>
      </c>
      <c r="K990" s="144">
        <f t="shared" ca="1" si="116"/>
        <v>0.89324363849078681</v>
      </c>
      <c r="L990" s="144">
        <f t="shared" ca="1" si="116"/>
        <v>0.59183971921614509</v>
      </c>
      <c r="M990" s="144">
        <f t="shared" ca="1" si="116"/>
        <v>101.03831529687044</v>
      </c>
      <c r="N990" s="144">
        <f t="shared" ca="1" si="116"/>
        <v>5.9513015501608653</v>
      </c>
      <c r="O990" s="144">
        <f t="shared" ca="1" si="116"/>
        <v>34.42029833284586</v>
      </c>
      <c r="P990" s="144">
        <f t="shared" ca="1" si="116"/>
        <v>1</v>
      </c>
      <c r="Q990" s="144">
        <f t="shared" ca="1" si="116"/>
        <v>0.73120795554255635</v>
      </c>
    </row>
    <row r="991" spans="1:17" x14ac:dyDescent="0.25">
      <c r="A991" s="145">
        <v>41779</v>
      </c>
      <c r="B991" s="144">
        <v>1.3702000000000001</v>
      </c>
      <c r="C991" s="144">
        <v>47.316600000000001</v>
      </c>
      <c r="D991" s="144">
        <v>8.1359999999999992</v>
      </c>
      <c r="E991" s="144">
        <v>138.88</v>
      </c>
      <c r="F991" s="144">
        <v>0.81399999999999995</v>
      </c>
      <c r="G991" s="144">
        <v>1.2222999999999999</v>
      </c>
      <c r="I991" s="144">
        <v>1</v>
      </c>
      <c r="J991" s="145">
        <f t="shared" si="113"/>
        <v>41779</v>
      </c>
      <c r="K991" s="144">
        <f t="shared" ca="1" si="116"/>
        <v>0.89205955334987586</v>
      </c>
      <c r="L991" s="144">
        <f t="shared" ca="1" si="116"/>
        <v>0.59407385783097355</v>
      </c>
      <c r="M991" s="144">
        <f t="shared" ca="1" si="116"/>
        <v>101.35746606334841</v>
      </c>
      <c r="N991" s="144">
        <f t="shared" ca="1" si="116"/>
        <v>5.937819296453072</v>
      </c>
      <c r="O991" s="144">
        <f t="shared" ca="1" si="116"/>
        <v>34.532622974748207</v>
      </c>
      <c r="P991" s="144">
        <f t="shared" ca="1" si="116"/>
        <v>1</v>
      </c>
      <c r="Q991" s="144">
        <f t="shared" ca="1" si="116"/>
        <v>0.72982046416581514</v>
      </c>
    </row>
    <row r="992" spans="1:17" x14ac:dyDescent="0.25">
      <c r="A992" s="145">
        <v>41778</v>
      </c>
      <c r="B992" s="144">
        <v>1.3714999999999999</v>
      </c>
      <c r="C992" s="144">
        <v>47.368200000000002</v>
      </c>
      <c r="D992" s="144">
        <v>8.1355000000000004</v>
      </c>
      <c r="E992" s="144">
        <v>138.79</v>
      </c>
      <c r="F992" s="144">
        <v>0.81459999999999999</v>
      </c>
      <c r="G992" s="144">
        <v>1.2228000000000001</v>
      </c>
      <c r="I992" s="144">
        <v>1</v>
      </c>
      <c r="J992" s="145">
        <f t="shared" si="113"/>
        <v>41778</v>
      </c>
      <c r="K992" s="144">
        <f t="shared" ca="1" si="116"/>
        <v>0.89157856361647847</v>
      </c>
      <c r="L992" s="144">
        <f t="shared" ca="1" si="116"/>
        <v>0.59394823186292378</v>
      </c>
      <c r="M992" s="144">
        <f t="shared" ca="1" si="116"/>
        <v>101.19577105359096</v>
      </c>
      <c r="N992" s="144">
        <f t="shared" ca="1" si="116"/>
        <v>5.9318264673714918</v>
      </c>
      <c r="O992" s="144">
        <f t="shared" ca="1" si="116"/>
        <v>34.537513671162962</v>
      </c>
      <c r="P992" s="144">
        <f t="shared" ca="1" si="116"/>
        <v>1</v>
      </c>
      <c r="Q992" s="144">
        <f t="shared" ca="1" si="116"/>
        <v>0.72912869121399926</v>
      </c>
    </row>
    <row r="993" spans="1:17" x14ac:dyDescent="0.25">
      <c r="A993" s="145">
        <v>41777</v>
      </c>
      <c r="B993" s="144">
        <v>1.3695999999999999</v>
      </c>
      <c r="C993" s="144">
        <v>47.692</v>
      </c>
      <c r="D993" s="144">
        <v>8.1504999999999992</v>
      </c>
      <c r="E993" s="144">
        <v>138.94999999999999</v>
      </c>
      <c r="F993" s="144">
        <v>0.81479999999999997</v>
      </c>
      <c r="G993" s="144">
        <v>1.2210000000000001</v>
      </c>
      <c r="I993" s="144">
        <v>1</v>
      </c>
      <c r="J993" s="145">
        <f t="shared" si="113"/>
        <v>41777</v>
      </c>
      <c r="K993" s="144">
        <f t="shared" ca="1" si="116"/>
        <v>0.89150116822429915</v>
      </c>
      <c r="L993" s="144">
        <f t="shared" ca="1" si="116"/>
        <v>0.59491822429906538</v>
      </c>
      <c r="M993" s="144">
        <f t="shared" ca="1" si="116"/>
        <v>101.45297897196261</v>
      </c>
      <c r="N993" s="144">
        <f t="shared" ca="1" si="116"/>
        <v>5.9510075934579438</v>
      </c>
      <c r="O993" s="144">
        <f t="shared" ca="1" si="116"/>
        <v>34.821845794392523</v>
      </c>
      <c r="P993" s="144">
        <f t="shared" ca="1" si="116"/>
        <v>1</v>
      </c>
      <c r="Q993" s="144">
        <f t="shared" ca="1" si="116"/>
        <v>0.73014018691588789</v>
      </c>
    </row>
    <row r="994" spans="1:17" x14ac:dyDescent="0.25">
      <c r="A994" s="145">
        <v>41776</v>
      </c>
      <c r="B994" s="144">
        <v>1.3695999999999999</v>
      </c>
      <c r="C994" s="144">
        <v>47.692</v>
      </c>
      <c r="D994" s="144">
        <v>8.1504999999999992</v>
      </c>
      <c r="E994" s="144">
        <v>138.94999999999999</v>
      </c>
      <c r="F994" s="144">
        <v>0.81479999999999997</v>
      </c>
      <c r="G994" s="144">
        <v>1.2210000000000001</v>
      </c>
      <c r="I994" s="144">
        <v>1</v>
      </c>
      <c r="J994" s="145">
        <f t="shared" si="113"/>
        <v>41776</v>
      </c>
      <c r="K994" s="144">
        <f t="shared" ca="1" si="116"/>
        <v>0.89150116822429915</v>
      </c>
      <c r="L994" s="144">
        <f t="shared" ca="1" si="116"/>
        <v>0.59491822429906538</v>
      </c>
      <c r="M994" s="144">
        <f t="shared" ca="1" si="116"/>
        <v>101.45297897196261</v>
      </c>
      <c r="N994" s="144">
        <f t="shared" ca="1" si="116"/>
        <v>5.9510075934579438</v>
      </c>
      <c r="O994" s="144">
        <f t="shared" ca="1" si="116"/>
        <v>34.821845794392523</v>
      </c>
      <c r="P994" s="144">
        <f t="shared" ca="1" si="116"/>
        <v>1</v>
      </c>
      <c r="Q994" s="144">
        <f t="shared" ca="1" si="116"/>
        <v>0.73014018691588789</v>
      </c>
    </row>
    <row r="995" spans="1:17" x14ac:dyDescent="0.25">
      <c r="A995" s="145">
        <v>41775</v>
      </c>
      <c r="B995" s="144">
        <v>1.3695999999999999</v>
      </c>
      <c r="C995" s="144">
        <v>47.692</v>
      </c>
      <c r="D995" s="144">
        <v>8.1504999999999992</v>
      </c>
      <c r="E995" s="144">
        <v>138.94999999999999</v>
      </c>
      <c r="F995" s="144">
        <v>0.81479999999999997</v>
      </c>
      <c r="G995" s="144">
        <v>1.2210000000000001</v>
      </c>
      <c r="I995" s="144">
        <v>1</v>
      </c>
      <c r="J995" s="145">
        <f t="shared" si="113"/>
        <v>41775</v>
      </c>
      <c r="K995" s="144">
        <f t="shared" ref="K995:Q1004" ca="1" si="117">OFFSET($A995,0,K$3)/OFFSET($A995,0,$P$3)</f>
        <v>0.89150116822429915</v>
      </c>
      <c r="L995" s="144">
        <f t="shared" ca="1" si="117"/>
        <v>0.59491822429906538</v>
      </c>
      <c r="M995" s="144">
        <f t="shared" ca="1" si="117"/>
        <v>101.45297897196261</v>
      </c>
      <c r="N995" s="144">
        <f t="shared" ca="1" si="117"/>
        <v>5.9510075934579438</v>
      </c>
      <c r="O995" s="144">
        <f t="shared" ca="1" si="117"/>
        <v>34.821845794392523</v>
      </c>
      <c r="P995" s="144">
        <f t="shared" ca="1" si="117"/>
        <v>1</v>
      </c>
      <c r="Q995" s="144">
        <f t="shared" ca="1" si="117"/>
        <v>0.73014018691588789</v>
      </c>
    </row>
    <row r="996" spans="1:17" x14ac:dyDescent="0.25">
      <c r="A996" s="145">
        <v>41774</v>
      </c>
      <c r="B996" s="144">
        <v>1.3658999999999999</v>
      </c>
      <c r="C996" s="144">
        <v>47.445</v>
      </c>
      <c r="D996" s="144">
        <v>8.1050000000000004</v>
      </c>
      <c r="E996" s="144">
        <v>139.16999999999999</v>
      </c>
      <c r="F996" s="144">
        <v>0.81520000000000004</v>
      </c>
      <c r="G996" s="144">
        <v>1.2226999999999999</v>
      </c>
      <c r="I996" s="144">
        <v>1</v>
      </c>
      <c r="J996" s="145">
        <f t="shared" si="113"/>
        <v>41774</v>
      </c>
      <c r="K996" s="144">
        <f t="shared" ca="1" si="117"/>
        <v>0.89516069990482461</v>
      </c>
      <c r="L996" s="144">
        <f t="shared" ca="1" si="117"/>
        <v>0.59682260780437812</v>
      </c>
      <c r="M996" s="144">
        <f t="shared" ca="1" si="117"/>
        <v>101.88886448495498</v>
      </c>
      <c r="N996" s="144">
        <f t="shared" ca="1" si="117"/>
        <v>5.9338165312248341</v>
      </c>
      <c r="O996" s="144">
        <f t="shared" ca="1" si="117"/>
        <v>34.735339336701081</v>
      </c>
      <c r="P996" s="144">
        <f t="shared" ca="1" si="117"/>
        <v>1</v>
      </c>
      <c r="Q996" s="144">
        <f t="shared" ca="1" si="117"/>
        <v>0.73211801742440885</v>
      </c>
    </row>
    <row r="997" spans="1:17" x14ac:dyDescent="0.25">
      <c r="A997" s="145">
        <v>41773</v>
      </c>
      <c r="B997" s="144">
        <v>1.3718999999999999</v>
      </c>
      <c r="C997" s="144">
        <v>47.66</v>
      </c>
      <c r="D997" s="144">
        <v>8.1165000000000003</v>
      </c>
      <c r="E997" s="144">
        <v>139.65</v>
      </c>
      <c r="F997" s="144">
        <v>0.81769999999999998</v>
      </c>
      <c r="G997" s="144">
        <v>1.2199</v>
      </c>
      <c r="I997" s="144">
        <v>1</v>
      </c>
      <c r="J997" s="145">
        <f t="shared" si="113"/>
        <v>41773</v>
      </c>
      <c r="K997" s="144">
        <f t="shared" ca="1" si="117"/>
        <v>0.88920475253298348</v>
      </c>
      <c r="L997" s="144">
        <f t="shared" ca="1" si="117"/>
        <v>0.59603469640644369</v>
      </c>
      <c r="M997" s="144">
        <f t="shared" ca="1" si="117"/>
        <v>101.79313361032146</v>
      </c>
      <c r="N997" s="144">
        <f t="shared" ca="1" si="117"/>
        <v>5.9162475399081575</v>
      </c>
      <c r="O997" s="144">
        <f t="shared" ca="1" si="117"/>
        <v>34.740141409723741</v>
      </c>
      <c r="P997" s="144">
        <f t="shared" ca="1" si="117"/>
        <v>1</v>
      </c>
      <c r="Q997" s="144">
        <f t="shared" ca="1" si="117"/>
        <v>0.72891610175668786</v>
      </c>
    </row>
    <row r="998" spans="1:17" x14ac:dyDescent="0.25">
      <c r="A998" s="145">
        <v>41772</v>
      </c>
      <c r="B998" s="144">
        <v>1.3703000000000001</v>
      </c>
      <c r="C998" s="144">
        <v>47.817399999999999</v>
      </c>
      <c r="D998" s="144">
        <v>8.1300000000000008</v>
      </c>
      <c r="E998" s="144">
        <v>140.25</v>
      </c>
      <c r="F998" s="144">
        <v>0.81394999999999995</v>
      </c>
      <c r="G998" s="144">
        <v>1.2201</v>
      </c>
      <c r="I998" s="144">
        <v>1</v>
      </c>
      <c r="J998" s="145">
        <f t="shared" si="113"/>
        <v>41772</v>
      </c>
      <c r="K998" s="144">
        <f t="shared" ca="1" si="117"/>
        <v>0.89038896591987149</v>
      </c>
      <c r="L998" s="144">
        <f t="shared" ca="1" si="117"/>
        <v>0.59399401590892498</v>
      </c>
      <c r="M998" s="144">
        <f t="shared" ca="1" si="117"/>
        <v>102.34985039772312</v>
      </c>
      <c r="N998" s="144">
        <f t="shared" ca="1" si="117"/>
        <v>5.9330073706487632</v>
      </c>
      <c r="O998" s="144">
        <f t="shared" ca="1" si="117"/>
        <v>34.895570313070131</v>
      </c>
      <c r="P998" s="144">
        <f t="shared" ca="1" si="117"/>
        <v>1</v>
      </c>
      <c r="Q998" s="144">
        <f t="shared" ca="1" si="117"/>
        <v>0.72976720426184039</v>
      </c>
    </row>
    <row r="999" spans="1:17" x14ac:dyDescent="0.25">
      <c r="A999" s="145">
        <v>41771</v>
      </c>
      <c r="B999" s="144">
        <v>1.3765000000000001</v>
      </c>
      <c r="C999" s="144">
        <v>48.386000000000003</v>
      </c>
      <c r="D999" s="144">
        <v>8.1395</v>
      </c>
      <c r="E999" s="144">
        <v>140.31</v>
      </c>
      <c r="F999" s="144">
        <v>0.81515000000000004</v>
      </c>
      <c r="G999" s="144">
        <v>1.2211000000000001</v>
      </c>
      <c r="I999" s="144">
        <v>1</v>
      </c>
      <c r="J999" s="145">
        <f t="shared" si="113"/>
        <v>41771</v>
      </c>
      <c r="K999" s="144">
        <f t="shared" ca="1" si="117"/>
        <v>0.88710497638939345</v>
      </c>
      <c r="L999" s="144">
        <f t="shared" ca="1" si="117"/>
        <v>0.59219033781329455</v>
      </c>
      <c r="M999" s="144">
        <f t="shared" ca="1" si="117"/>
        <v>101.93243734108245</v>
      </c>
      <c r="N999" s="144">
        <f t="shared" ca="1" si="117"/>
        <v>5.9131856156919724</v>
      </c>
      <c r="O999" s="144">
        <f t="shared" ca="1" si="117"/>
        <v>35.151471122411913</v>
      </c>
      <c r="P999" s="144">
        <f t="shared" ca="1" si="117"/>
        <v>1</v>
      </c>
      <c r="Q999" s="144">
        <f t="shared" ca="1" si="117"/>
        <v>0.72648020341445696</v>
      </c>
    </row>
    <row r="1000" spans="1:17" x14ac:dyDescent="0.25">
      <c r="A1000" s="145">
        <v>41770</v>
      </c>
      <c r="B1000" s="144">
        <v>1.3781000000000001</v>
      </c>
      <c r="C1000" s="144">
        <v>48.527000000000001</v>
      </c>
      <c r="D1000" s="144">
        <v>8.1370000000000005</v>
      </c>
      <c r="E1000" s="144">
        <v>140.13999999999999</v>
      </c>
      <c r="F1000" s="144">
        <v>0.81725000000000003</v>
      </c>
      <c r="G1000" s="144">
        <v>1.2185999999999999</v>
      </c>
      <c r="I1000" s="144">
        <v>1</v>
      </c>
      <c r="J1000" s="145">
        <f t="shared" si="113"/>
        <v>41770</v>
      </c>
      <c r="K1000" s="144">
        <f t="shared" ca="1" si="117"/>
        <v>0.88426093897394953</v>
      </c>
      <c r="L1000" s="144">
        <f t="shared" ca="1" si="117"/>
        <v>0.5930266308685872</v>
      </c>
      <c r="M1000" s="144">
        <f t="shared" ca="1" si="117"/>
        <v>101.69073361875044</v>
      </c>
      <c r="N1000" s="144">
        <f t="shared" ca="1" si="117"/>
        <v>5.9045062041941803</v>
      </c>
      <c r="O1000" s="144">
        <f t="shared" ca="1" si="117"/>
        <v>35.212974385022854</v>
      </c>
      <c r="P1000" s="144">
        <f t="shared" ca="1" si="117"/>
        <v>1</v>
      </c>
      <c r="Q1000" s="144">
        <f t="shared" ca="1" si="117"/>
        <v>0.72563674624482977</v>
      </c>
    </row>
    <row r="1001" spans="1:17" x14ac:dyDescent="0.25">
      <c r="A1001" s="145">
        <v>41769</v>
      </c>
      <c r="B1001" s="144">
        <v>1.3781000000000001</v>
      </c>
      <c r="C1001" s="144">
        <v>48.527000000000001</v>
      </c>
      <c r="D1001" s="144">
        <v>8.1370000000000005</v>
      </c>
      <c r="E1001" s="144">
        <v>140.13999999999999</v>
      </c>
      <c r="F1001" s="144">
        <v>0.81725000000000003</v>
      </c>
      <c r="G1001" s="144">
        <v>1.2185999999999999</v>
      </c>
      <c r="I1001" s="144">
        <v>1</v>
      </c>
      <c r="J1001" s="145">
        <f t="shared" si="113"/>
        <v>41769</v>
      </c>
      <c r="K1001" s="144">
        <f t="shared" ca="1" si="117"/>
        <v>0.88426093897394953</v>
      </c>
      <c r="L1001" s="144">
        <f t="shared" ca="1" si="117"/>
        <v>0.5930266308685872</v>
      </c>
      <c r="M1001" s="144">
        <f t="shared" ca="1" si="117"/>
        <v>101.69073361875044</v>
      </c>
      <c r="N1001" s="144">
        <f t="shared" ca="1" si="117"/>
        <v>5.9045062041941803</v>
      </c>
      <c r="O1001" s="144">
        <f t="shared" ca="1" si="117"/>
        <v>35.212974385022854</v>
      </c>
      <c r="P1001" s="144">
        <f t="shared" ca="1" si="117"/>
        <v>1</v>
      </c>
      <c r="Q1001" s="144">
        <f t="shared" ca="1" si="117"/>
        <v>0.72563674624482977</v>
      </c>
    </row>
    <row r="1002" spans="1:17" x14ac:dyDescent="0.25">
      <c r="A1002" s="145">
        <v>41768</v>
      </c>
      <c r="B1002" s="144">
        <v>1.3781000000000001</v>
      </c>
      <c r="C1002" s="144">
        <v>48.527000000000001</v>
      </c>
      <c r="D1002" s="144">
        <v>8.1370000000000005</v>
      </c>
      <c r="E1002" s="144">
        <v>140.13999999999999</v>
      </c>
      <c r="F1002" s="144">
        <v>0.81725000000000003</v>
      </c>
      <c r="G1002" s="144">
        <v>1.2185999999999999</v>
      </c>
      <c r="I1002" s="144">
        <v>1</v>
      </c>
      <c r="J1002" s="145">
        <f t="shared" si="113"/>
        <v>41768</v>
      </c>
      <c r="K1002" s="144">
        <f t="shared" ca="1" si="117"/>
        <v>0.88426093897394953</v>
      </c>
      <c r="L1002" s="144">
        <f t="shared" ca="1" si="117"/>
        <v>0.5930266308685872</v>
      </c>
      <c r="M1002" s="144">
        <f t="shared" ca="1" si="117"/>
        <v>101.69073361875044</v>
      </c>
      <c r="N1002" s="144">
        <f t="shared" ca="1" si="117"/>
        <v>5.9045062041941803</v>
      </c>
      <c r="O1002" s="144">
        <f t="shared" ca="1" si="117"/>
        <v>35.212974385022854</v>
      </c>
      <c r="P1002" s="144">
        <f t="shared" ca="1" si="117"/>
        <v>1</v>
      </c>
      <c r="Q1002" s="144">
        <f t="shared" ca="1" si="117"/>
        <v>0.72563674624482977</v>
      </c>
    </row>
    <row r="1003" spans="1:17" x14ac:dyDescent="0.25">
      <c r="A1003" s="145">
        <v>41767</v>
      </c>
      <c r="B1003" s="144">
        <v>1.3953</v>
      </c>
      <c r="C1003" s="144">
        <v>48.954999999999998</v>
      </c>
      <c r="D1003" s="144">
        <v>8.1780000000000008</v>
      </c>
      <c r="E1003" s="144">
        <v>141.94999999999999</v>
      </c>
      <c r="F1003" s="144">
        <v>0.82330000000000003</v>
      </c>
      <c r="G1003" s="144">
        <v>1.2178</v>
      </c>
      <c r="I1003" s="144">
        <v>1</v>
      </c>
      <c r="J1003" s="145">
        <f t="shared" si="113"/>
        <v>41767</v>
      </c>
      <c r="K1003" s="144">
        <f t="shared" ca="1" si="117"/>
        <v>0.87278721421916439</v>
      </c>
      <c r="L1003" s="144">
        <f t="shared" ca="1" si="117"/>
        <v>0.59005231849781414</v>
      </c>
      <c r="M1003" s="144">
        <f t="shared" ca="1" si="117"/>
        <v>101.73439403712463</v>
      </c>
      <c r="N1003" s="144">
        <f t="shared" ca="1" si="117"/>
        <v>5.8611051386798545</v>
      </c>
      <c r="O1003" s="144">
        <f t="shared" ca="1" si="117"/>
        <v>35.08564466422991</v>
      </c>
      <c r="P1003" s="144">
        <f t="shared" ca="1" si="117"/>
        <v>1</v>
      </c>
      <c r="Q1003" s="144">
        <f t="shared" ca="1" si="117"/>
        <v>0.71669175087794745</v>
      </c>
    </row>
    <row r="1004" spans="1:17" x14ac:dyDescent="0.25">
      <c r="A1004" s="145">
        <v>41766</v>
      </c>
      <c r="B1004" s="144">
        <v>1.3927</v>
      </c>
      <c r="C1004" s="144">
        <v>49.186</v>
      </c>
      <c r="D1004" s="144">
        <v>8.2234999999999996</v>
      </c>
      <c r="E1004" s="144">
        <v>141.68</v>
      </c>
      <c r="F1004" s="144">
        <v>0.82069999999999999</v>
      </c>
      <c r="G1004" s="144">
        <v>1.2185999999999999</v>
      </c>
      <c r="I1004" s="144">
        <v>1</v>
      </c>
      <c r="J1004" s="145">
        <f t="shared" si="113"/>
        <v>41766</v>
      </c>
      <c r="K1004" s="144">
        <f t="shared" ca="1" si="117"/>
        <v>0.87499102462841949</v>
      </c>
      <c r="L1004" s="144">
        <f t="shared" ca="1" si="117"/>
        <v>0.58928699648165428</v>
      </c>
      <c r="M1004" s="144">
        <f t="shared" ca="1" si="117"/>
        <v>101.73045164069792</v>
      </c>
      <c r="N1004" s="144">
        <f t="shared" ca="1" si="117"/>
        <v>5.9047174553026487</v>
      </c>
      <c r="O1004" s="144">
        <f t="shared" ca="1" si="117"/>
        <v>35.317010124219138</v>
      </c>
      <c r="P1004" s="144">
        <f t="shared" ca="1" si="117"/>
        <v>1</v>
      </c>
      <c r="Q1004" s="144">
        <f t="shared" ca="1" si="117"/>
        <v>0.7180297264306742</v>
      </c>
    </row>
    <row r="1005" spans="1:17" x14ac:dyDescent="0.25">
      <c r="A1005" s="145">
        <v>41765</v>
      </c>
      <c r="B1005" s="144">
        <v>1.3945000000000001</v>
      </c>
      <c r="C1005" s="144">
        <v>49.423000000000002</v>
      </c>
      <c r="D1005" s="144">
        <v>8.2420000000000009</v>
      </c>
      <c r="E1005" s="144">
        <v>141.88999999999999</v>
      </c>
      <c r="F1005" s="144">
        <v>0.82115000000000005</v>
      </c>
      <c r="G1005" s="144">
        <v>1.2169000000000001</v>
      </c>
      <c r="I1005" s="144">
        <v>1</v>
      </c>
      <c r="J1005" s="145">
        <f t="shared" si="113"/>
        <v>41765</v>
      </c>
      <c r="K1005" s="144">
        <f t="shared" ref="K1005:Q1014" ca="1" si="118">OFFSET($A1005,0,K$3)/OFFSET($A1005,0,$P$3)</f>
        <v>0.87264252420222299</v>
      </c>
      <c r="L1005" s="144">
        <f t="shared" ca="1" si="118"/>
        <v>0.58884904983865183</v>
      </c>
      <c r="M1005" s="144">
        <f t="shared" ca="1" si="118"/>
        <v>101.74973108641089</v>
      </c>
      <c r="N1005" s="144">
        <f t="shared" ca="1" si="118"/>
        <v>5.910362136966655</v>
      </c>
      <c r="O1005" s="144">
        <f t="shared" ca="1" si="118"/>
        <v>35.441376837576193</v>
      </c>
      <c r="P1005" s="144">
        <f t="shared" ca="1" si="118"/>
        <v>1</v>
      </c>
      <c r="Q1005" s="144">
        <f t="shared" ca="1" si="118"/>
        <v>0.71710290426676226</v>
      </c>
    </row>
    <row r="1006" spans="1:17" x14ac:dyDescent="0.25">
      <c r="A1006" s="145">
        <v>41764</v>
      </c>
      <c r="B1006" s="144">
        <v>1.3874</v>
      </c>
      <c r="C1006" s="144">
        <v>49.711500000000001</v>
      </c>
      <c r="D1006" s="144">
        <v>8.2605000000000004</v>
      </c>
      <c r="E1006" s="144">
        <v>141.44</v>
      </c>
      <c r="F1006" s="144">
        <v>0.82293000000000005</v>
      </c>
      <c r="G1006" s="144">
        <v>1.2174</v>
      </c>
      <c r="I1006" s="144">
        <v>1</v>
      </c>
      <c r="J1006" s="145">
        <f t="shared" si="113"/>
        <v>41764</v>
      </c>
      <c r="K1006" s="144">
        <f t="shared" ca="1" si="118"/>
        <v>0.87746864638892896</v>
      </c>
      <c r="L1006" s="144">
        <f t="shared" ca="1" si="118"/>
        <v>0.59314545192446311</v>
      </c>
      <c r="M1006" s="144">
        <f t="shared" ca="1" si="118"/>
        <v>101.94608620441113</v>
      </c>
      <c r="N1006" s="144">
        <f t="shared" ca="1" si="118"/>
        <v>5.9539426264956035</v>
      </c>
      <c r="O1006" s="144">
        <f t="shared" ca="1" si="118"/>
        <v>35.830690500216235</v>
      </c>
      <c r="P1006" s="144">
        <f t="shared" ca="1" si="118"/>
        <v>1</v>
      </c>
      <c r="Q1006" s="144">
        <f t="shared" ca="1" si="118"/>
        <v>0.72077266830041808</v>
      </c>
    </row>
    <row r="1007" spans="1:17" x14ac:dyDescent="0.25">
      <c r="A1007" s="145">
        <v>41763</v>
      </c>
      <c r="B1007" s="144">
        <v>1.3862000000000001</v>
      </c>
      <c r="C1007" s="144">
        <v>49.65</v>
      </c>
      <c r="D1007" s="144">
        <v>8.2355</v>
      </c>
      <c r="E1007" s="144">
        <v>142.06</v>
      </c>
      <c r="F1007" s="144">
        <v>0.82140000000000002</v>
      </c>
      <c r="G1007" s="144">
        <v>1.2189000000000001</v>
      </c>
      <c r="I1007" s="144">
        <v>1</v>
      </c>
      <c r="J1007" s="145">
        <f t="shared" si="113"/>
        <v>41763</v>
      </c>
      <c r="K1007" s="144">
        <f t="shared" ca="1" si="118"/>
        <v>0.87931034482758619</v>
      </c>
      <c r="L1007" s="144">
        <f t="shared" ca="1" si="118"/>
        <v>0.59255518684172559</v>
      </c>
      <c r="M1007" s="144">
        <f t="shared" ca="1" si="118"/>
        <v>102.48160438609146</v>
      </c>
      <c r="N1007" s="144">
        <f t="shared" ca="1" si="118"/>
        <v>5.9410618958303267</v>
      </c>
      <c r="O1007" s="144">
        <f t="shared" ca="1" si="118"/>
        <v>35.817342374837679</v>
      </c>
      <c r="P1007" s="144">
        <f t="shared" ca="1" si="118"/>
        <v>1</v>
      </c>
      <c r="Q1007" s="144">
        <f t="shared" ca="1" si="118"/>
        <v>0.72139662386380021</v>
      </c>
    </row>
    <row r="1008" spans="1:17" x14ac:dyDescent="0.25">
      <c r="A1008" s="145">
        <v>41762</v>
      </c>
      <c r="B1008" s="144">
        <v>1.3862000000000001</v>
      </c>
      <c r="C1008" s="144">
        <v>49.65</v>
      </c>
      <c r="D1008" s="144">
        <v>8.2355</v>
      </c>
      <c r="E1008" s="144">
        <v>142.06</v>
      </c>
      <c r="F1008" s="144">
        <v>0.82140000000000002</v>
      </c>
      <c r="G1008" s="144">
        <v>1.2189000000000001</v>
      </c>
      <c r="I1008" s="144">
        <v>1</v>
      </c>
      <c r="J1008" s="145">
        <f t="shared" si="113"/>
        <v>41762</v>
      </c>
      <c r="K1008" s="144">
        <f t="shared" ca="1" si="118"/>
        <v>0.87931034482758619</v>
      </c>
      <c r="L1008" s="144">
        <f t="shared" ca="1" si="118"/>
        <v>0.59255518684172559</v>
      </c>
      <c r="M1008" s="144">
        <f t="shared" ca="1" si="118"/>
        <v>102.48160438609146</v>
      </c>
      <c r="N1008" s="144">
        <f t="shared" ca="1" si="118"/>
        <v>5.9410618958303267</v>
      </c>
      <c r="O1008" s="144">
        <f t="shared" ca="1" si="118"/>
        <v>35.817342374837679</v>
      </c>
      <c r="P1008" s="144">
        <f t="shared" ca="1" si="118"/>
        <v>1</v>
      </c>
      <c r="Q1008" s="144">
        <f t="shared" ca="1" si="118"/>
        <v>0.72139662386380021</v>
      </c>
    </row>
    <row r="1009" spans="1:17" x14ac:dyDescent="0.25">
      <c r="A1009" s="145">
        <v>41761</v>
      </c>
      <c r="B1009" s="144">
        <v>1.3862000000000001</v>
      </c>
      <c r="C1009" s="144">
        <v>49.65</v>
      </c>
      <c r="D1009" s="144">
        <v>8.2355</v>
      </c>
      <c r="E1009" s="144">
        <v>142.06</v>
      </c>
      <c r="F1009" s="144">
        <v>0.82140000000000002</v>
      </c>
      <c r="G1009" s="144">
        <v>1.2189000000000001</v>
      </c>
      <c r="I1009" s="144">
        <v>1</v>
      </c>
      <c r="J1009" s="145">
        <f t="shared" si="113"/>
        <v>41761</v>
      </c>
      <c r="K1009" s="144">
        <f t="shared" ca="1" si="118"/>
        <v>0.87931034482758619</v>
      </c>
      <c r="L1009" s="144">
        <f t="shared" ca="1" si="118"/>
        <v>0.59255518684172559</v>
      </c>
      <c r="M1009" s="144">
        <f t="shared" ca="1" si="118"/>
        <v>102.48160438609146</v>
      </c>
      <c r="N1009" s="144">
        <f t="shared" ca="1" si="118"/>
        <v>5.9410618958303267</v>
      </c>
      <c r="O1009" s="144">
        <f t="shared" ca="1" si="118"/>
        <v>35.817342374837679</v>
      </c>
      <c r="P1009" s="144">
        <f t="shared" ca="1" si="118"/>
        <v>1</v>
      </c>
      <c r="Q1009" s="144">
        <f t="shared" ca="1" si="118"/>
        <v>0.72139662386380021</v>
      </c>
    </row>
    <row r="1010" spans="1:17" x14ac:dyDescent="0.25">
      <c r="A1010" s="145">
        <v>41760</v>
      </c>
      <c r="B1010" s="144">
        <v>1.385</v>
      </c>
      <c r="C1010" s="144">
        <v>49.464399999999998</v>
      </c>
      <c r="D1010" s="144">
        <v>8.2720000000000002</v>
      </c>
      <c r="E1010" s="144">
        <v>142.07</v>
      </c>
      <c r="F1010" s="144">
        <v>0.82299999999999995</v>
      </c>
      <c r="G1010" s="144">
        <v>1.22</v>
      </c>
      <c r="I1010" s="144">
        <v>1</v>
      </c>
      <c r="J1010" s="145">
        <f t="shared" si="113"/>
        <v>41760</v>
      </c>
      <c r="K1010" s="144">
        <f t="shared" ca="1" si="118"/>
        <v>0.88086642599277976</v>
      </c>
      <c r="L1010" s="144">
        <f t="shared" ca="1" si="118"/>
        <v>0.59422382671480145</v>
      </c>
      <c r="M1010" s="144">
        <f t="shared" ca="1" si="118"/>
        <v>102.57761732851985</v>
      </c>
      <c r="N1010" s="144">
        <f t="shared" ca="1" si="118"/>
        <v>5.9725631768953074</v>
      </c>
      <c r="O1010" s="144">
        <f t="shared" ca="1" si="118"/>
        <v>35.714368231046933</v>
      </c>
      <c r="P1010" s="144">
        <f t="shared" ca="1" si="118"/>
        <v>1</v>
      </c>
      <c r="Q1010" s="144">
        <f t="shared" ca="1" si="118"/>
        <v>0.72202166064981954</v>
      </c>
    </row>
    <row r="1011" spans="1:17" x14ac:dyDescent="0.25">
      <c r="A1011" s="145">
        <v>41759</v>
      </c>
      <c r="B1011" s="144">
        <v>1.385</v>
      </c>
      <c r="C1011" s="144">
        <v>49.464399999999998</v>
      </c>
      <c r="D1011" s="144">
        <v>8.2720000000000002</v>
      </c>
      <c r="E1011" s="144">
        <v>142.07</v>
      </c>
      <c r="F1011" s="144">
        <v>0.82299999999999995</v>
      </c>
      <c r="G1011" s="144">
        <v>1.22</v>
      </c>
      <c r="I1011" s="144">
        <v>1</v>
      </c>
      <c r="J1011" s="145">
        <f t="shared" si="113"/>
        <v>41759</v>
      </c>
      <c r="K1011" s="144">
        <f t="shared" ca="1" si="118"/>
        <v>0.88086642599277976</v>
      </c>
      <c r="L1011" s="144">
        <f t="shared" ca="1" si="118"/>
        <v>0.59422382671480145</v>
      </c>
      <c r="M1011" s="144">
        <f t="shared" ca="1" si="118"/>
        <v>102.57761732851985</v>
      </c>
      <c r="N1011" s="144">
        <f t="shared" ca="1" si="118"/>
        <v>5.9725631768953074</v>
      </c>
      <c r="O1011" s="144">
        <f t="shared" ca="1" si="118"/>
        <v>35.714368231046933</v>
      </c>
      <c r="P1011" s="144">
        <f t="shared" ca="1" si="118"/>
        <v>1</v>
      </c>
      <c r="Q1011" s="144">
        <f t="shared" ca="1" si="118"/>
        <v>0.72202166064981954</v>
      </c>
    </row>
    <row r="1012" spans="1:17" x14ac:dyDescent="0.25">
      <c r="A1012" s="145">
        <v>41758</v>
      </c>
      <c r="B1012" s="144">
        <v>1.3826000000000001</v>
      </c>
      <c r="C1012" s="144">
        <v>49.156999999999996</v>
      </c>
      <c r="D1012" s="144">
        <v>8.2810000000000006</v>
      </c>
      <c r="E1012" s="144">
        <v>142.03</v>
      </c>
      <c r="F1012" s="144">
        <v>0.82220000000000004</v>
      </c>
      <c r="G1012" s="144">
        <v>1.22</v>
      </c>
      <c r="I1012" s="144">
        <v>1</v>
      </c>
      <c r="J1012" s="145">
        <f t="shared" si="113"/>
        <v>41758</v>
      </c>
      <c r="K1012" s="144">
        <f t="shared" ca="1" si="118"/>
        <v>0.88239548676406765</v>
      </c>
      <c r="L1012" s="144">
        <f t="shared" ca="1" si="118"/>
        <v>0.59467669607984952</v>
      </c>
      <c r="M1012" s="144">
        <f t="shared" ca="1" si="118"/>
        <v>102.72674670909879</v>
      </c>
      <c r="N1012" s="144">
        <f t="shared" ca="1" si="118"/>
        <v>5.9894401851583972</v>
      </c>
      <c r="O1012" s="144">
        <f t="shared" ca="1" si="118"/>
        <v>35.55402864168957</v>
      </c>
      <c r="P1012" s="144">
        <f t="shared" ca="1" si="118"/>
        <v>1</v>
      </c>
      <c r="Q1012" s="144">
        <f t="shared" ca="1" si="118"/>
        <v>0.72327498915087518</v>
      </c>
    </row>
    <row r="1013" spans="1:17" x14ac:dyDescent="0.25">
      <c r="A1013" s="145">
        <v>41757</v>
      </c>
      <c r="B1013" s="144">
        <v>1.3861000000000001</v>
      </c>
      <c r="C1013" s="144">
        <v>49.954999999999998</v>
      </c>
      <c r="D1013" s="144">
        <v>8.3145000000000007</v>
      </c>
      <c r="E1013" s="144">
        <v>141.85</v>
      </c>
      <c r="F1013" s="144">
        <v>0.82279999999999998</v>
      </c>
      <c r="G1013" s="144">
        <v>1.2181</v>
      </c>
      <c r="I1013" s="144">
        <v>1</v>
      </c>
      <c r="J1013" s="145">
        <f t="shared" si="113"/>
        <v>41757</v>
      </c>
      <c r="K1013" s="144">
        <f t="shared" ca="1" si="118"/>
        <v>0.87879662362022937</v>
      </c>
      <c r="L1013" s="144">
        <f t="shared" ca="1" si="118"/>
        <v>0.59360796479330491</v>
      </c>
      <c r="M1013" s="144">
        <f t="shared" ca="1" si="118"/>
        <v>102.33749368732414</v>
      </c>
      <c r="N1013" s="144">
        <f t="shared" ca="1" si="118"/>
        <v>5.9984849577952533</v>
      </c>
      <c r="O1013" s="144">
        <f t="shared" ca="1" si="118"/>
        <v>36.039968256258561</v>
      </c>
      <c r="P1013" s="144">
        <f t="shared" ca="1" si="118"/>
        <v>1</v>
      </c>
      <c r="Q1013" s="144">
        <f t="shared" ca="1" si="118"/>
        <v>0.72144866892720583</v>
      </c>
    </row>
    <row r="1014" spans="1:17" x14ac:dyDescent="0.25">
      <c r="A1014" s="145">
        <v>41756</v>
      </c>
      <c r="B1014" s="144">
        <v>1.3831</v>
      </c>
      <c r="C1014" s="144">
        <v>49.827500000000001</v>
      </c>
      <c r="D1014" s="144">
        <v>8.2844999999999995</v>
      </c>
      <c r="E1014" s="144">
        <v>141.05000000000001</v>
      </c>
      <c r="F1014" s="144">
        <v>0.82284999999999997</v>
      </c>
      <c r="G1014" s="144">
        <v>1.2194</v>
      </c>
      <c r="I1014" s="144">
        <v>1</v>
      </c>
      <c r="J1014" s="145">
        <f t="shared" si="113"/>
        <v>41756</v>
      </c>
      <c r="K1014" s="144">
        <f t="shared" ca="1" si="118"/>
        <v>0.88164268671824164</v>
      </c>
      <c r="L1014" s="144">
        <f t="shared" ca="1" si="118"/>
        <v>0.59493167522232659</v>
      </c>
      <c r="M1014" s="144">
        <f t="shared" ca="1" si="118"/>
        <v>101.98105704576676</v>
      </c>
      <c r="N1014" s="144">
        <f t="shared" ca="1" si="118"/>
        <v>5.9898055093630251</v>
      </c>
      <c r="O1014" s="144">
        <f t="shared" ca="1" si="118"/>
        <v>36.025956185380664</v>
      </c>
      <c r="P1014" s="144">
        <f t="shared" ca="1" si="118"/>
        <v>1</v>
      </c>
      <c r="Q1014" s="144">
        <f t="shared" ca="1" si="118"/>
        <v>0.72301352035283062</v>
      </c>
    </row>
    <row r="1015" spans="1:17" x14ac:dyDescent="0.25">
      <c r="A1015" s="145">
        <v>41755</v>
      </c>
      <c r="B1015" s="144">
        <v>1.3831</v>
      </c>
      <c r="C1015" s="144">
        <v>49.827500000000001</v>
      </c>
      <c r="D1015" s="144">
        <v>8.2844999999999995</v>
      </c>
      <c r="E1015" s="144">
        <v>141.05000000000001</v>
      </c>
      <c r="F1015" s="144">
        <v>0.82284999999999997</v>
      </c>
      <c r="G1015" s="144">
        <v>1.2194</v>
      </c>
      <c r="I1015" s="144">
        <v>1</v>
      </c>
      <c r="J1015" s="145">
        <f t="shared" si="113"/>
        <v>41755</v>
      </c>
      <c r="K1015" s="144">
        <f t="shared" ref="K1015:Q1024" ca="1" si="119">OFFSET($A1015,0,K$3)/OFFSET($A1015,0,$P$3)</f>
        <v>0.88164268671824164</v>
      </c>
      <c r="L1015" s="144">
        <f t="shared" ca="1" si="119"/>
        <v>0.59493167522232659</v>
      </c>
      <c r="M1015" s="144">
        <f t="shared" ca="1" si="119"/>
        <v>101.98105704576676</v>
      </c>
      <c r="N1015" s="144">
        <f t="shared" ca="1" si="119"/>
        <v>5.9898055093630251</v>
      </c>
      <c r="O1015" s="144">
        <f t="shared" ca="1" si="119"/>
        <v>36.025956185380664</v>
      </c>
      <c r="P1015" s="144">
        <f t="shared" ca="1" si="119"/>
        <v>1</v>
      </c>
      <c r="Q1015" s="144">
        <f t="shared" ca="1" si="119"/>
        <v>0.72301352035283062</v>
      </c>
    </row>
    <row r="1016" spans="1:17" x14ac:dyDescent="0.25">
      <c r="A1016" s="145">
        <v>41754</v>
      </c>
      <c r="B1016" s="144">
        <v>1.3831</v>
      </c>
      <c r="C1016" s="144">
        <v>49.827500000000001</v>
      </c>
      <c r="D1016" s="144">
        <v>8.2844999999999995</v>
      </c>
      <c r="E1016" s="144">
        <v>141.05000000000001</v>
      </c>
      <c r="F1016" s="144">
        <v>0.82284999999999997</v>
      </c>
      <c r="G1016" s="144">
        <v>1.2194</v>
      </c>
      <c r="I1016" s="144">
        <v>1</v>
      </c>
      <c r="J1016" s="145">
        <f t="shared" si="113"/>
        <v>41754</v>
      </c>
      <c r="K1016" s="144">
        <f t="shared" ca="1" si="119"/>
        <v>0.88164268671824164</v>
      </c>
      <c r="L1016" s="144">
        <f t="shared" ca="1" si="119"/>
        <v>0.59493167522232659</v>
      </c>
      <c r="M1016" s="144">
        <f t="shared" ca="1" si="119"/>
        <v>101.98105704576676</v>
      </c>
      <c r="N1016" s="144">
        <f t="shared" ca="1" si="119"/>
        <v>5.9898055093630251</v>
      </c>
      <c r="O1016" s="144">
        <f t="shared" ca="1" si="119"/>
        <v>36.025956185380664</v>
      </c>
      <c r="P1016" s="144">
        <f t="shared" ca="1" si="119"/>
        <v>1</v>
      </c>
      <c r="Q1016" s="144">
        <f t="shared" ca="1" si="119"/>
        <v>0.72301352035283062</v>
      </c>
    </row>
    <row r="1017" spans="1:17" x14ac:dyDescent="0.25">
      <c r="A1017" s="145">
        <v>41753</v>
      </c>
      <c r="B1017" s="144">
        <v>1.3819999999999999</v>
      </c>
      <c r="C1017" s="144">
        <v>49.323700000000002</v>
      </c>
      <c r="D1017" s="144">
        <v>8.2784999999999993</v>
      </c>
      <c r="E1017" s="144">
        <v>141.63</v>
      </c>
      <c r="F1017" s="144">
        <v>0.82299999999999995</v>
      </c>
      <c r="G1017" s="144">
        <v>1.2202999999999999</v>
      </c>
      <c r="I1017" s="144">
        <v>1</v>
      </c>
      <c r="J1017" s="145">
        <f t="shared" si="113"/>
        <v>41753</v>
      </c>
      <c r="K1017" s="144">
        <f t="shared" ca="1" si="119"/>
        <v>0.88299565846599137</v>
      </c>
      <c r="L1017" s="144">
        <f t="shared" ca="1" si="119"/>
        <v>0.59551374819102754</v>
      </c>
      <c r="M1017" s="144">
        <f t="shared" ca="1" si="119"/>
        <v>102.48191027496382</v>
      </c>
      <c r="N1017" s="144">
        <f t="shared" ca="1" si="119"/>
        <v>5.9902315484804634</v>
      </c>
      <c r="O1017" s="144">
        <f t="shared" ca="1" si="119"/>
        <v>35.69008683068018</v>
      </c>
      <c r="P1017" s="144">
        <f t="shared" ca="1" si="119"/>
        <v>1</v>
      </c>
      <c r="Q1017" s="144">
        <f t="shared" ca="1" si="119"/>
        <v>0.72358900144717808</v>
      </c>
    </row>
    <row r="1018" spans="1:17" x14ac:dyDescent="0.25">
      <c r="A1018" s="145">
        <v>41752</v>
      </c>
      <c r="B1018" s="144">
        <v>1.3834</v>
      </c>
      <c r="C1018" s="144">
        <v>49.411999999999999</v>
      </c>
      <c r="D1018" s="144">
        <v>8.2714999999999996</v>
      </c>
      <c r="E1018" s="144">
        <v>141.46</v>
      </c>
      <c r="F1018" s="144">
        <v>0.82389999999999997</v>
      </c>
      <c r="G1018" s="144">
        <v>1.2198</v>
      </c>
      <c r="I1018" s="144">
        <v>1</v>
      </c>
      <c r="J1018" s="145">
        <f t="shared" si="113"/>
        <v>41752</v>
      </c>
      <c r="K1018" s="144">
        <f t="shared" ca="1" si="119"/>
        <v>0.88174063900534916</v>
      </c>
      <c r="L1018" s="144">
        <f t="shared" ca="1" si="119"/>
        <v>0.59556165967905161</v>
      </c>
      <c r="M1018" s="144">
        <f t="shared" ca="1" si="119"/>
        <v>102.25531299696401</v>
      </c>
      <c r="N1018" s="144">
        <f t="shared" ca="1" si="119"/>
        <v>5.9791094405088909</v>
      </c>
      <c r="O1018" s="144">
        <f t="shared" ca="1" si="119"/>
        <v>35.717796732687582</v>
      </c>
      <c r="P1018" s="144">
        <f t="shared" ca="1" si="119"/>
        <v>1</v>
      </c>
      <c r="Q1018" s="144">
        <f t="shared" ca="1" si="119"/>
        <v>0.72285672979615445</v>
      </c>
    </row>
    <row r="1019" spans="1:17" x14ac:dyDescent="0.25">
      <c r="A1019" s="145">
        <v>41751</v>
      </c>
      <c r="B1019" s="144">
        <v>1.3816999999999999</v>
      </c>
      <c r="C1019" s="144">
        <v>49.386800000000001</v>
      </c>
      <c r="D1019" s="144">
        <v>8.2614999999999998</v>
      </c>
      <c r="E1019" s="144">
        <v>141.69</v>
      </c>
      <c r="F1019" s="144">
        <v>0.82050000000000001</v>
      </c>
      <c r="G1019" s="144">
        <v>1.2214</v>
      </c>
      <c r="I1019" s="144">
        <v>1</v>
      </c>
      <c r="J1019" s="145">
        <f t="shared" si="113"/>
        <v>41751</v>
      </c>
      <c r="K1019" s="144">
        <f t="shared" ca="1" si="119"/>
        <v>0.88398349858869518</v>
      </c>
      <c r="L1019" s="144">
        <f t="shared" ca="1" si="119"/>
        <v>0.59383368314395313</v>
      </c>
      <c r="M1019" s="144">
        <f t="shared" ca="1" si="119"/>
        <v>102.5475863067236</v>
      </c>
      <c r="N1019" s="144">
        <f t="shared" ca="1" si="119"/>
        <v>5.9792284866468846</v>
      </c>
      <c r="O1019" s="144">
        <f t="shared" ca="1" si="119"/>
        <v>35.743504378663964</v>
      </c>
      <c r="P1019" s="144">
        <f t="shared" ca="1" si="119"/>
        <v>1</v>
      </c>
      <c r="Q1019" s="144">
        <f t="shared" ca="1" si="119"/>
        <v>0.72374610986465948</v>
      </c>
    </row>
    <row r="1020" spans="1:17" x14ac:dyDescent="0.25">
      <c r="A1020" s="145">
        <v>41750</v>
      </c>
      <c r="B1020" s="144">
        <v>1.3855</v>
      </c>
      <c r="C1020" s="144">
        <v>49.761800000000001</v>
      </c>
      <c r="D1020" s="144">
        <v>8.2824000000000009</v>
      </c>
      <c r="E1020" s="144">
        <v>141.57</v>
      </c>
      <c r="F1020" s="144">
        <v>0.82430000000000003</v>
      </c>
      <c r="G1020" s="144">
        <v>1.2175</v>
      </c>
      <c r="I1020" s="144">
        <v>1</v>
      </c>
      <c r="J1020" s="145">
        <f t="shared" si="113"/>
        <v>41750</v>
      </c>
      <c r="K1020" s="144">
        <f t="shared" ca="1" si="119"/>
        <v>0.87874413569108634</v>
      </c>
      <c r="L1020" s="144">
        <f t="shared" ca="1" si="119"/>
        <v>0.59494767232046197</v>
      </c>
      <c r="M1020" s="144">
        <f t="shared" ca="1" si="119"/>
        <v>102.17971851317213</v>
      </c>
      <c r="N1020" s="144">
        <f t="shared" ca="1" si="119"/>
        <v>5.9779141104294489</v>
      </c>
      <c r="O1020" s="144">
        <f t="shared" ca="1" si="119"/>
        <v>35.916131360519671</v>
      </c>
      <c r="P1020" s="144">
        <f t="shared" ca="1" si="119"/>
        <v>1</v>
      </c>
      <c r="Q1020" s="144">
        <f t="shared" ca="1" si="119"/>
        <v>0.72176109707686753</v>
      </c>
    </row>
    <row r="1021" spans="1:17" x14ac:dyDescent="0.25">
      <c r="A1021" s="145">
        <v>41749</v>
      </c>
      <c r="B1021" s="144">
        <v>1.3855</v>
      </c>
      <c r="C1021" s="144">
        <v>49.761800000000001</v>
      </c>
      <c r="D1021" s="144">
        <v>8.2824000000000009</v>
      </c>
      <c r="E1021" s="144">
        <v>141.57</v>
      </c>
      <c r="F1021" s="144">
        <v>0.82430000000000003</v>
      </c>
      <c r="G1021" s="144">
        <v>1.2175</v>
      </c>
      <c r="I1021" s="144">
        <v>1</v>
      </c>
      <c r="J1021" s="145">
        <f t="shared" si="113"/>
        <v>41749</v>
      </c>
      <c r="K1021" s="144">
        <f t="shared" ca="1" si="119"/>
        <v>0.87874413569108634</v>
      </c>
      <c r="L1021" s="144">
        <f t="shared" ca="1" si="119"/>
        <v>0.59494767232046197</v>
      </c>
      <c r="M1021" s="144">
        <f t="shared" ca="1" si="119"/>
        <v>102.17971851317213</v>
      </c>
      <c r="N1021" s="144">
        <f t="shared" ca="1" si="119"/>
        <v>5.9779141104294489</v>
      </c>
      <c r="O1021" s="144">
        <f t="shared" ca="1" si="119"/>
        <v>35.916131360519671</v>
      </c>
      <c r="P1021" s="144">
        <f t="shared" ca="1" si="119"/>
        <v>1</v>
      </c>
      <c r="Q1021" s="144">
        <f t="shared" ca="1" si="119"/>
        <v>0.72176109707686753</v>
      </c>
    </row>
    <row r="1022" spans="1:17" x14ac:dyDescent="0.25">
      <c r="A1022" s="145">
        <v>41748</v>
      </c>
      <c r="B1022" s="144">
        <v>1.3855</v>
      </c>
      <c r="C1022" s="144">
        <v>49.761800000000001</v>
      </c>
      <c r="D1022" s="144">
        <v>8.2824000000000009</v>
      </c>
      <c r="E1022" s="144">
        <v>141.57</v>
      </c>
      <c r="F1022" s="144">
        <v>0.82430000000000003</v>
      </c>
      <c r="G1022" s="144">
        <v>1.2175</v>
      </c>
      <c r="I1022" s="144">
        <v>1</v>
      </c>
      <c r="J1022" s="145">
        <f t="shared" si="113"/>
        <v>41748</v>
      </c>
      <c r="K1022" s="144">
        <f t="shared" ca="1" si="119"/>
        <v>0.87874413569108634</v>
      </c>
      <c r="L1022" s="144">
        <f t="shared" ca="1" si="119"/>
        <v>0.59494767232046197</v>
      </c>
      <c r="M1022" s="144">
        <f t="shared" ca="1" si="119"/>
        <v>102.17971851317213</v>
      </c>
      <c r="N1022" s="144">
        <f t="shared" ca="1" si="119"/>
        <v>5.9779141104294489</v>
      </c>
      <c r="O1022" s="144">
        <f t="shared" ca="1" si="119"/>
        <v>35.916131360519671</v>
      </c>
      <c r="P1022" s="144">
        <f t="shared" ca="1" si="119"/>
        <v>1</v>
      </c>
      <c r="Q1022" s="144">
        <f t="shared" ca="1" si="119"/>
        <v>0.72176109707686753</v>
      </c>
    </row>
    <row r="1023" spans="1:17" x14ac:dyDescent="0.25">
      <c r="A1023" s="145">
        <v>41747</v>
      </c>
      <c r="B1023" s="144">
        <v>1.3855</v>
      </c>
      <c r="C1023" s="144">
        <v>49.761800000000001</v>
      </c>
      <c r="D1023" s="144">
        <v>8.2824000000000009</v>
      </c>
      <c r="E1023" s="144">
        <v>141.57</v>
      </c>
      <c r="F1023" s="144">
        <v>0.82430000000000003</v>
      </c>
      <c r="G1023" s="144">
        <v>1.2175</v>
      </c>
      <c r="I1023" s="144">
        <v>1</v>
      </c>
      <c r="J1023" s="145">
        <f t="shared" si="113"/>
        <v>41747</v>
      </c>
      <c r="K1023" s="144">
        <f t="shared" ca="1" si="119"/>
        <v>0.87874413569108634</v>
      </c>
      <c r="L1023" s="144">
        <f t="shared" ca="1" si="119"/>
        <v>0.59494767232046197</v>
      </c>
      <c r="M1023" s="144">
        <f t="shared" ca="1" si="119"/>
        <v>102.17971851317213</v>
      </c>
      <c r="N1023" s="144">
        <f t="shared" ca="1" si="119"/>
        <v>5.9779141104294489</v>
      </c>
      <c r="O1023" s="144">
        <f t="shared" ca="1" si="119"/>
        <v>35.916131360519671</v>
      </c>
      <c r="P1023" s="144">
        <f t="shared" ca="1" si="119"/>
        <v>1</v>
      </c>
      <c r="Q1023" s="144">
        <f t="shared" ca="1" si="119"/>
        <v>0.72176109707686753</v>
      </c>
    </row>
    <row r="1024" spans="1:17" x14ac:dyDescent="0.25">
      <c r="A1024" s="145">
        <v>41746</v>
      </c>
      <c r="B1024" s="144">
        <v>1.3855</v>
      </c>
      <c r="C1024" s="144">
        <v>49.761800000000001</v>
      </c>
      <c r="D1024" s="144">
        <v>8.2824000000000009</v>
      </c>
      <c r="E1024" s="144">
        <v>141.57</v>
      </c>
      <c r="F1024" s="144">
        <v>0.82430000000000003</v>
      </c>
      <c r="G1024" s="144">
        <v>1.2175</v>
      </c>
      <c r="I1024" s="144">
        <v>1</v>
      </c>
      <c r="J1024" s="145">
        <f t="shared" si="113"/>
        <v>41746</v>
      </c>
      <c r="K1024" s="144">
        <f t="shared" ca="1" si="119"/>
        <v>0.87874413569108634</v>
      </c>
      <c r="L1024" s="144">
        <f t="shared" ca="1" si="119"/>
        <v>0.59494767232046197</v>
      </c>
      <c r="M1024" s="144">
        <f t="shared" ca="1" si="119"/>
        <v>102.17971851317213</v>
      </c>
      <c r="N1024" s="144">
        <f t="shared" ca="1" si="119"/>
        <v>5.9779141104294489</v>
      </c>
      <c r="O1024" s="144">
        <f t="shared" ca="1" si="119"/>
        <v>35.916131360519671</v>
      </c>
      <c r="P1024" s="144">
        <f t="shared" ca="1" si="119"/>
        <v>1</v>
      </c>
      <c r="Q1024" s="144">
        <f t="shared" ca="1" si="119"/>
        <v>0.72176109707686753</v>
      </c>
    </row>
    <row r="1025" spans="1:17" x14ac:dyDescent="0.25">
      <c r="A1025" s="145">
        <v>41745</v>
      </c>
      <c r="B1025" s="144">
        <v>1.3839999999999999</v>
      </c>
      <c r="C1025" s="144">
        <v>49.863999999999997</v>
      </c>
      <c r="D1025" s="144">
        <v>8.24</v>
      </c>
      <c r="E1025" s="144">
        <v>141.55000000000001</v>
      </c>
      <c r="F1025" s="144">
        <v>0.82389999999999997</v>
      </c>
      <c r="G1025" s="144">
        <v>1.2169000000000001</v>
      </c>
      <c r="I1025" s="144">
        <v>1</v>
      </c>
      <c r="J1025" s="145">
        <f t="shared" si="113"/>
        <v>41745</v>
      </c>
      <c r="K1025" s="144">
        <f t="shared" ref="K1025:Q1034" ca="1" si="120">OFFSET($A1025,0,K$3)/OFFSET($A1025,0,$P$3)</f>
        <v>0.879263005780347</v>
      </c>
      <c r="L1025" s="144">
        <f t="shared" ca="1" si="120"/>
        <v>0.59530346820809255</v>
      </c>
      <c r="M1025" s="144">
        <f t="shared" ca="1" si="120"/>
        <v>102.27601156069366</v>
      </c>
      <c r="N1025" s="144">
        <f t="shared" ca="1" si="120"/>
        <v>5.9537572254335265</v>
      </c>
      <c r="O1025" s="144">
        <f t="shared" ca="1" si="120"/>
        <v>36.028901734104046</v>
      </c>
      <c r="P1025" s="144">
        <f t="shared" ca="1" si="120"/>
        <v>1</v>
      </c>
      <c r="Q1025" s="144">
        <f t="shared" ca="1" si="120"/>
        <v>0.7225433526011561</v>
      </c>
    </row>
    <row r="1026" spans="1:17" x14ac:dyDescent="0.25">
      <c r="A1026" s="145">
        <v>41744</v>
      </c>
      <c r="B1026" s="144">
        <v>1.3803000000000001</v>
      </c>
      <c r="C1026" s="144">
        <v>49.7226</v>
      </c>
      <c r="D1026" s="144">
        <v>8.2294999999999998</v>
      </c>
      <c r="E1026" s="144">
        <v>140.62</v>
      </c>
      <c r="F1026" s="144">
        <v>0.82509999999999994</v>
      </c>
      <c r="G1026" s="144">
        <v>1.2161999999999999</v>
      </c>
      <c r="I1026" s="144">
        <v>1</v>
      </c>
      <c r="J1026" s="145">
        <f t="shared" si="113"/>
        <v>41744</v>
      </c>
      <c r="K1026" s="144">
        <f t="shared" ca="1" si="120"/>
        <v>0.88111280156487715</v>
      </c>
      <c r="L1026" s="144">
        <f t="shared" ca="1" si="120"/>
        <v>0.59776860102876184</v>
      </c>
      <c r="M1026" s="144">
        <f t="shared" ca="1" si="120"/>
        <v>101.87640368035935</v>
      </c>
      <c r="N1026" s="144">
        <f t="shared" ca="1" si="120"/>
        <v>5.9621096863000789</v>
      </c>
      <c r="O1026" s="144">
        <f t="shared" ca="1" si="120"/>
        <v>36.023038469897848</v>
      </c>
      <c r="P1026" s="144">
        <f t="shared" ca="1" si="120"/>
        <v>1</v>
      </c>
      <c r="Q1026" s="144">
        <f t="shared" ca="1" si="120"/>
        <v>0.72448018546692738</v>
      </c>
    </row>
    <row r="1027" spans="1:17" x14ac:dyDescent="0.25">
      <c r="A1027" s="145">
        <v>41743</v>
      </c>
      <c r="B1027" s="144">
        <v>1.3827</v>
      </c>
      <c r="C1027" s="144">
        <v>49.537799999999997</v>
      </c>
      <c r="D1027" s="144">
        <v>8.24</v>
      </c>
      <c r="E1027" s="144">
        <v>140.87</v>
      </c>
      <c r="F1027" s="144">
        <v>0.82740000000000002</v>
      </c>
      <c r="G1027" s="144">
        <v>1.2154</v>
      </c>
      <c r="I1027" s="144">
        <v>1</v>
      </c>
      <c r="J1027" s="145">
        <f t="shared" si="113"/>
        <v>41743</v>
      </c>
      <c r="K1027" s="144">
        <f t="shared" ca="1" si="120"/>
        <v>0.8790048455919578</v>
      </c>
      <c r="L1027" s="144">
        <f t="shared" ca="1" si="120"/>
        <v>0.59839444564981559</v>
      </c>
      <c r="M1027" s="144">
        <f t="shared" ca="1" si="120"/>
        <v>101.88037896868445</v>
      </c>
      <c r="N1027" s="144">
        <f t="shared" ca="1" si="120"/>
        <v>5.9593548853692049</v>
      </c>
      <c r="O1027" s="144">
        <f t="shared" ca="1" si="120"/>
        <v>35.826860490344977</v>
      </c>
      <c r="P1027" s="144">
        <f t="shared" ca="1" si="120"/>
        <v>1</v>
      </c>
      <c r="Q1027" s="144">
        <f t="shared" ca="1" si="120"/>
        <v>0.72322268026325298</v>
      </c>
    </row>
    <row r="1028" spans="1:17" x14ac:dyDescent="0.25">
      <c r="A1028" s="145">
        <v>41742</v>
      </c>
      <c r="B1028" s="144">
        <v>1.3872</v>
      </c>
      <c r="C1028" s="144">
        <v>49.566499999999998</v>
      </c>
      <c r="D1028" s="144">
        <v>8.2605000000000004</v>
      </c>
      <c r="E1028" s="144">
        <v>140.69</v>
      </c>
      <c r="F1028" s="144">
        <v>0.82909999999999995</v>
      </c>
      <c r="G1028" s="144">
        <v>1.2161</v>
      </c>
      <c r="I1028" s="144">
        <v>1</v>
      </c>
      <c r="J1028" s="145">
        <f t="shared" si="113"/>
        <v>41742</v>
      </c>
      <c r="K1028" s="144">
        <f t="shared" ca="1" si="120"/>
        <v>0.8766580161476355</v>
      </c>
      <c r="L1028" s="144">
        <f t="shared" ca="1" si="120"/>
        <v>0.59767877739331021</v>
      </c>
      <c r="M1028" s="144">
        <f t="shared" ca="1" si="120"/>
        <v>101.42012687427912</v>
      </c>
      <c r="N1028" s="144">
        <f t="shared" ca="1" si="120"/>
        <v>5.9548010380622838</v>
      </c>
      <c r="O1028" s="144">
        <f t="shared" ca="1" si="120"/>
        <v>35.731329296424448</v>
      </c>
      <c r="P1028" s="144">
        <f t="shared" ca="1" si="120"/>
        <v>1</v>
      </c>
      <c r="Q1028" s="144">
        <f t="shared" ca="1" si="120"/>
        <v>0.72087658592848902</v>
      </c>
    </row>
    <row r="1029" spans="1:17" x14ac:dyDescent="0.25">
      <c r="A1029" s="145">
        <v>41741</v>
      </c>
      <c r="B1029" s="144">
        <v>1.3872</v>
      </c>
      <c r="C1029" s="144">
        <v>49.566499999999998</v>
      </c>
      <c r="D1029" s="144">
        <v>8.2605000000000004</v>
      </c>
      <c r="E1029" s="144">
        <v>140.69</v>
      </c>
      <c r="F1029" s="144">
        <v>0.82909999999999995</v>
      </c>
      <c r="G1029" s="144">
        <v>1.2161</v>
      </c>
      <c r="I1029" s="144">
        <v>1</v>
      </c>
      <c r="J1029" s="145">
        <f t="shared" ref="J1029:J1092" si="121">A1029</f>
        <v>41741</v>
      </c>
      <c r="K1029" s="144">
        <f t="shared" ca="1" si="120"/>
        <v>0.8766580161476355</v>
      </c>
      <c r="L1029" s="144">
        <f t="shared" ca="1" si="120"/>
        <v>0.59767877739331021</v>
      </c>
      <c r="M1029" s="144">
        <f t="shared" ca="1" si="120"/>
        <v>101.42012687427912</v>
      </c>
      <c r="N1029" s="144">
        <f t="shared" ca="1" si="120"/>
        <v>5.9548010380622838</v>
      </c>
      <c r="O1029" s="144">
        <f t="shared" ca="1" si="120"/>
        <v>35.731329296424448</v>
      </c>
      <c r="P1029" s="144">
        <f t="shared" ca="1" si="120"/>
        <v>1</v>
      </c>
      <c r="Q1029" s="144">
        <f t="shared" ca="1" si="120"/>
        <v>0.72087658592848902</v>
      </c>
    </row>
    <row r="1030" spans="1:17" x14ac:dyDescent="0.25">
      <c r="A1030" s="145">
        <v>41740</v>
      </c>
      <c r="B1030" s="144">
        <v>1.3872</v>
      </c>
      <c r="C1030" s="144">
        <v>49.566499999999998</v>
      </c>
      <c r="D1030" s="144">
        <v>8.2605000000000004</v>
      </c>
      <c r="E1030" s="144">
        <v>140.69</v>
      </c>
      <c r="F1030" s="144">
        <v>0.82909999999999995</v>
      </c>
      <c r="G1030" s="144">
        <v>1.2161</v>
      </c>
      <c r="I1030" s="144">
        <v>1</v>
      </c>
      <c r="J1030" s="145">
        <f t="shared" si="121"/>
        <v>41740</v>
      </c>
      <c r="K1030" s="144">
        <f t="shared" ca="1" si="120"/>
        <v>0.8766580161476355</v>
      </c>
      <c r="L1030" s="144">
        <f t="shared" ca="1" si="120"/>
        <v>0.59767877739331021</v>
      </c>
      <c r="M1030" s="144">
        <f t="shared" ca="1" si="120"/>
        <v>101.42012687427912</v>
      </c>
      <c r="N1030" s="144">
        <f t="shared" ca="1" si="120"/>
        <v>5.9548010380622838</v>
      </c>
      <c r="O1030" s="144">
        <f t="shared" ca="1" si="120"/>
        <v>35.731329296424448</v>
      </c>
      <c r="P1030" s="144">
        <f t="shared" ca="1" si="120"/>
        <v>1</v>
      </c>
      <c r="Q1030" s="144">
        <f t="shared" ca="1" si="120"/>
        <v>0.72087658592848902</v>
      </c>
    </row>
    <row r="1031" spans="1:17" x14ac:dyDescent="0.25">
      <c r="A1031" s="145">
        <v>41739</v>
      </c>
      <c r="B1031" s="144">
        <v>1.3867</v>
      </c>
      <c r="C1031" s="144">
        <v>49.206000000000003</v>
      </c>
      <c r="D1031" s="144">
        <v>8.2159999999999993</v>
      </c>
      <c r="E1031" s="144">
        <v>141</v>
      </c>
      <c r="F1031" s="144">
        <v>0.82720000000000005</v>
      </c>
      <c r="G1031" s="144">
        <v>1.218</v>
      </c>
      <c r="I1031" s="144">
        <v>1</v>
      </c>
      <c r="J1031" s="145">
        <f t="shared" si="121"/>
        <v>41739</v>
      </c>
      <c r="K1031" s="144">
        <f t="shared" ca="1" si="120"/>
        <v>0.87834427057041897</v>
      </c>
      <c r="L1031" s="144">
        <f t="shared" ca="1" si="120"/>
        <v>0.59652412201629768</v>
      </c>
      <c r="M1031" s="144">
        <f t="shared" ca="1" si="120"/>
        <v>101.68024807095983</v>
      </c>
      <c r="N1031" s="144">
        <f t="shared" ca="1" si="120"/>
        <v>5.9248575755390487</v>
      </c>
      <c r="O1031" s="144">
        <f t="shared" ca="1" si="120"/>
        <v>35.484243167231561</v>
      </c>
      <c r="P1031" s="144">
        <f t="shared" ca="1" si="120"/>
        <v>1</v>
      </c>
      <c r="Q1031" s="144">
        <f t="shared" ca="1" si="120"/>
        <v>0.72113651114155908</v>
      </c>
    </row>
    <row r="1032" spans="1:17" x14ac:dyDescent="0.25">
      <c r="A1032" s="145">
        <v>41738</v>
      </c>
      <c r="B1032" s="144">
        <v>1.3794</v>
      </c>
      <c r="C1032" s="144">
        <v>49.292400000000001</v>
      </c>
      <c r="D1032" s="144">
        <v>8.2195</v>
      </c>
      <c r="E1032" s="144">
        <v>140.72999999999999</v>
      </c>
      <c r="F1032" s="144">
        <v>0.82374999999999998</v>
      </c>
      <c r="G1032" s="144">
        <v>1.2183999999999999</v>
      </c>
      <c r="I1032" s="144">
        <v>1</v>
      </c>
      <c r="J1032" s="145">
        <f t="shared" si="121"/>
        <v>41738</v>
      </c>
      <c r="K1032" s="144">
        <f t="shared" ca="1" si="120"/>
        <v>0.88328258663186887</v>
      </c>
      <c r="L1032" s="144">
        <f t="shared" ca="1" si="120"/>
        <v>0.59717993330433528</v>
      </c>
      <c r="M1032" s="144">
        <f t="shared" ca="1" si="120"/>
        <v>102.02261852979557</v>
      </c>
      <c r="N1032" s="144">
        <f t="shared" ca="1" si="120"/>
        <v>5.9587501812382193</v>
      </c>
      <c r="O1032" s="144">
        <f t="shared" ca="1" si="120"/>
        <v>35.734667246628973</v>
      </c>
      <c r="P1032" s="144">
        <f t="shared" ca="1" si="120"/>
        <v>1</v>
      </c>
      <c r="Q1032" s="144">
        <f t="shared" ca="1" si="120"/>
        <v>0.72495287806292596</v>
      </c>
    </row>
    <row r="1033" spans="1:17" x14ac:dyDescent="0.25">
      <c r="A1033" s="145">
        <v>41737</v>
      </c>
      <c r="B1033" s="144">
        <v>1.3774</v>
      </c>
      <c r="C1033" s="144">
        <v>48.942</v>
      </c>
      <c r="D1033" s="144">
        <v>8.2360000000000007</v>
      </c>
      <c r="E1033" s="144">
        <v>140.9</v>
      </c>
      <c r="F1033" s="144">
        <v>0.82420000000000004</v>
      </c>
      <c r="G1033" s="144">
        <v>1.22</v>
      </c>
      <c r="I1033" s="144">
        <v>1</v>
      </c>
      <c r="J1033" s="145">
        <f t="shared" si="121"/>
        <v>41737</v>
      </c>
      <c r="K1033" s="144">
        <f t="shared" ca="1" si="120"/>
        <v>0.88572673152315962</v>
      </c>
      <c r="L1033" s="144">
        <f t="shared" ca="1" si="120"/>
        <v>0.59837374764048212</v>
      </c>
      <c r="M1033" s="144">
        <f t="shared" ca="1" si="120"/>
        <v>102.29417743574852</v>
      </c>
      <c r="N1033" s="144">
        <f t="shared" ca="1" si="120"/>
        <v>5.97938144329897</v>
      </c>
      <c r="O1033" s="144">
        <f t="shared" ca="1" si="120"/>
        <v>35.532162044431537</v>
      </c>
      <c r="P1033" s="144">
        <f t="shared" ca="1" si="120"/>
        <v>1</v>
      </c>
      <c r="Q1033" s="144">
        <f t="shared" ca="1" si="120"/>
        <v>0.72600551764193411</v>
      </c>
    </row>
    <row r="1034" spans="1:17" x14ac:dyDescent="0.25">
      <c r="A1034" s="145">
        <v>41736</v>
      </c>
      <c r="B1034" s="144">
        <v>1.3723000000000001</v>
      </c>
      <c r="C1034" s="144">
        <v>48.997799999999998</v>
      </c>
      <c r="D1034" s="144">
        <v>8.2405000000000008</v>
      </c>
      <c r="E1034" s="144">
        <v>141.65</v>
      </c>
      <c r="F1034" s="144">
        <v>0.82709999999999995</v>
      </c>
      <c r="G1034" s="144">
        <v>1.2202</v>
      </c>
      <c r="I1034" s="144">
        <v>1</v>
      </c>
      <c r="J1034" s="145">
        <f t="shared" si="121"/>
        <v>41736</v>
      </c>
      <c r="K1034" s="144">
        <f t="shared" ca="1" si="120"/>
        <v>0.88916417692924277</v>
      </c>
      <c r="L1034" s="144">
        <f t="shared" ca="1" si="120"/>
        <v>0.60271077752677982</v>
      </c>
      <c r="M1034" s="144">
        <f t="shared" ca="1" si="120"/>
        <v>103.22087007214166</v>
      </c>
      <c r="N1034" s="144">
        <f t="shared" ca="1" si="120"/>
        <v>6.0048823143627486</v>
      </c>
      <c r="O1034" s="144">
        <f t="shared" ca="1" si="120"/>
        <v>35.704875027326381</v>
      </c>
      <c r="P1034" s="144">
        <f t="shared" ca="1" si="120"/>
        <v>1</v>
      </c>
      <c r="Q1034" s="144">
        <f t="shared" ca="1" si="120"/>
        <v>0.72870363623114476</v>
      </c>
    </row>
    <row r="1035" spans="1:17" x14ac:dyDescent="0.25">
      <c r="A1035" s="145">
        <v>41735</v>
      </c>
      <c r="B1035" s="144">
        <v>1.37</v>
      </c>
      <c r="C1035" s="144">
        <v>48.465000000000003</v>
      </c>
      <c r="D1035" s="144">
        <v>8.2125000000000004</v>
      </c>
      <c r="E1035" s="144">
        <v>142.33000000000001</v>
      </c>
      <c r="F1035" s="144">
        <v>0.82669999999999999</v>
      </c>
      <c r="G1035" s="144">
        <v>1.2235</v>
      </c>
      <c r="I1035" s="144">
        <v>1</v>
      </c>
      <c r="J1035" s="145">
        <f t="shared" si="121"/>
        <v>41735</v>
      </c>
      <c r="K1035" s="144">
        <f t="shared" ref="K1035:Q1044" ca="1" si="122">OFFSET($A1035,0,K$3)/OFFSET($A1035,0,$P$3)</f>
        <v>0.89306569343065689</v>
      </c>
      <c r="L1035" s="144">
        <f t="shared" ca="1" si="122"/>
        <v>0.60343065693430653</v>
      </c>
      <c r="M1035" s="144">
        <f t="shared" ca="1" si="122"/>
        <v>103.89051094890512</v>
      </c>
      <c r="N1035" s="144">
        <f t="shared" ca="1" si="122"/>
        <v>5.9945255474452557</v>
      </c>
      <c r="O1035" s="144">
        <f t="shared" ca="1" si="122"/>
        <v>35.37591240875912</v>
      </c>
      <c r="P1035" s="144">
        <f t="shared" ca="1" si="122"/>
        <v>1</v>
      </c>
      <c r="Q1035" s="144">
        <f t="shared" ca="1" si="122"/>
        <v>0.72992700729927007</v>
      </c>
    </row>
    <row r="1036" spans="1:17" x14ac:dyDescent="0.25">
      <c r="A1036" s="145">
        <v>41734</v>
      </c>
      <c r="B1036" s="144">
        <v>1.37</v>
      </c>
      <c r="C1036" s="144">
        <v>48.465000000000003</v>
      </c>
      <c r="D1036" s="144">
        <v>8.2125000000000004</v>
      </c>
      <c r="E1036" s="144">
        <v>142.33000000000001</v>
      </c>
      <c r="F1036" s="144">
        <v>0.82669999999999999</v>
      </c>
      <c r="G1036" s="144">
        <v>1.2235</v>
      </c>
      <c r="I1036" s="144">
        <v>1</v>
      </c>
      <c r="J1036" s="145">
        <f t="shared" si="121"/>
        <v>41734</v>
      </c>
      <c r="K1036" s="144">
        <f t="shared" ca="1" si="122"/>
        <v>0.89306569343065689</v>
      </c>
      <c r="L1036" s="144">
        <f t="shared" ca="1" si="122"/>
        <v>0.60343065693430653</v>
      </c>
      <c r="M1036" s="144">
        <f t="shared" ca="1" si="122"/>
        <v>103.89051094890512</v>
      </c>
      <c r="N1036" s="144">
        <f t="shared" ca="1" si="122"/>
        <v>5.9945255474452557</v>
      </c>
      <c r="O1036" s="144">
        <f t="shared" ca="1" si="122"/>
        <v>35.37591240875912</v>
      </c>
      <c r="P1036" s="144">
        <f t="shared" ca="1" si="122"/>
        <v>1</v>
      </c>
      <c r="Q1036" s="144">
        <f t="shared" ca="1" si="122"/>
        <v>0.72992700729927007</v>
      </c>
    </row>
    <row r="1037" spans="1:17" x14ac:dyDescent="0.25">
      <c r="A1037" s="145">
        <v>41733</v>
      </c>
      <c r="B1037" s="144">
        <v>1.37</v>
      </c>
      <c r="C1037" s="144">
        <v>48.465000000000003</v>
      </c>
      <c r="D1037" s="144">
        <v>8.2125000000000004</v>
      </c>
      <c r="E1037" s="144">
        <v>142.33000000000001</v>
      </c>
      <c r="F1037" s="144">
        <v>0.82669999999999999</v>
      </c>
      <c r="G1037" s="144">
        <v>1.2235</v>
      </c>
      <c r="I1037" s="144">
        <v>1</v>
      </c>
      <c r="J1037" s="145">
        <f t="shared" si="121"/>
        <v>41733</v>
      </c>
      <c r="K1037" s="144">
        <f t="shared" ca="1" si="122"/>
        <v>0.89306569343065689</v>
      </c>
      <c r="L1037" s="144">
        <f t="shared" ca="1" si="122"/>
        <v>0.60343065693430653</v>
      </c>
      <c r="M1037" s="144">
        <f t="shared" ca="1" si="122"/>
        <v>103.89051094890512</v>
      </c>
      <c r="N1037" s="144">
        <f t="shared" ca="1" si="122"/>
        <v>5.9945255474452557</v>
      </c>
      <c r="O1037" s="144">
        <f t="shared" ca="1" si="122"/>
        <v>35.37591240875912</v>
      </c>
      <c r="P1037" s="144">
        <f t="shared" ca="1" si="122"/>
        <v>1</v>
      </c>
      <c r="Q1037" s="144">
        <f t="shared" ca="1" si="122"/>
        <v>0.72992700729927007</v>
      </c>
    </row>
    <row r="1038" spans="1:17" x14ac:dyDescent="0.25">
      <c r="A1038" s="145">
        <v>41732</v>
      </c>
      <c r="B1038" s="144">
        <v>1.3771</v>
      </c>
      <c r="C1038" s="144">
        <v>48.936999999999998</v>
      </c>
      <c r="D1038" s="144">
        <v>8.23</v>
      </c>
      <c r="E1038" s="144">
        <v>143.12</v>
      </c>
      <c r="F1038" s="144">
        <v>0.82969999999999999</v>
      </c>
      <c r="G1038" s="144">
        <v>1.2209000000000001</v>
      </c>
      <c r="I1038" s="144">
        <v>1</v>
      </c>
      <c r="J1038" s="145">
        <f t="shared" si="121"/>
        <v>41732</v>
      </c>
      <c r="K1038" s="144">
        <f t="shared" ca="1" si="122"/>
        <v>0.88657323360685503</v>
      </c>
      <c r="L1038" s="144">
        <f t="shared" ca="1" si="122"/>
        <v>0.60249800304988743</v>
      </c>
      <c r="M1038" s="144">
        <f t="shared" ca="1" si="122"/>
        <v>103.92854549415439</v>
      </c>
      <c r="N1038" s="144">
        <f t="shared" ca="1" si="122"/>
        <v>5.9763270641202535</v>
      </c>
      <c r="O1038" s="144">
        <f t="shared" ca="1" si="122"/>
        <v>35.536271875680775</v>
      </c>
      <c r="P1038" s="144">
        <f t="shared" ca="1" si="122"/>
        <v>1</v>
      </c>
      <c r="Q1038" s="144">
        <f t="shared" ca="1" si="122"/>
        <v>0.7261636772928618</v>
      </c>
    </row>
    <row r="1039" spans="1:17" x14ac:dyDescent="0.25">
      <c r="A1039" s="145">
        <v>41731</v>
      </c>
      <c r="B1039" s="144">
        <v>1.3794999999999999</v>
      </c>
      <c r="C1039" s="144">
        <v>48.694299999999998</v>
      </c>
      <c r="D1039" s="144">
        <v>8.2149999999999999</v>
      </c>
      <c r="E1039" s="144">
        <v>143.03</v>
      </c>
      <c r="F1039" s="144">
        <v>0.82799999999999996</v>
      </c>
      <c r="G1039" s="144">
        <v>1.2190000000000001</v>
      </c>
      <c r="I1039" s="144">
        <v>1</v>
      </c>
      <c r="J1039" s="145">
        <f t="shared" si="121"/>
        <v>41731</v>
      </c>
      <c r="K1039" s="144">
        <f t="shared" ca="1" si="122"/>
        <v>0.88365349764407408</v>
      </c>
      <c r="L1039" s="144">
        <f t="shared" ca="1" si="122"/>
        <v>0.60021747009786153</v>
      </c>
      <c r="M1039" s="144">
        <f t="shared" ca="1" si="122"/>
        <v>103.68249365712215</v>
      </c>
      <c r="N1039" s="144">
        <f t="shared" ca="1" si="122"/>
        <v>5.9550561797752808</v>
      </c>
      <c r="O1039" s="144">
        <f t="shared" ca="1" si="122"/>
        <v>35.298513954331277</v>
      </c>
      <c r="P1039" s="144">
        <f t="shared" ca="1" si="122"/>
        <v>1</v>
      </c>
      <c r="Q1039" s="144">
        <f t="shared" ca="1" si="122"/>
        <v>0.72490032620514677</v>
      </c>
    </row>
    <row r="1040" spans="1:17" x14ac:dyDescent="0.25">
      <c r="A1040" s="145">
        <v>41730</v>
      </c>
      <c r="B1040" s="144">
        <v>1.379</v>
      </c>
      <c r="C1040" s="144">
        <v>48.442</v>
      </c>
      <c r="D1040" s="144">
        <v>8.2270000000000003</v>
      </c>
      <c r="E1040" s="144">
        <v>142.53</v>
      </c>
      <c r="F1040" s="144">
        <v>0.82920000000000005</v>
      </c>
      <c r="G1040" s="144">
        <v>1.2178</v>
      </c>
      <c r="I1040" s="144">
        <v>1</v>
      </c>
      <c r="J1040" s="145">
        <f t="shared" si="121"/>
        <v>41730</v>
      </c>
      <c r="K1040" s="144">
        <f t="shared" ca="1" si="122"/>
        <v>0.88310369833212476</v>
      </c>
      <c r="L1040" s="144">
        <f t="shared" ca="1" si="122"/>
        <v>0.60130529369108054</v>
      </c>
      <c r="M1040" s="144">
        <f t="shared" ca="1" si="122"/>
        <v>103.35750543872372</v>
      </c>
      <c r="N1040" s="144">
        <f t="shared" ca="1" si="122"/>
        <v>5.9659173313995648</v>
      </c>
      <c r="O1040" s="144">
        <f t="shared" ca="1" si="122"/>
        <v>35.128353879622914</v>
      </c>
      <c r="P1040" s="144">
        <f t="shared" ca="1" si="122"/>
        <v>1</v>
      </c>
      <c r="Q1040" s="144">
        <f t="shared" ca="1" si="122"/>
        <v>0.72516316171138506</v>
      </c>
    </row>
    <row r="1041" spans="1:17" x14ac:dyDescent="0.25">
      <c r="A1041" s="145">
        <v>41729</v>
      </c>
      <c r="B1041" s="144">
        <v>1.3788</v>
      </c>
      <c r="C1041" s="144">
        <v>48.78</v>
      </c>
      <c r="D1041" s="144">
        <v>8.2550000000000008</v>
      </c>
      <c r="E1041" s="144">
        <v>142.41999999999999</v>
      </c>
      <c r="F1041" s="144">
        <v>0.82820000000000005</v>
      </c>
      <c r="G1041" s="144">
        <v>1.2194</v>
      </c>
      <c r="I1041" s="144">
        <v>1</v>
      </c>
      <c r="J1041" s="145">
        <f t="shared" si="121"/>
        <v>41729</v>
      </c>
      <c r="K1041" s="144">
        <f t="shared" ca="1" si="122"/>
        <v>0.88439222512329563</v>
      </c>
      <c r="L1041" s="144">
        <f t="shared" ca="1" si="122"/>
        <v>0.6006672468813461</v>
      </c>
      <c r="M1041" s="144">
        <f t="shared" ca="1" si="122"/>
        <v>103.29271830577312</v>
      </c>
      <c r="N1041" s="144">
        <f t="shared" ca="1" si="122"/>
        <v>5.9870902233826522</v>
      </c>
      <c r="O1041" s="144">
        <f t="shared" ca="1" si="122"/>
        <v>35.378590078328983</v>
      </c>
      <c r="P1041" s="144">
        <f t="shared" ca="1" si="122"/>
        <v>1</v>
      </c>
      <c r="Q1041" s="144">
        <f t="shared" ca="1" si="122"/>
        <v>0.725268349289237</v>
      </c>
    </row>
    <row r="1042" spans="1:17" x14ac:dyDescent="0.25">
      <c r="A1042" s="145">
        <v>41728</v>
      </c>
      <c r="B1042" s="144">
        <v>1.3758999999999999</v>
      </c>
      <c r="C1042" s="144">
        <v>49.1646</v>
      </c>
      <c r="D1042" s="144">
        <v>8.2454999999999998</v>
      </c>
      <c r="E1042" s="144">
        <v>140.9</v>
      </c>
      <c r="F1042" s="144">
        <v>0.82720000000000005</v>
      </c>
      <c r="G1042" s="144">
        <v>1.2185999999999999</v>
      </c>
      <c r="I1042" s="144">
        <v>1</v>
      </c>
      <c r="J1042" s="145">
        <f t="shared" si="121"/>
        <v>41728</v>
      </c>
      <c r="K1042" s="144">
        <f t="shared" ca="1" si="122"/>
        <v>0.88567483101969624</v>
      </c>
      <c r="L1042" s="144">
        <f t="shared" ca="1" si="122"/>
        <v>0.60120648302929003</v>
      </c>
      <c r="M1042" s="144">
        <f t="shared" ca="1" si="122"/>
        <v>102.40569808852389</v>
      </c>
      <c r="N1042" s="144">
        <f t="shared" ca="1" si="122"/>
        <v>5.9928047096445969</v>
      </c>
      <c r="O1042" s="144">
        <f t="shared" ca="1" si="122"/>
        <v>35.732684061341672</v>
      </c>
      <c r="P1042" s="144">
        <f t="shared" ca="1" si="122"/>
        <v>1</v>
      </c>
      <c r="Q1042" s="144">
        <f t="shared" ca="1" si="122"/>
        <v>0.72679700559633698</v>
      </c>
    </row>
    <row r="1043" spans="1:17" x14ac:dyDescent="0.25">
      <c r="A1043" s="145">
        <v>41727</v>
      </c>
      <c r="B1043" s="144">
        <v>1.3758999999999999</v>
      </c>
      <c r="C1043" s="144">
        <v>49.1646</v>
      </c>
      <c r="D1043" s="144">
        <v>8.2454999999999998</v>
      </c>
      <c r="E1043" s="144">
        <v>140.9</v>
      </c>
      <c r="F1043" s="144">
        <v>0.82720000000000005</v>
      </c>
      <c r="G1043" s="144">
        <v>1.2185999999999999</v>
      </c>
      <c r="I1043" s="144">
        <v>1</v>
      </c>
      <c r="J1043" s="145">
        <f t="shared" si="121"/>
        <v>41727</v>
      </c>
      <c r="K1043" s="144">
        <f t="shared" ca="1" si="122"/>
        <v>0.88567483101969624</v>
      </c>
      <c r="L1043" s="144">
        <f t="shared" ca="1" si="122"/>
        <v>0.60120648302929003</v>
      </c>
      <c r="M1043" s="144">
        <f t="shared" ca="1" si="122"/>
        <v>102.40569808852389</v>
      </c>
      <c r="N1043" s="144">
        <f t="shared" ca="1" si="122"/>
        <v>5.9928047096445969</v>
      </c>
      <c r="O1043" s="144">
        <f t="shared" ca="1" si="122"/>
        <v>35.732684061341672</v>
      </c>
      <c r="P1043" s="144">
        <f t="shared" ca="1" si="122"/>
        <v>1</v>
      </c>
      <c r="Q1043" s="144">
        <f t="shared" ca="1" si="122"/>
        <v>0.72679700559633698</v>
      </c>
    </row>
    <row r="1044" spans="1:17" x14ac:dyDescent="0.25">
      <c r="A1044" s="145">
        <v>41726</v>
      </c>
      <c r="B1044" s="144">
        <v>1.3758999999999999</v>
      </c>
      <c r="C1044" s="144">
        <v>49.1646</v>
      </c>
      <c r="D1044" s="144">
        <v>8.2454999999999998</v>
      </c>
      <c r="E1044" s="144">
        <v>140.9</v>
      </c>
      <c r="F1044" s="144">
        <v>0.82720000000000005</v>
      </c>
      <c r="G1044" s="144">
        <v>1.2185999999999999</v>
      </c>
      <c r="I1044" s="144">
        <v>1</v>
      </c>
      <c r="J1044" s="145">
        <f t="shared" si="121"/>
        <v>41726</v>
      </c>
      <c r="K1044" s="144">
        <f t="shared" ca="1" si="122"/>
        <v>0.88567483101969624</v>
      </c>
      <c r="L1044" s="144">
        <f t="shared" ca="1" si="122"/>
        <v>0.60120648302929003</v>
      </c>
      <c r="M1044" s="144">
        <f t="shared" ca="1" si="122"/>
        <v>102.40569808852389</v>
      </c>
      <c r="N1044" s="144">
        <f t="shared" ca="1" si="122"/>
        <v>5.9928047096445969</v>
      </c>
      <c r="O1044" s="144">
        <f t="shared" ca="1" si="122"/>
        <v>35.732684061341672</v>
      </c>
      <c r="P1044" s="144">
        <f t="shared" ca="1" si="122"/>
        <v>1</v>
      </c>
      <c r="Q1044" s="144">
        <f t="shared" ca="1" si="122"/>
        <v>0.72679700559633698</v>
      </c>
    </row>
    <row r="1045" spans="1:17" x14ac:dyDescent="0.25">
      <c r="A1045" s="145">
        <v>41725</v>
      </c>
      <c r="B1045" s="144">
        <v>1.3757999999999999</v>
      </c>
      <c r="C1045" s="144">
        <v>49.032499999999999</v>
      </c>
      <c r="D1045" s="144">
        <v>8.2654999999999994</v>
      </c>
      <c r="E1045" s="144">
        <v>140.75</v>
      </c>
      <c r="F1045" s="144">
        <v>0.82769999999999999</v>
      </c>
      <c r="G1045" s="144">
        <v>1.2186999999999999</v>
      </c>
      <c r="I1045" s="144">
        <v>1</v>
      </c>
      <c r="J1045" s="145">
        <f t="shared" si="121"/>
        <v>41725</v>
      </c>
      <c r="K1045" s="144">
        <f t="shared" ref="K1045:Q1054" ca="1" si="123">OFFSET($A1045,0,K$3)/OFFSET($A1045,0,$P$3)</f>
        <v>0.88581189126326498</v>
      </c>
      <c r="L1045" s="144">
        <f t="shared" ca="1" si="123"/>
        <v>0.60161360662887053</v>
      </c>
      <c r="M1045" s="144">
        <f t="shared" ca="1" si="123"/>
        <v>102.30411397005379</v>
      </c>
      <c r="N1045" s="144">
        <f t="shared" ca="1" si="123"/>
        <v>6.0077772932112223</v>
      </c>
      <c r="O1045" s="144">
        <f t="shared" ca="1" si="123"/>
        <v>35.639264427969181</v>
      </c>
      <c r="P1045" s="144">
        <f t="shared" ca="1" si="123"/>
        <v>1</v>
      </c>
      <c r="Q1045" s="144">
        <f t="shared" ca="1" si="123"/>
        <v>0.72684983282453852</v>
      </c>
    </row>
    <row r="1046" spans="1:17" x14ac:dyDescent="0.25">
      <c r="A1046" s="145">
        <v>41724</v>
      </c>
      <c r="B1046" s="144">
        <v>1.3791</v>
      </c>
      <c r="C1046" s="144">
        <v>48.896500000000003</v>
      </c>
      <c r="D1046" s="144">
        <v>8.3320000000000007</v>
      </c>
      <c r="E1046" s="144">
        <v>141.25</v>
      </c>
      <c r="F1046" s="144">
        <v>0.83360000000000001</v>
      </c>
      <c r="G1046" s="144">
        <v>1.2216</v>
      </c>
      <c r="I1046" s="144">
        <v>1</v>
      </c>
      <c r="J1046" s="145">
        <f t="shared" si="121"/>
        <v>41724</v>
      </c>
      <c r="K1046" s="144">
        <f t="shared" ca="1" si="123"/>
        <v>0.88579508375027194</v>
      </c>
      <c r="L1046" s="144">
        <f t="shared" ca="1" si="123"/>
        <v>0.60445217895729098</v>
      </c>
      <c r="M1046" s="144">
        <f t="shared" ca="1" si="123"/>
        <v>102.42186933507359</v>
      </c>
      <c r="N1046" s="144">
        <f t="shared" ca="1" si="123"/>
        <v>6.0416213472554574</v>
      </c>
      <c r="O1046" s="144">
        <f t="shared" ca="1" si="123"/>
        <v>35.455369443840191</v>
      </c>
      <c r="P1046" s="144">
        <f t="shared" ca="1" si="123"/>
        <v>1</v>
      </c>
      <c r="Q1046" s="144">
        <f t="shared" ca="1" si="123"/>
        <v>0.72511057936335288</v>
      </c>
    </row>
    <row r="1047" spans="1:17" x14ac:dyDescent="0.25">
      <c r="A1047" s="145">
        <v>41723</v>
      </c>
      <c r="B1047" s="144">
        <v>1.3789</v>
      </c>
      <c r="C1047" s="144">
        <v>49.302700000000002</v>
      </c>
      <c r="D1047" s="144">
        <v>8.34</v>
      </c>
      <c r="E1047" s="144">
        <v>141.22</v>
      </c>
      <c r="F1047" s="144">
        <v>0.83479999999999999</v>
      </c>
      <c r="G1047" s="144">
        <v>1.2197</v>
      </c>
      <c r="I1047" s="144">
        <v>1</v>
      </c>
      <c r="J1047" s="145">
        <f t="shared" si="121"/>
        <v>41723</v>
      </c>
      <c r="K1047" s="144">
        <f t="shared" ca="1" si="123"/>
        <v>0.88454565233156868</v>
      </c>
      <c r="L1047" s="144">
        <f t="shared" ca="1" si="123"/>
        <v>0.60541010950757845</v>
      </c>
      <c r="M1047" s="144">
        <f t="shared" ca="1" si="123"/>
        <v>102.4149684531148</v>
      </c>
      <c r="N1047" s="144">
        <f t="shared" ca="1" si="123"/>
        <v>6.0482993690622955</v>
      </c>
      <c r="O1047" s="144">
        <f t="shared" ca="1" si="123"/>
        <v>35.755094640655592</v>
      </c>
      <c r="P1047" s="144">
        <f t="shared" ca="1" si="123"/>
        <v>1</v>
      </c>
      <c r="Q1047" s="144">
        <f t="shared" ca="1" si="123"/>
        <v>0.72521575168612662</v>
      </c>
    </row>
    <row r="1048" spans="1:17" x14ac:dyDescent="0.25">
      <c r="A1048" s="145">
        <v>41722</v>
      </c>
      <c r="B1048" s="144">
        <v>1.3774</v>
      </c>
      <c r="C1048" s="144">
        <v>49.6815</v>
      </c>
      <c r="D1048" s="144">
        <v>8.3495000000000008</v>
      </c>
      <c r="E1048" s="144">
        <v>141.05000000000001</v>
      </c>
      <c r="F1048" s="144">
        <v>0.83540000000000003</v>
      </c>
      <c r="G1048" s="144">
        <v>1.2197</v>
      </c>
      <c r="I1048" s="144">
        <v>1</v>
      </c>
      <c r="J1048" s="145">
        <f t="shared" si="121"/>
        <v>41722</v>
      </c>
      <c r="K1048" s="144">
        <f t="shared" ca="1" si="123"/>
        <v>0.885508929867867</v>
      </c>
      <c r="L1048" s="144">
        <f t="shared" ca="1" si="123"/>
        <v>0.60650500943807173</v>
      </c>
      <c r="M1048" s="144">
        <f t="shared" ca="1" si="123"/>
        <v>102.40307826339482</v>
      </c>
      <c r="N1048" s="144">
        <f t="shared" ca="1" si="123"/>
        <v>6.0617830695513293</v>
      </c>
      <c r="O1048" s="144">
        <f t="shared" ca="1" si="123"/>
        <v>36.069043124727749</v>
      </c>
      <c r="P1048" s="144">
        <f t="shared" ca="1" si="123"/>
        <v>1</v>
      </c>
      <c r="Q1048" s="144">
        <f t="shared" ca="1" si="123"/>
        <v>0.72600551764193411</v>
      </c>
    </row>
    <row r="1049" spans="1:17" x14ac:dyDescent="0.25">
      <c r="A1049" s="145">
        <v>41721</v>
      </c>
      <c r="B1049" s="144">
        <v>1.3779999999999999</v>
      </c>
      <c r="C1049" s="144">
        <v>50.03</v>
      </c>
      <c r="D1049" s="144">
        <v>8.3695000000000004</v>
      </c>
      <c r="E1049" s="144">
        <v>141.07</v>
      </c>
      <c r="F1049" s="144">
        <v>0.8357</v>
      </c>
      <c r="G1049" s="144">
        <v>1.2181999999999999</v>
      </c>
      <c r="I1049" s="144">
        <v>1</v>
      </c>
      <c r="J1049" s="145">
        <f t="shared" si="121"/>
        <v>41721</v>
      </c>
      <c r="K1049" s="144">
        <f t="shared" ca="1" si="123"/>
        <v>0.88403483309143693</v>
      </c>
      <c r="L1049" s="144">
        <f t="shared" ca="1" si="123"/>
        <v>0.60645863570391878</v>
      </c>
      <c r="M1049" s="144">
        <f t="shared" ca="1" si="123"/>
        <v>102.37300435413643</v>
      </c>
      <c r="N1049" s="144">
        <f t="shared" ca="1" si="123"/>
        <v>6.0736574746008714</v>
      </c>
      <c r="O1049" s="144">
        <f t="shared" ca="1" si="123"/>
        <v>36.306240928882445</v>
      </c>
      <c r="P1049" s="144">
        <f t="shared" ca="1" si="123"/>
        <v>1</v>
      </c>
      <c r="Q1049" s="144">
        <f t="shared" ca="1" si="123"/>
        <v>0.72568940493468803</v>
      </c>
    </row>
    <row r="1050" spans="1:17" x14ac:dyDescent="0.25">
      <c r="A1050" s="145">
        <v>41720</v>
      </c>
      <c r="B1050" s="144">
        <v>1.3779999999999999</v>
      </c>
      <c r="C1050" s="144">
        <v>50.03</v>
      </c>
      <c r="D1050" s="144">
        <v>8.3695000000000004</v>
      </c>
      <c r="E1050" s="144">
        <v>141.07</v>
      </c>
      <c r="F1050" s="144">
        <v>0.8357</v>
      </c>
      <c r="G1050" s="144">
        <v>1.2181999999999999</v>
      </c>
      <c r="I1050" s="144">
        <v>1</v>
      </c>
      <c r="J1050" s="145">
        <f t="shared" si="121"/>
        <v>41720</v>
      </c>
      <c r="K1050" s="144">
        <f t="shared" ca="1" si="123"/>
        <v>0.88403483309143693</v>
      </c>
      <c r="L1050" s="144">
        <f t="shared" ca="1" si="123"/>
        <v>0.60645863570391878</v>
      </c>
      <c r="M1050" s="144">
        <f t="shared" ca="1" si="123"/>
        <v>102.37300435413643</v>
      </c>
      <c r="N1050" s="144">
        <f t="shared" ca="1" si="123"/>
        <v>6.0736574746008714</v>
      </c>
      <c r="O1050" s="144">
        <f t="shared" ca="1" si="123"/>
        <v>36.306240928882445</v>
      </c>
      <c r="P1050" s="144">
        <f t="shared" ca="1" si="123"/>
        <v>1</v>
      </c>
      <c r="Q1050" s="144">
        <f t="shared" ca="1" si="123"/>
        <v>0.72568940493468803</v>
      </c>
    </row>
    <row r="1051" spans="1:17" x14ac:dyDescent="0.25">
      <c r="A1051" s="145">
        <v>41719</v>
      </c>
      <c r="B1051" s="144">
        <v>1.3779999999999999</v>
      </c>
      <c r="C1051" s="144">
        <v>50.03</v>
      </c>
      <c r="D1051" s="144">
        <v>8.3695000000000004</v>
      </c>
      <c r="E1051" s="144">
        <v>141.07</v>
      </c>
      <c r="F1051" s="144">
        <v>0.8357</v>
      </c>
      <c r="G1051" s="144">
        <v>1.2181999999999999</v>
      </c>
      <c r="I1051" s="144">
        <v>1</v>
      </c>
      <c r="J1051" s="145">
        <f t="shared" si="121"/>
        <v>41719</v>
      </c>
      <c r="K1051" s="144">
        <f t="shared" ca="1" si="123"/>
        <v>0.88403483309143693</v>
      </c>
      <c r="L1051" s="144">
        <f t="shared" ca="1" si="123"/>
        <v>0.60645863570391878</v>
      </c>
      <c r="M1051" s="144">
        <f t="shared" ca="1" si="123"/>
        <v>102.37300435413643</v>
      </c>
      <c r="N1051" s="144">
        <f t="shared" ca="1" si="123"/>
        <v>6.0736574746008714</v>
      </c>
      <c r="O1051" s="144">
        <f t="shared" ca="1" si="123"/>
        <v>36.306240928882445</v>
      </c>
      <c r="P1051" s="144">
        <f t="shared" ca="1" si="123"/>
        <v>1</v>
      </c>
      <c r="Q1051" s="144">
        <f t="shared" ca="1" si="123"/>
        <v>0.72568940493468803</v>
      </c>
    </row>
    <row r="1052" spans="1:17" x14ac:dyDescent="0.25">
      <c r="A1052" s="145">
        <v>41718</v>
      </c>
      <c r="B1052" s="144">
        <v>1.3762000000000001</v>
      </c>
      <c r="C1052" s="144">
        <v>49.704000000000001</v>
      </c>
      <c r="D1052" s="144">
        <v>8.3704999999999998</v>
      </c>
      <c r="E1052" s="144">
        <v>140.85</v>
      </c>
      <c r="F1052" s="144">
        <v>0.83455000000000001</v>
      </c>
      <c r="G1052" s="144">
        <v>1.2190000000000001</v>
      </c>
      <c r="I1052" s="144">
        <v>1</v>
      </c>
      <c r="J1052" s="145">
        <f t="shared" si="121"/>
        <v>41718</v>
      </c>
      <c r="K1052" s="144">
        <f t="shared" ca="1" si="123"/>
        <v>0.88577241679988372</v>
      </c>
      <c r="L1052" s="144">
        <f t="shared" ca="1" si="123"/>
        <v>0.60641621857288186</v>
      </c>
      <c r="M1052" s="144">
        <f t="shared" ca="1" si="123"/>
        <v>102.34704258102019</v>
      </c>
      <c r="N1052" s="144">
        <f t="shared" ca="1" si="123"/>
        <v>6.0823281499782</v>
      </c>
      <c r="O1052" s="144">
        <f t="shared" ca="1" si="123"/>
        <v>36.116843482052026</v>
      </c>
      <c r="P1052" s="144">
        <f t="shared" ca="1" si="123"/>
        <v>1</v>
      </c>
      <c r="Q1052" s="144">
        <f t="shared" ca="1" si="123"/>
        <v>0.72663856997529419</v>
      </c>
    </row>
    <row r="1053" spans="1:17" x14ac:dyDescent="0.25">
      <c r="A1053" s="145">
        <v>41717</v>
      </c>
      <c r="B1053" s="144">
        <v>1.3913</v>
      </c>
      <c r="C1053" s="144">
        <v>49.98</v>
      </c>
      <c r="D1053" s="144">
        <v>8.3175000000000008</v>
      </c>
      <c r="E1053" s="144">
        <v>141.31</v>
      </c>
      <c r="F1053" s="144">
        <v>0.83679999999999999</v>
      </c>
      <c r="G1053" s="144">
        <v>1.2166999999999999</v>
      </c>
      <c r="I1053" s="144">
        <v>1</v>
      </c>
      <c r="J1053" s="145">
        <f t="shared" si="121"/>
        <v>41717</v>
      </c>
      <c r="K1053" s="144">
        <f t="shared" ca="1" si="123"/>
        <v>0.8745058578308057</v>
      </c>
      <c r="L1053" s="144">
        <f t="shared" ca="1" si="123"/>
        <v>0.60145187953712353</v>
      </c>
      <c r="M1053" s="144">
        <f t="shared" ca="1" si="123"/>
        <v>101.56687989649969</v>
      </c>
      <c r="N1053" s="144">
        <f t="shared" ca="1" si="123"/>
        <v>5.9782218069431474</v>
      </c>
      <c r="O1053" s="144">
        <f t="shared" ca="1" si="123"/>
        <v>35.923237260116437</v>
      </c>
      <c r="P1053" s="144">
        <f t="shared" ca="1" si="123"/>
        <v>1</v>
      </c>
      <c r="Q1053" s="144">
        <f t="shared" ca="1" si="123"/>
        <v>0.71875224610076904</v>
      </c>
    </row>
    <row r="1054" spans="1:17" x14ac:dyDescent="0.25">
      <c r="A1054" s="145">
        <v>41716</v>
      </c>
      <c r="B1054" s="144">
        <v>1.3902000000000001</v>
      </c>
      <c r="C1054" s="144">
        <v>50.552500000000002</v>
      </c>
      <c r="D1054" s="144">
        <v>8.3049999999999997</v>
      </c>
      <c r="E1054" s="144">
        <v>141.1</v>
      </c>
      <c r="F1054" s="144">
        <v>0.83830000000000005</v>
      </c>
      <c r="G1054" s="144">
        <v>1.2161999999999999</v>
      </c>
      <c r="I1054" s="144">
        <v>1</v>
      </c>
      <c r="J1054" s="145">
        <f t="shared" si="121"/>
        <v>41716</v>
      </c>
      <c r="K1054" s="144">
        <f t="shared" ca="1" si="123"/>
        <v>0.87483815278377197</v>
      </c>
      <c r="L1054" s="144">
        <f t="shared" ca="1" si="123"/>
        <v>0.60300676161703348</v>
      </c>
      <c r="M1054" s="144">
        <f t="shared" ca="1" si="123"/>
        <v>101.49618759890662</v>
      </c>
      <c r="N1054" s="144">
        <f t="shared" ca="1" si="123"/>
        <v>5.9739605812113359</v>
      </c>
      <c r="O1054" s="144">
        <f t="shared" ca="1" si="123"/>
        <v>36.363472881599769</v>
      </c>
      <c r="P1054" s="144">
        <f t="shared" ca="1" si="123"/>
        <v>1</v>
      </c>
      <c r="Q1054" s="144">
        <f t="shared" ca="1" si="123"/>
        <v>0.71932096101280385</v>
      </c>
    </row>
    <row r="1055" spans="1:17" x14ac:dyDescent="0.25">
      <c r="A1055" s="145">
        <v>41715</v>
      </c>
      <c r="B1055" s="144">
        <v>1.3906000000000001</v>
      </c>
      <c r="C1055" s="144">
        <v>50.731000000000002</v>
      </c>
      <c r="D1055" s="144">
        <v>8.2799999999999994</v>
      </c>
      <c r="E1055" s="144">
        <v>141.44999999999999</v>
      </c>
      <c r="F1055" s="144">
        <v>0.83674999999999999</v>
      </c>
      <c r="G1055" s="144">
        <v>1.2154</v>
      </c>
      <c r="I1055" s="144">
        <v>1</v>
      </c>
      <c r="J1055" s="145">
        <f t="shared" si="121"/>
        <v>41715</v>
      </c>
      <c r="K1055" s="144">
        <f t="shared" ref="K1055:Q1064" ca="1" si="124">OFFSET($A1055,0,K$3)/OFFSET($A1055,0,$P$3)</f>
        <v>0.87401121817920324</v>
      </c>
      <c r="L1055" s="144">
        <f t="shared" ca="1" si="124"/>
        <v>0.60171868258305761</v>
      </c>
      <c r="M1055" s="144">
        <f t="shared" ca="1" si="124"/>
        <v>101.71868258305766</v>
      </c>
      <c r="N1055" s="144">
        <f t="shared" ca="1" si="124"/>
        <v>5.9542643463253269</v>
      </c>
      <c r="O1055" s="144">
        <f t="shared" ca="1" si="124"/>
        <v>36.481374946066445</v>
      </c>
      <c r="P1055" s="144">
        <f t="shared" ca="1" si="124"/>
        <v>1</v>
      </c>
      <c r="Q1055" s="144">
        <f t="shared" ca="1" si="124"/>
        <v>0.71911405148856611</v>
      </c>
    </row>
    <row r="1056" spans="1:17" x14ac:dyDescent="0.25">
      <c r="A1056" s="145">
        <v>41714</v>
      </c>
      <c r="B1056" s="144">
        <v>1.3884000000000001</v>
      </c>
      <c r="C1056" s="144">
        <v>50.930500000000002</v>
      </c>
      <c r="D1056" s="144">
        <v>8.3074999999999992</v>
      </c>
      <c r="E1056" s="144">
        <v>140.63</v>
      </c>
      <c r="F1056" s="144">
        <v>0.83665</v>
      </c>
      <c r="G1056" s="144">
        <v>1.2123999999999999</v>
      </c>
      <c r="I1056" s="144">
        <v>1</v>
      </c>
      <c r="J1056" s="145">
        <f t="shared" si="121"/>
        <v>41714</v>
      </c>
      <c r="K1056" s="144">
        <f t="shared" ca="1" si="124"/>
        <v>0.87323537885335623</v>
      </c>
      <c r="L1056" s="144">
        <f t="shared" ca="1" si="124"/>
        <v>0.60260011524056467</v>
      </c>
      <c r="M1056" s="144">
        <f t="shared" ca="1" si="124"/>
        <v>101.28925381734369</v>
      </c>
      <c r="N1056" s="144">
        <f t="shared" ca="1" si="124"/>
        <v>5.9835061941803502</v>
      </c>
      <c r="O1056" s="144">
        <f t="shared" ca="1" si="124"/>
        <v>36.682872371074616</v>
      </c>
      <c r="P1056" s="144">
        <f t="shared" ca="1" si="124"/>
        <v>1</v>
      </c>
      <c r="Q1056" s="144">
        <f t="shared" ca="1" si="124"/>
        <v>0.72025352924229324</v>
      </c>
    </row>
    <row r="1057" spans="1:17" x14ac:dyDescent="0.25">
      <c r="A1057" s="145">
        <v>41713</v>
      </c>
      <c r="B1057" s="144">
        <v>1.3884000000000001</v>
      </c>
      <c r="C1057" s="144">
        <v>50.930500000000002</v>
      </c>
      <c r="D1057" s="144">
        <v>8.3074999999999992</v>
      </c>
      <c r="E1057" s="144">
        <v>140.63</v>
      </c>
      <c r="F1057" s="144">
        <v>0.83665</v>
      </c>
      <c r="G1057" s="144">
        <v>1.2123999999999999</v>
      </c>
      <c r="I1057" s="144">
        <v>1</v>
      </c>
      <c r="J1057" s="145">
        <f t="shared" si="121"/>
        <v>41713</v>
      </c>
      <c r="K1057" s="144">
        <f t="shared" ca="1" si="124"/>
        <v>0.87323537885335623</v>
      </c>
      <c r="L1057" s="144">
        <f t="shared" ca="1" si="124"/>
        <v>0.60260011524056467</v>
      </c>
      <c r="M1057" s="144">
        <f t="shared" ca="1" si="124"/>
        <v>101.28925381734369</v>
      </c>
      <c r="N1057" s="144">
        <f t="shared" ca="1" si="124"/>
        <v>5.9835061941803502</v>
      </c>
      <c r="O1057" s="144">
        <f t="shared" ca="1" si="124"/>
        <v>36.682872371074616</v>
      </c>
      <c r="P1057" s="144">
        <f t="shared" ca="1" si="124"/>
        <v>1</v>
      </c>
      <c r="Q1057" s="144">
        <f t="shared" ca="1" si="124"/>
        <v>0.72025352924229324</v>
      </c>
    </row>
    <row r="1058" spans="1:17" x14ac:dyDescent="0.25">
      <c r="A1058" s="145">
        <v>41712</v>
      </c>
      <c r="B1058" s="144">
        <v>1.3884000000000001</v>
      </c>
      <c r="C1058" s="144">
        <v>50.930500000000002</v>
      </c>
      <c r="D1058" s="144">
        <v>8.3074999999999992</v>
      </c>
      <c r="E1058" s="144">
        <v>140.63</v>
      </c>
      <c r="F1058" s="144">
        <v>0.83665</v>
      </c>
      <c r="G1058" s="144">
        <v>1.2123999999999999</v>
      </c>
      <c r="I1058" s="144">
        <v>1</v>
      </c>
      <c r="J1058" s="145">
        <f t="shared" si="121"/>
        <v>41712</v>
      </c>
      <c r="K1058" s="144">
        <f t="shared" ca="1" si="124"/>
        <v>0.87323537885335623</v>
      </c>
      <c r="L1058" s="144">
        <f t="shared" ca="1" si="124"/>
        <v>0.60260011524056467</v>
      </c>
      <c r="M1058" s="144">
        <f t="shared" ca="1" si="124"/>
        <v>101.28925381734369</v>
      </c>
      <c r="N1058" s="144">
        <f t="shared" ca="1" si="124"/>
        <v>5.9835061941803502</v>
      </c>
      <c r="O1058" s="144">
        <f t="shared" ca="1" si="124"/>
        <v>36.682872371074616</v>
      </c>
      <c r="P1058" s="144">
        <f t="shared" ca="1" si="124"/>
        <v>1</v>
      </c>
      <c r="Q1058" s="144">
        <f t="shared" ca="1" si="124"/>
        <v>0.72025352924229324</v>
      </c>
    </row>
    <row r="1059" spans="1:17" x14ac:dyDescent="0.25">
      <c r="A1059" s="145">
        <v>41711</v>
      </c>
      <c r="B1059" s="144">
        <v>1.3942000000000001</v>
      </c>
      <c r="C1059" s="144">
        <v>50.81</v>
      </c>
      <c r="D1059" s="144">
        <v>8.2575000000000003</v>
      </c>
      <c r="E1059" s="144">
        <v>143.30000000000001</v>
      </c>
      <c r="F1059" s="144">
        <v>0.83545000000000003</v>
      </c>
      <c r="G1059" s="144">
        <v>1.216</v>
      </c>
      <c r="I1059" s="144">
        <v>1</v>
      </c>
      <c r="J1059" s="145">
        <f t="shared" si="121"/>
        <v>41711</v>
      </c>
      <c r="K1059" s="144">
        <f t="shared" ca="1" si="124"/>
        <v>0.87218476545689272</v>
      </c>
      <c r="L1059" s="144">
        <f t="shared" ca="1" si="124"/>
        <v>0.59923253478697458</v>
      </c>
      <c r="M1059" s="144">
        <f t="shared" ca="1" si="124"/>
        <v>102.78295796872759</v>
      </c>
      <c r="N1059" s="144">
        <f t="shared" ca="1" si="124"/>
        <v>5.9227513986515561</v>
      </c>
      <c r="O1059" s="144">
        <f t="shared" ca="1" si="124"/>
        <v>36.443838760579546</v>
      </c>
      <c r="P1059" s="144">
        <f t="shared" ca="1" si="124"/>
        <v>1</v>
      </c>
      <c r="Q1059" s="144">
        <f t="shared" ca="1" si="124"/>
        <v>0.71725720843494467</v>
      </c>
    </row>
    <row r="1060" spans="1:17" x14ac:dyDescent="0.25">
      <c r="A1060" s="145">
        <v>41710</v>
      </c>
      <c r="B1060" s="144">
        <v>1.3887</v>
      </c>
      <c r="C1060" s="144">
        <v>50.699399999999997</v>
      </c>
      <c r="D1060" s="144">
        <v>8.2870000000000008</v>
      </c>
      <c r="E1060" s="144">
        <v>142.68</v>
      </c>
      <c r="F1060" s="144">
        <v>0.83589999999999998</v>
      </c>
      <c r="G1060" s="144">
        <v>1.2159</v>
      </c>
      <c r="I1060" s="144">
        <v>1</v>
      </c>
      <c r="J1060" s="145">
        <f t="shared" si="121"/>
        <v>41710</v>
      </c>
      <c r="K1060" s="144">
        <f t="shared" ca="1" si="124"/>
        <v>0.8755670771224886</v>
      </c>
      <c r="L1060" s="144">
        <f t="shared" ca="1" si="124"/>
        <v>0.60192986246129465</v>
      </c>
      <c r="M1060" s="144">
        <f t="shared" ca="1" si="124"/>
        <v>102.74357312594513</v>
      </c>
      <c r="N1060" s="144">
        <f t="shared" ca="1" si="124"/>
        <v>5.9674515734139844</v>
      </c>
      <c r="O1060" s="144">
        <f t="shared" ca="1" si="124"/>
        <v>36.508533160509828</v>
      </c>
      <c r="P1060" s="144">
        <f t="shared" ca="1" si="124"/>
        <v>1</v>
      </c>
      <c r="Q1060" s="144">
        <f t="shared" ca="1" si="124"/>
        <v>0.72009793331893135</v>
      </c>
    </row>
    <row r="1061" spans="1:17" x14ac:dyDescent="0.25">
      <c r="A1061" s="145">
        <v>41709</v>
      </c>
      <c r="B1061" s="144">
        <v>1.385</v>
      </c>
      <c r="C1061" s="144">
        <v>50.428100000000001</v>
      </c>
      <c r="D1061" s="144">
        <v>8.2385000000000002</v>
      </c>
      <c r="E1061" s="144">
        <v>143.05000000000001</v>
      </c>
      <c r="F1061" s="144">
        <v>0.83360000000000001</v>
      </c>
      <c r="G1061" s="144">
        <v>1.2175</v>
      </c>
      <c r="I1061" s="144">
        <v>1</v>
      </c>
      <c r="J1061" s="145">
        <f t="shared" si="121"/>
        <v>41709</v>
      </c>
      <c r="K1061" s="144">
        <f t="shared" ca="1" si="124"/>
        <v>0.87906137184115529</v>
      </c>
      <c r="L1061" s="144">
        <f t="shared" ca="1" si="124"/>
        <v>0.60187725631768951</v>
      </c>
      <c r="M1061" s="144">
        <f t="shared" ca="1" si="124"/>
        <v>103.28519855595668</v>
      </c>
      <c r="N1061" s="144">
        <f t="shared" ca="1" si="124"/>
        <v>5.9483754512635381</v>
      </c>
      <c r="O1061" s="144">
        <f t="shared" ca="1" si="124"/>
        <v>36.410180505415163</v>
      </c>
      <c r="P1061" s="144">
        <f t="shared" ca="1" si="124"/>
        <v>1</v>
      </c>
      <c r="Q1061" s="144">
        <f t="shared" ca="1" si="124"/>
        <v>0.72202166064981954</v>
      </c>
    </row>
    <row r="1062" spans="1:17" x14ac:dyDescent="0.25">
      <c r="A1062" s="145">
        <v>41708</v>
      </c>
      <c r="B1062" s="144">
        <v>1.3880999999999999</v>
      </c>
      <c r="C1062" s="144">
        <v>50.521799999999999</v>
      </c>
      <c r="D1062" s="144">
        <v>8.282</v>
      </c>
      <c r="E1062" s="144">
        <v>143.38999999999999</v>
      </c>
      <c r="F1062" s="144">
        <v>0.83379999999999999</v>
      </c>
      <c r="G1062" s="144">
        <v>1.2192000000000001</v>
      </c>
      <c r="I1062" s="144">
        <v>1</v>
      </c>
      <c r="J1062" s="145">
        <f t="shared" si="121"/>
        <v>41708</v>
      </c>
      <c r="K1062" s="144">
        <f t="shared" ca="1" si="124"/>
        <v>0.87832288740004338</v>
      </c>
      <c r="L1062" s="144">
        <f t="shared" ca="1" si="124"/>
        <v>0.60067718464087605</v>
      </c>
      <c r="M1062" s="144">
        <f t="shared" ca="1" si="124"/>
        <v>103.29947410128953</v>
      </c>
      <c r="N1062" s="144">
        <f t="shared" ca="1" si="124"/>
        <v>5.9664289316331685</v>
      </c>
      <c r="O1062" s="144">
        <f t="shared" ca="1" si="124"/>
        <v>36.396369137670199</v>
      </c>
      <c r="P1062" s="144">
        <f t="shared" ca="1" si="124"/>
        <v>1</v>
      </c>
      <c r="Q1062" s="144">
        <f t="shared" ca="1" si="124"/>
        <v>0.72040919242129531</v>
      </c>
    </row>
    <row r="1063" spans="1:17" x14ac:dyDescent="0.25">
      <c r="A1063" s="145">
        <v>41707</v>
      </c>
      <c r="B1063" s="144">
        <v>1.3894</v>
      </c>
      <c r="C1063" s="144">
        <v>50.499699999999997</v>
      </c>
      <c r="D1063" s="144">
        <v>8.2780000000000005</v>
      </c>
      <c r="E1063" s="144">
        <v>143.02000000000001</v>
      </c>
      <c r="F1063" s="144">
        <v>0.82850000000000001</v>
      </c>
      <c r="G1063" s="144">
        <v>1.2191000000000001</v>
      </c>
      <c r="I1063" s="144">
        <v>1</v>
      </c>
      <c r="J1063" s="145">
        <f t="shared" si="121"/>
        <v>41707</v>
      </c>
      <c r="K1063" s="144">
        <f t="shared" ca="1" si="124"/>
        <v>0.8774291060889593</v>
      </c>
      <c r="L1063" s="144">
        <f t="shared" ca="1" si="124"/>
        <v>0.59630056139340726</v>
      </c>
      <c r="M1063" s="144">
        <f t="shared" ca="1" si="124"/>
        <v>102.93651936087521</v>
      </c>
      <c r="N1063" s="144">
        <f t="shared" ca="1" si="124"/>
        <v>5.9579674679717867</v>
      </c>
      <c r="O1063" s="144">
        <f t="shared" ca="1" si="124"/>
        <v>36.346408521664024</v>
      </c>
      <c r="P1063" s="144">
        <f t="shared" ca="1" si="124"/>
        <v>1</v>
      </c>
      <c r="Q1063" s="144">
        <f t="shared" ca="1" si="124"/>
        <v>0.71973513746941131</v>
      </c>
    </row>
    <row r="1064" spans="1:17" x14ac:dyDescent="0.25">
      <c r="A1064" s="145">
        <v>41706</v>
      </c>
      <c r="B1064" s="144">
        <v>1.3894</v>
      </c>
      <c r="C1064" s="144">
        <v>50.499699999999997</v>
      </c>
      <c r="D1064" s="144">
        <v>8.2780000000000005</v>
      </c>
      <c r="E1064" s="144">
        <v>143.02000000000001</v>
      </c>
      <c r="F1064" s="144">
        <v>0.82850000000000001</v>
      </c>
      <c r="G1064" s="144">
        <v>1.2191000000000001</v>
      </c>
      <c r="I1064" s="144">
        <v>1</v>
      </c>
      <c r="J1064" s="145">
        <f t="shared" si="121"/>
        <v>41706</v>
      </c>
      <c r="K1064" s="144">
        <f t="shared" ca="1" si="124"/>
        <v>0.8774291060889593</v>
      </c>
      <c r="L1064" s="144">
        <f t="shared" ca="1" si="124"/>
        <v>0.59630056139340726</v>
      </c>
      <c r="M1064" s="144">
        <f t="shared" ca="1" si="124"/>
        <v>102.93651936087521</v>
      </c>
      <c r="N1064" s="144">
        <f t="shared" ca="1" si="124"/>
        <v>5.9579674679717867</v>
      </c>
      <c r="O1064" s="144">
        <f t="shared" ca="1" si="124"/>
        <v>36.346408521664024</v>
      </c>
      <c r="P1064" s="144">
        <f t="shared" ca="1" si="124"/>
        <v>1</v>
      </c>
      <c r="Q1064" s="144">
        <f t="shared" ca="1" si="124"/>
        <v>0.71973513746941131</v>
      </c>
    </row>
    <row r="1065" spans="1:17" x14ac:dyDescent="0.25">
      <c r="A1065" s="145">
        <v>41705</v>
      </c>
      <c r="B1065" s="144">
        <v>1.3894</v>
      </c>
      <c r="C1065" s="144">
        <v>50.499699999999997</v>
      </c>
      <c r="D1065" s="144">
        <v>8.2780000000000005</v>
      </c>
      <c r="E1065" s="144">
        <v>143.02000000000001</v>
      </c>
      <c r="F1065" s="144">
        <v>0.82850000000000001</v>
      </c>
      <c r="G1065" s="144">
        <v>1.2191000000000001</v>
      </c>
      <c r="I1065" s="144">
        <v>1</v>
      </c>
      <c r="J1065" s="145">
        <f t="shared" si="121"/>
        <v>41705</v>
      </c>
      <c r="K1065" s="144">
        <f t="shared" ref="K1065:Q1074" ca="1" si="125">OFFSET($A1065,0,K$3)/OFFSET($A1065,0,$P$3)</f>
        <v>0.8774291060889593</v>
      </c>
      <c r="L1065" s="144">
        <f t="shared" ca="1" si="125"/>
        <v>0.59630056139340726</v>
      </c>
      <c r="M1065" s="144">
        <f t="shared" ca="1" si="125"/>
        <v>102.93651936087521</v>
      </c>
      <c r="N1065" s="144">
        <f t="shared" ca="1" si="125"/>
        <v>5.9579674679717867</v>
      </c>
      <c r="O1065" s="144">
        <f t="shared" ca="1" si="125"/>
        <v>36.346408521664024</v>
      </c>
      <c r="P1065" s="144">
        <f t="shared" ca="1" si="125"/>
        <v>1</v>
      </c>
      <c r="Q1065" s="144">
        <f t="shared" ca="1" si="125"/>
        <v>0.71973513746941131</v>
      </c>
    </row>
    <row r="1066" spans="1:17" x14ac:dyDescent="0.25">
      <c r="A1066" s="145">
        <v>41704</v>
      </c>
      <c r="B1066" s="144">
        <v>1.3745000000000001</v>
      </c>
      <c r="C1066" s="144">
        <v>49.892000000000003</v>
      </c>
      <c r="D1066" s="144">
        <v>8.2264999999999997</v>
      </c>
      <c r="E1066" s="144">
        <v>141.22</v>
      </c>
      <c r="F1066" s="144">
        <v>0.82340000000000002</v>
      </c>
      <c r="G1066" s="144">
        <v>1.2190000000000001</v>
      </c>
      <c r="I1066" s="144">
        <v>1</v>
      </c>
      <c r="J1066" s="145">
        <f t="shared" si="121"/>
        <v>41704</v>
      </c>
      <c r="K1066" s="144">
        <f t="shared" ca="1" si="125"/>
        <v>0.88686795198253909</v>
      </c>
      <c r="L1066" s="144">
        <f t="shared" ca="1" si="125"/>
        <v>0.59905420152782829</v>
      </c>
      <c r="M1066" s="144">
        <f t="shared" ca="1" si="125"/>
        <v>102.74281556929792</v>
      </c>
      <c r="N1066" s="144">
        <f t="shared" ca="1" si="125"/>
        <v>5.9850854856311377</v>
      </c>
      <c r="O1066" s="144">
        <f t="shared" ca="1" si="125"/>
        <v>36.298290287377228</v>
      </c>
      <c r="P1066" s="144">
        <f t="shared" ca="1" si="125"/>
        <v>1</v>
      </c>
      <c r="Q1066" s="144">
        <f t="shared" ca="1" si="125"/>
        <v>0.72753728628592207</v>
      </c>
    </row>
    <row r="1067" spans="1:17" x14ac:dyDescent="0.25">
      <c r="A1067" s="145">
        <v>41703</v>
      </c>
      <c r="B1067" s="144">
        <v>1.3732</v>
      </c>
      <c r="C1067" s="144">
        <v>49.43</v>
      </c>
      <c r="D1067" s="144">
        <v>8.2304999999999993</v>
      </c>
      <c r="E1067" s="144">
        <v>140.71</v>
      </c>
      <c r="F1067" s="144">
        <v>0.82169999999999999</v>
      </c>
      <c r="G1067" s="144">
        <v>1.2185999999999999</v>
      </c>
      <c r="I1067" s="144">
        <v>1</v>
      </c>
      <c r="J1067" s="145">
        <f t="shared" si="121"/>
        <v>41703</v>
      </c>
      <c r="K1067" s="144">
        <f t="shared" ca="1" si="125"/>
        <v>0.88741625400524315</v>
      </c>
      <c r="L1067" s="144">
        <f t="shared" ca="1" si="125"/>
        <v>0.59838333818817357</v>
      </c>
      <c r="M1067" s="144">
        <f t="shared" ca="1" si="125"/>
        <v>102.46868628022139</v>
      </c>
      <c r="N1067" s="144">
        <f t="shared" ca="1" si="125"/>
        <v>5.9936644334401397</v>
      </c>
      <c r="O1067" s="144">
        <f t="shared" ca="1" si="125"/>
        <v>35.996213224584913</v>
      </c>
      <c r="P1067" s="144">
        <f t="shared" ca="1" si="125"/>
        <v>1</v>
      </c>
      <c r="Q1067" s="144">
        <f t="shared" ca="1" si="125"/>
        <v>0.72822604136323921</v>
      </c>
    </row>
    <row r="1068" spans="1:17" x14ac:dyDescent="0.25">
      <c r="A1068" s="145">
        <v>41702</v>
      </c>
      <c r="B1068" s="144">
        <v>1.3768</v>
      </c>
      <c r="C1068" s="144">
        <v>49.750999999999998</v>
      </c>
      <c r="D1068" s="144">
        <v>8.2484999999999999</v>
      </c>
      <c r="E1068" s="144">
        <v>140.19999999999999</v>
      </c>
      <c r="F1068" s="144">
        <v>0.8246</v>
      </c>
      <c r="G1068" s="144">
        <v>1.2172000000000001</v>
      </c>
      <c r="I1068" s="144">
        <v>1</v>
      </c>
      <c r="J1068" s="145">
        <f t="shared" si="121"/>
        <v>41702</v>
      </c>
      <c r="K1068" s="144">
        <f t="shared" ca="1" si="125"/>
        <v>0.88407902382335857</v>
      </c>
      <c r="L1068" s="144">
        <f t="shared" ca="1" si="125"/>
        <v>0.59892504357931431</v>
      </c>
      <c r="M1068" s="144">
        <f t="shared" ca="1" si="125"/>
        <v>101.83033120278907</v>
      </c>
      <c r="N1068" s="144">
        <f t="shared" ca="1" si="125"/>
        <v>5.9910662405578154</v>
      </c>
      <c r="O1068" s="144">
        <f t="shared" ca="1" si="125"/>
        <v>36.135241138872743</v>
      </c>
      <c r="P1068" s="144">
        <f t="shared" ca="1" si="125"/>
        <v>1</v>
      </c>
      <c r="Q1068" s="144">
        <f t="shared" ca="1" si="125"/>
        <v>0.72632190586868095</v>
      </c>
    </row>
    <row r="1069" spans="1:17" x14ac:dyDescent="0.25">
      <c r="A1069" s="145">
        <v>41701</v>
      </c>
      <c r="B1069" s="144">
        <v>1.3768</v>
      </c>
      <c r="C1069" s="144">
        <v>50.083500000000001</v>
      </c>
      <c r="D1069" s="144">
        <v>8.3175000000000008</v>
      </c>
      <c r="E1069" s="144">
        <v>139.51</v>
      </c>
      <c r="F1069" s="144">
        <v>0.82304999999999995</v>
      </c>
      <c r="G1069" s="144">
        <v>1.2129000000000001</v>
      </c>
      <c r="I1069" s="144">
        <v>1</v>
      </c>
      <c r="J1069" s="145">
        <f t="shared" si="121"/>
        <v>41701</v>
      </c>
      <c r="K1069" s="144">
        <f t="shared" ca="1" si="125"/>
        <v>0.88095583962812318</v>
      </c>
      <c r="L1069" s="144">
        <f t="shared" ca="1" si="125"/>
        <v>0.59779924462521783</v>
      </c>
      <c r="M1069" s="144">
        <f t="shared" ca="1" si="125"/>
        <v>101.32916908773967</v>
      </c>
      <c r="N1069" s="144">
        <f t="shared" ca="1" si="125"/>
        <v>6.0411824520627544</v>
      </c>
      <c r="O1069" s="144">
        <f t="shared" ca="1" si="125"/>
        <v>36.376743172574088</v>
      </c>
      <c r="P1069" s="144">
        <f t="shared" ca="1" si="125"/>
        <v>1</v>
      </c>
      <c r="Q1069" s="144">
        <f t="shared" ca="1" si="125"/>
        <v>0.72632190586868095</v>
      </c>
    </row>
    <row r="1070" spans="1:17" x14ac:dyDescent="0.25">
      <c r="A1070" s="145">
        <v>41700</v>
      </c>
      <c r="B1070" s="144">
        <v>1.3813</v>
      </c>
      <c r="C1070" s="144">
        <v>49.943100000000001</v>
      </c>
      <c r="D1070" s="144">
        <v>8.2750000000000004</v>
      </c>
      <c r="E1070" s="144">
        <v>140.63</v>
      </c>
      <c r="F1070" s="144">
        <v>0.82625000000000004</v>
      </c>
      <c r="G1070" s="144">
        <v>1.2153</v>
      </c>
      <c r="I1070" s="144">
        <v>1</v>
      </c>
      <c r="J1070" s="145">
        <f t="shared" si="121"/>
        <v>41700</v>
      </c>
      <c r="K1070" s="144">
        <f t="shared" ca="1" si="125"/>
        <v>0.87982335481068563</v>
      </c>
      <c r="L1070" s="144">
        <f t="shared" ca="1" si="125"/>
        <v>0.59816839209440387</v>
      </c>
      <c r="M1070" s="144">
        <f t="shared" ca="1" si="125"/>
        <v>101.80988923477884</v>
      </c>
      <c r="N1070" s="144">
        <f t="shared" ca="1" si="125"/>
        <v>5.990733367117933</v>
      </c>
      <c r="O1070" s="144">
        <f t="shared" ca="1" si="125"/>
        <v>36.156591616593069</v>
      </c>
      <c r="P1070" s="144">
        <f t="shared" ca="1" si="125"/>
        <v>1</v>
      </c>
      <c r="Q1070" s="144">
        <f t="shared" ca="1" si="125"/>
        <v>0.72395569391153258</v>
      </c>
    </row>
    <row r="1071" spans="1:17" x14ac:dyDescent="0.25">
      <c r="A1071" s="145">
        <v>41699</v>
      </c>
      <c r="B1071" s="144">
        <v>1.3813</v>
      </c>
      <c r="C1071" s="144">
        <v>49.943100000000001</v>
      </c>
      <c r="D1071" s="144">
        <v>8.2750000000000004</v>
      </c>
      <c r="E1071" s="144">
        <v>140.63</v>
      </c>
      <c r="F1071" s="144">
        <v>0.82625000000000004</v>
      </c>
      <c r="G1071" s="144">
        <v>1.2153</v>
      </c>
      <c r="I1071" s="144">
        <v>1</v>
      </c>
      <c r="J1071" s="145">
        <f t="shared" si="121"/>
        <v>41699</v>
      </c>
      <c r="K1071" s="144">
        <f t="shared" ca="1" si="125"/>
        <v>0.87982335481068563</v>
      </c>
      <c r="L1071" s="144">
        <f t="shared" ca="1" si="125"/>
        <v>0.59816839209440387</v>
      </c>
      <c r="M1071" s="144">
        <f t="shared" ca="1" si="125"/>
        <v>101.80988923477884</v>
      </c>
      <c r="N1071" s="144">
        <f t="shared" ca="1" si="125"/>
        <v>5.990733367117933</v>
      </c>
      <c r="O1071" s="144">
        <f t="shared" ca="1" si="125"/>
        <v>36.156591616593069</v>
      </c>
      <c r="P1071" s="144">
        <f t="shared" ca="1" si="125"/>
        <v>1</v>
      </c>
      <c r="Q1071" s="144">
        <f t="shared" ca="1" si="125"/>
        <v>0.72395569391153258</v>
      </c>
    </row>
    <row r="1072" spans="1:17" x14ac:dyDescent="0.25">
      <c r="A1072" s="145">
        <v>41698</v>
      </c>
      <c r="B1072" s="144">
        <v>1.3813</v>
      </c>
      <c r="C1072" s="144">
        <v>49.943100000000001</v>
      </c>
      <c r="D1072" s="144">
        <v>8.2750000000000004</v>
      </c>
      <c r="E1072" s="144">
        <v>140.63</v>
      </c>
      <c r="F1072" s="144">
        <v>0.82625000000000004</v>
      </c>
      <c r="G1072" s="144">
        <v>1.2153</v>
      </c>
      <c r="I1072" s="144">
        <v>1</v>
      </c>
      <c r="J1072" s="145">
        <f t="shared" si="121"/>
        <v>41698</v>
      </c>
      <c r="K1072" s="144">
        <f t="shared" ca="1" si="125"/>
        <v>0.87982335481068563</v>
      </c>
      <c r="L1072" s="144">
        <f t="shared" ca="1" si="125"/>
        <v>0.59816839209440387</v>
      </c>
      <c r="M1072" s="144">
        <f t="shared" ca="1" si="125"/>
        <v>101.80988923477884</v>
      </c>
      <c r="N1072" s="144">
        <f t="shared" ca="1" si="125"/>
        <v>5.990733367117933</v>
      </c>
      <c r="O1072" s="144">
        <f t="shared" ca="1" si="125"/>
        <v>36.156591616593069</v>
      </c>
      <c r="P1072" s="144">
        <f t="shared" ca="1" si="125"/>
        <v>1</v>
      </c>
      <c r="Q1072" s="144">
        <f t="shared" ca="1" si="125"/>
        <v>0.72395569391153258</v>
      </c>
    </row>
    <row r="1073" spans="1:17" x14ac:dyDescent="0.25">
      <c r="A1073" s="145">
        <v>41697</v>
      </c>
      <c r="B1073" s="144">
        <v>1.3655999999999999</v>
      </c>
      <c r="C1073" s="144">
        <v>49.404200000000003</v>
      </c>
      <c r="D1073" s="144">
        <v>8.2735000000000003</v>
      </c>
      <c r="E1073" s="144">
        <v>139.15</v>
      </c>
      <c r="F1073" s="144">
        <v>0.82035000000000002</v>
      </c>
      <c r="G1073" s="144">
        <v>1.2161</v>
      </c>
      <c r="I1073" s="144">
        <v>1</v>
      </c>
      <c r="J1073" s="145">
        <f t="shared" si="121"/>
        <v>41697</v>
      </c>
      <c r="K1073" s="144">
        <f t="shared" ca="1" si="125"/>
        <v>0.89052431165787937</v>
      </c>
      <c r="L1073" s="144">
        <f t="shared" ca="1" si="125"/>
        <v>0.60072495606326892</v>
      </c>
      <c r="M1073" s="144">
        <f t="shared" ca="1" si="125"/>
        <v>101.89660222612773</v>
      </c>
      <c r="N1073" s="144">
        <f t="shared" ca="1" si="125"/>
        <v>6.058509080257763</v>
      </c>
      <c r="O1073" s="144">
        <f t="shared" ca="1" si="125"/>
        <v>36.177650849443474</v>
      </c>
      <c r="P1073" s="144">
        <f t="shared" ca="1" si="125"/>
        <v>1</v>
      </c>
      <c r="Q1073" s="144">
        <f t="shared" ca="1" si="125"/>
        <v>0.73227885178676044</v>
      </c>
    </row>
    <row r="1074" spans="1:17" x14ac:dyDescent="0.25">
      <c r="A1074" s="145">
        <v>41696</v>
      </c>
      <c r="B1074" s="144">
        <v>1.3726</v>
      </c>
      <c r="C1074" s="144">
        <v>49.467199999999998</v>
      </c>
      <c r="D1074" s="144">
        <v>8.3070000000000004</v>
      </c>
      <c r="E1074" s="144">
        <v>140.5</v>
      </c>
      <c r="F1074" s="144">
        <v>0.8226</v>
      </c>
      <c r="G1074" s="144">
        <v>1.2198</v>
      </c>
      <c r="I1074" s="144">
        <v>1</v>
      </c>
      <c r="J1074" s="145">
        <f t="shared" si="121"/>
        <v>41696</v>
      </c>
      <c r="K1074" s="144">
        <f t="shared" ca="1" si="125"/>
        <v>0.88867842051580936</v>
      </c>
      <c r="L1074" s="144">
        <f t="shared" ca="1" si="125"/>
        <v>0.59930059740638197</v>
      </c>
      <c r="M1074" s="144">
        <f t="shared" ca="1" si="125"/>
        <v>102.36048375346058</v>
      </c>
      <c r="N1074" s="144">
        <f t="shared" ca="1" si="125"/>
        <v>6.0520180679003355</v>
      </c>
      <c r="O1074" s="144">
        <f t="shared" ca="1" si="125"/>
        <v>36.039049978143666</v>
      </c>
      <c r="P1074" s="144">
        <f t="shared" ca="1" si="125"/>
        <v>1</v>
      </c>
      <c r="Q1074" s="144">
        <f t="shared" ca="1" si="125"/>
        <v>0.72854436835203262</v>
      </c>
    </row>
    <row r="1075" spans="1:17" x14ac:dyDescent="0.25">
      <c r="A1075" s="145">
        <v>41695</v>
      </c>
      <c r="B1075" s="144">
        <v>1.3754</v>
      </c>
      <c r="C1075" s="144">
        <v>48.994999999999997</v>
      </c>
      <c r="D1075" s="144">
        <v>8.2880000000000003</v>
      </c>
      <c r="E1075" s="144">
        <v>140.65</v>
      </c>
      <c r="F1075" s="144">
        <v>0.82394999999999996</v>
      </c>
      <c r="G1075" s="144">
        <v>1.2193000000000001</v>
      </c>
      <c r="I1075" s="144">
        <v>1</v>
      </c>
      <c r="J1075" s="145">
        <f t="shared" si="121"/>
        <v>41695</v>
      </c>
      <c r="K1075" s="144">
        <f t="shared" ref="K1075:Q1084" ca="1" si="126">OFFSET($A1075,0,K$3)/OFFSET($A1075,0,$P$3)</f>
        <v>0.88650574378362668</v>
      </c>
      <c r="L1075" s="144">
        <f t="shared" ca="1" si="126"/>
        <v>0.59906209102806451</v>
      </c>
      <c r="M1075" s="144">
        <f t="shared" ca="1" si="126"/>
        <v>102.26116038970483</v>
      </c>
      <c r="N1075" s="144">
        <f t="shared" ca="1" si="126"/>
        <v>6.0258833793805442</v>
      </c>
      <c r="O1075" s="144">
        <f t="shared" ca="1" si="126"/>
        <v>35.622364403082742</v>
      </c>
      <c r="P1075" s="144">
        <f t="shared" ca="1" si="126"/>
        <v>1</v>
      </c>
      <c r="Q1075" s="144">
        <f t="shared" ca="1" si="126"/>
        <v>0.72706121855460237</v>
      </c>
    </row>
    <row r="1076" spans="1:17" x14ac:dyDescent="0.25">
      <c r="A1076" s="145">
        <v>41694</v>
      </c>
      <c r="B1076" s="144">
        <v>1.3734999999999999</v>
      </c>
      <c r="C1076" s="144">
        <v>48.839300000000001</v>
      </c>
      <c r="D1076" s="144">
        <v>8.2780000000000005</v>
      </c>
      <c r="E1076" s="144">
        <v>140.69</v>
      </c>
      <c r="F1076" s="144">
        <v>0.82464999999999999</v>
      </c>
      <c r="G1076" s="144">
        <v>1.2209000000000001</v>
      </c>
      <c r="I1076" s="144">
        <v>1</v>
      </c>
      <c r="J1076" s="145">
        <f t="shared" si="121"/>
        <v>41694</v>
      </c>
      <c r="K1076" s="144">
        <f t="shared" ca="1" si="126"/>
        <v>0.88889697852202409</v>
      </c>
      <c r="L1076" s="144">
        <f t="shared" ca="1" si="126"/>
        <v>0.60040043684018929</v>
      </c>
      <c r="M1076" s="144">
        <f t="shared" ca="1" si="126"/>
        <v>102.43174372042228</v>
      </c>
      <c r="N1076" s="144">
        <f t="shared" ca="1" si="126"/>
        <v>6.026938478340008</v>
      </c>
      <c r="O1076" s="144">
        <f t="shared" ca="1" si="126"/>
        <v>35.558281761922096</v>
      </c>
      <c r="P1076" s="144">
        <f t="shared" ca="1" si="126"/>
        <v>1</v>
      </c>
      <c r="Q1076" s="144">
        <f t="shared" ca="1" si="126"/>
        <v>0.72806698216235899</v>
      </c>
    </row>
    <row r="1077" spans="1:17" x14ac:dyDescent="0.25">
      <c r="A1077" s="145">
        <v>41693</v>
      </c>
      <c r="B1077" s="144">
        <v>1.3707</v>
      </c>
      <c r="C1077" s="144">
        <v>49.041499999999999</v>
      </c>
      <c r="D1077" s="144">
        <v>8.3670000000000009</v>
      </c>
      <c r="E1077" s="144">
        <v>140.5</v>
      </c>
      <c r="F1077" s="144">
        <v>0.82182999999999995</v>
      </c>
      <c r="G1077" s="144">
        <v>1.2195</v>
      </c>
      <c r="I1077" s="144">
        <v>1</v>
      </c>
      <c r="J1077" s="145">
        <f t="shared" si="121"/>
        <v>41693</v>
      </c>
      <c r="K1077" s="144">
        <f t="shared" ca="1" si="126"/>
        <v>0.88969139855548263</v>
      </c>
      <c r="L1077" s="144">
        <f t="shared" ca="1" si="126"/>
        <v>0.59956956299700881</v>
      </c>
      <c r="M1077" s="144">
        <f t="shared" ca="1" si="126"/>
        <v>102.50237105128767</v>
      </c>
      <c r="N1077" s="144">
        <f t="shared" ca="1" si="126"/>
        <v>6.1041803458087118</v>
      </c>
      <c r="O1077" s="144">
        <f t="shared" ca="1" si="126"/>
        <v>35.778434376595897</v>
      </c>
      <c r="P1077" s="144">
        <f t="shared" ca="1" si="126"/>
        <v>1</v>
      </c>
      <c r="Q1077" s="144">
        <f t="shared" ca="1" si="126"/>
        <v>0.72955424235791932</v>
      </c>
    </row>
    <row r="1078" spans="1:17" x14ac:dyDescent="0.25">
      <c r="A1078" s="145">
        <v>41692</v>
      </c>
      <c r="B1078" s="144">
        <v>1.3707</v>
      </c>
      <c r="C1078" s="144">
        <v>49.041499999999999</v>
      </c>
      <c r="D1078" s="144">
        <v>8.3670000000000009</v>
      </c>
      <c r="E1078" s="144">
        <v>140.5</v>
      </c>
      <c r="F1078" s="144">
        <v>0.82182999999999995</v>
      </c>
      <c r="G1078" s="144">
        <v>1.2195</v>
      </c>
      <c r="I1078" s="144">
        <v>1</v>
      </c>
      <c r="J1078" s="145">
        <f t="shared" si="121"/>
        <v>41692</v>
      </c>
      <c r="K1078" s="144">
        <f t="shared" ca="1" si="126"/>
        <v>0.88969139855548263</v>
      </c>
      <c r="L1078" s="144">
        <f t="shared" ca="1" si="126"/>
        <v>0.59956956299700881</v>
      </c>
      <c r="M1078" s="144">
        <f t="shared" ca="1" si="126"/>
        <v>102.50237105128767</v>
      </c>
      <c r="N1078" s="144">
        <f t="shared" ca="1" si="126"/>
        <v>6.1041803458087118</v>
      </c>
      <c r="O1078" s="144">
        <f t="shared" ca="1" si="126"/>
        <v>35.778434376595897</v>
      </c>
      <c r="P1078" s="144">
        <f t="shared" ca="1" si="126"/>
        <v>1</v>
      </c>
      <c r="Q1078" s="144">
        <f t="shared" ca="1" si="126"/>
        <v>0.72955424235791932</v>
      </c>
    </row>
    <row r="1079" spans="1:17" x14ac:dyDescent="0.25">
      <c r="A1079" s="145">
        <v>41691</v>
      </c>
      <c r="B1079" s="144">
        <v>1.3707</v>
      </c>
      <c r="C1079" s="144">
        <v>49.041499999999999</v>
      </c>
      <c r="D1079" s="144">
        <v>8.3670000000000009</v>
      </c>
      <c r="E1079" s="144">
        <v>140.5</v>
      </c>
      <c r="F1079" s="144">
        <v>0.82182999999999995</v>
      </c>
      <c r="G1079" s="144">
        <v>1.2195</v>
      </c>
      <c r="I1079" s="144">
        <v>1</v>
      </c>
      <c r="J1079" s="145">
        <f t="shared" si="121"/>
        <v>41691</v>
      </c>
      <c r="K1079" s="144">
        <f t="shared" ca="1" si="126"/>
        <v>0.88969139855548263</v>
      </c>
      <c r="L1079" s="144">
        <f t="shared" ca="1" si="126"/>
        <v>0.59956956299700881</v>
      </c>
      <c r="M1079" s="144">
        <f t="shared" ca="1" si="126"/>
        <v>102.50237105128767</v>
      </c>
      <c r="N1079" s="144">
        <f t="shared" ca="1" si="126"/>
        <v>6.1041803458087118</v>
      </c>
      <c r="O1079" s="144">
        <f t="shared" ca="1" si="126"/>
        <v>35.778434376595897</v>
      </c>
      <c r="P1079" s="144">
        <f t="shared" ca="1" si="126"/>
        <v>1</v>
      </c>
      <c r="Q1079" s="144">
        <f t="shared" ca="1" si="126"/>
        <v>0.72955424235791932</v>
      </c>
    </row>
    <row r="1080" spans="1:17" x14ac:dyDescent="0.25">
      <c r="A1080" s="145">
        <v>41690</v>
      </c>
      <c r="B1080" s="144">
        <v>1.3706</v>
      </c>
      <c r="C1080" s="144">
        <v>49.116199999999999</v>
      </c>
      <c r="D1080" s="144">
        <v>8.3625000000000007</v>
      </c>
      <c r="E1080" s="144">
        <v>139.91</v>
      </c>
      <c r="F1080" s="144">
        <v>0.82199999999999995</v>
      </c>
      <c r="G1080" s="144">
        <v>1.2202999999999999</v>
      </c>
      <c r="I1080" s="144">
        <v>1</v>
      </c>
      <c r="J1080" s="145">
        <f t="shared" si="121"/>
        <v>41690</v>
      </c>
      <c r="K1080" s="144">
        <f t="shared" ca="1" si="126"/>
        <v>0.89033999708157008</v>
      </c>
      <c r="L1080" s="144">
        <f t="shared" ca="1" si="126"/>
        <v>0.59973734131037493</v>
      </c>
      <c r="M1080" s="144">
        <f t="shared" ca="1" si="126"/>
        <v>102.07938129286444</v>
      </c>
      <c r="N1080" s="144">
        <f t="shared" ca="1" si="126"/>
        <v>6.1013424777469725</v>
      </c>
      <c r="O1080" s="144">
        <f t="shared" ca="1" si="126"/>
        <v>35.835546475995912</v>
      </c>
      <c r="P1080" s="144">
        <f t="shared" ca="1" si="126"/>
        <v>1</v>
      </c>
      <c r="Q1080" s="144">
        <f t="shared" ca="1" si="126"/>
        <v>0.72960747118050484</v>
      </c>
    </row>
    <row r="1081" spans="1:17" x14ac:dyDescent="0.25">
      <c r="A1081" s="145">
        <v>41689</v>
      </c>
      <c r="B1081" s="144">
        <v>1.3745000000000001</v>
      </c>
      <c r="C1081" s="144">
        <v>49.142000000000003</v>
      </c>
      <c r="D1081" s="144">
        <v>8.3185000000000002</v>
      </c>
      <c r="E1081" s="144">
        <v>140.08000000000001</v>
      </c>
      <c r="F1081" s="144">
        <v>0.82509999999999994</v>
      </c>
      <c r="G1081" s="144">
        <v>1.2214</v>
      </c>
      <c r="I1081" s="144">
        <v>1</v>
      </c>
      <c r="J1081" s="145">
        <f t="shared" si="121"/>
        <v>41689</v>
      </c>
      <c r="K1081" s="144">
        <f t="shared" ca="1" si="126"/>
        <v>0.8886140414696253</v>
      </c>
      <c r="L1081" s="144">
        <f t="shared" ca="1" si="126"/>
        <v>0.60029101491451431</v>
      </c>
      <c r="M1081" s="144">
        <f t="shared" ca="1" si="126"/>
        <v>101.91342306293198</v>
      </c>
      <c r="N1081" s="144">
        <f t="shared" ca="1" si="126"/>
        <v>6.0520189159694437</v>
      </c>
      <c r="O1081" s="144">
        <f t="shared" ca="1" si="126"/>
        <v>35.752637322662785</v>
      </c>
      <c r="P1081" s="144">
        <f t="shared" ca="1" si="126"/>
        <v>1</v>
      </c>
      <c r="Q1081" s="144">
        <f t="shared" ca="1" si="126"/>
        <v>0.72753728628592207</v>
      </c>
    </row>
    <row r="1082" spans="1:17" x14ac:dyDescent="0.25">
      <c r="A1082" s="145">
        <v>41688</v>
      </c>
      <c r="B1082" s="144">
        <v>1.3731</v>
      </c>
      <c r="C1082" s="144">
        <v>48.402999999999999</v>
      </c>
      <c r="D1082" s="144">
        <v>8.343</v>
      </c>
      <c r="E1082" s="144">
        <v>140.77000000000001</v>
      </c>
      <c r="F1082" s="144">
        <v>0.82330000000000003</v>
      </c>
      <c r="G1082" s="144">
        <v>1.2221</v>
      </c>
      <c r="I1082" s="144">
        <v>1</v>
      </c>
      <c r="J1082" s="145">
        <f t="shared" si="121"/>
        <v>41688</v>
      </c>
      <c r="K1082" s="144">
        <f t="shared" ca="1" si="126"/>
        <v>0.89002985944213819</v>
      </c>
      <c r="L1082" s="144">
        <f t="shared" ca="1" si="126"/>
        <v>0.59959216371713642</v>
      </c>
      <c r="M1082" s="144">
        <f t="shared" ca="1" si="126"/>
        <v>102.51984560483578</v>
      </c>
      <c r="N1082" s="144">
        <f t="shared" ca="1" si="126"/>
        <v>6.0760323355909982</v>
      </c>
      <c r="O1082" s="144">
        <f t="shared" ca="1" si="126"/>
        <v>35.250892141868761</v>
      </c>
      <c r="P1082" s="144">
        <f t="shared" ca="1" si="126"/>
        <v>1</v>
      </c>
      <c r="Q1082" s="144">
        <f t="shared" ca="1" si="126"/>
        <v>0.72827907654213098</v>
      </c>
    </row>
    <row r="1083" spans="1:17" x14ac:dyDescent="0.25">
      <c r="A1083" s="145">
        <v>41687</v>
      </c>
      <c r="B1083" s="144">
        <v>1.3698999999999999</v>
      </c>
      <c r="C1083" s="144">
        <v>48.151899999999998</v>
      </c>
      <c r="D1083" s="144">
        <v>8.32</v>
      </c>
      <c r="E1083" s="144">
        <v>139.6</v>
      </c>
      <c r="F1083" s="144">
        <v>0.81884999999999997</v>
      </c>
      <c r="G1083" s="144">
        <v>1.2221</v>
      </c>
      <c r="I1083" s="144">
        <v>1</v>
      </c>
      <c r="J1083" s="145">
        <f t="shared" si="121"/>
        <v>41687</v>
      </c>
      <c r="K1083" s="144">
        <f t="shared" ca="1" si="126"/>
        <v>0.89210891305934747</v>
      </c>
      <c r="L1083" s="144">
        <f t="shared" ca="1" si="126"/>
        <v>0.59774436090225569</v>
      </c>
      <c r="M1083" s="144">
        <f t="shared" ca="1" si="126"/>
        <v>101.90524855828893</v>
      </c>
      <c r="N1083" s="144">
        <f t="shared" ca="1" si="126"/>
        <v>6.0734360172275359</v>
      </c>
      <c r="O1083" s="144">
        <f t="shared" ca="1" si="126"/>
        <v>35.149937951675305</v>
      </c>
      <c r="P1083" s="144">
        <f t="shared" ca="1" si="126"/>
        <v>1</v>
      </c>
      <c r="Q1083" s="144">
        <f t="shared" ca="1" si="126"/>
        <v>0.72998029053215574</v>
      </c>
    </row>
    <row r="1084" spans="1:17" x14ac:dyDescent="0.25">
      <c r="A1084" s="145">
        <v>41686</v>
      </c>
      <c r="B1084" s="144">
        <v>1.3707</v>
      </c>
      <c r="C1084" s="144">
        <v>48.084000000000003</v>
      </c>
      <c r="D1084" s="144">
        <v>8.3550000000000004</v>
      </c>
      <c r="E1084" s="144">
        <v>139.47999999999999</v>
      </c>
      <c r="F1084" s="144">
        <v>0.82035000000000002</v>
      </c>
      <c r="G1084" s="144">
        <v>1.2221</v>
      </c>
      <c r="I1084" s="144">
        <v>1</v>
      </c>
      <c r="J1084" s="145">
        <f t="shared" si="121"/>
        <v>41686</v>
      </c>
      <c r="K1084" s="144">
        <f t="shared" ca="1" si="126"/>
        <v>0.89158823958561317</v>
      </c>
      <c r="L1084" s="144">
        <f t="shared" ca="1" si="126"/>
        <v>0.59848982271831908</v>
      </c>
      <c r="M1084" s="144">
        <f t="shared" ca="1" si="126"/>
        <v>101.75822572408258</v>
      </c>
      <c r="N1084" s="144">
        <f t="shared" ca="1" si="126"/>
        <v>6.095425694900416</v>
      </c>
      <c r="O1084" s="144">
        <f t="shared" ca="1" si="126"/>
        <v>35.079886189538193</v>
      </c>
      <c r="P1084" s="144">
        <f t="shared" ca="1" si="126"/>
        <v>1</v>
      </c>
      <c r="Q1084" s="144">
        <f t="shared" ca="1" si="126"/>
        <v>0.72955424235791932</v>
      </c>
    </row>
    <row r="1085" spans="1:17" x14ac:dyDescent="0.25">
      <c r="A1085" s="145">
        <v>41685</v>
      </c>
      <c r="B1085" s="144">
        <v>1.3707</v>
      </c>
      <c r="C1085" s="144">
        <v>48.084000000000003</v>
      </c>
      <c r="D1085" s="144">
        <v>8.3550000000000004</v>
      </c>
      <c r="E1085" s="144">
        <v>139.47999999999999</v>
      </c>
      <c r="F1085" s="144">
        <v>0.82035000000000002</v>
      </c>
      <c r="G1085" s="144">
        <v>1.2221</v>
      </c>
      <c r="I1085" s="144">
        <v>1</v>
      </c>
      <c r="J1085" s="145">
        <f t="shared" si="121"/>
        <v>41685</v>
      </c>
      <c r="K1085" s="144">
        <f t="shared" ref="K1085:Q1094" ca="1" si="127">OFFSET($A1085,0,K$3)/OFFSET($A1085,0,$P$3)</f>
        <v>0.89158823958561317</v>
      </c>
      <c r="L1085" s="144">
        <f t="shared" ca="1" si="127"/>
        <v>0.59848982271831908</v>
      </c>
      <c r="M1085" s="144">
        <f t="shared" ca="1" si="127"/>
        <v>101.75822572408258</v>
      </c>
      <c r="N1085" s="144">
        <f t="shared" ca="1" si="127"/>
        <v>6.095425694900416</v>
      </c>
      <c r="O1085" s="144">
        <f t="shared" ca="1" si="127"/>
        <v>35.079886189538193</v>
      </c>
      <c r="P1085" s="144">
        <f t="shared" ca="1" si="127"/>
        <v>1</v>
      </c>
      <c r="Q1085" s="144">
        <f t="shared" ca="1" si="127"/>
        <v>0.72955424235791932</v>
      </c>
    </row>
    <row r="1086" spans="1:17" x14ac:dyDescent="0.25">
      <c r="A1086" s="145">
        <v>41684</v>
      </c>
      <c r="B1086" s="144">
        <v>1.3707</v>
      </c>
      <c r="C1086" s="144">
        <v>48.084000000000003</v>
      </c>
      <c r="D1086" s="144">
        <v>8.3550000000000004</v>
      </c>
      <c r="E1086" s="144">
        <v>139.47999999999999</v>
      </c>
      <c r="F1086" s="144">
        <v>0.82035000000000002</v>
      </c>
      <c r="G1086" s="144">
        <v>1.2221</v>
      </c>
      <c r="I1086" s="144">
        <v>1</v>
      </c>
      <c r="J1086" s="145">
        <f t="shared" si="121"/>
        <v>41684</v>
      </c>
      <c r="K1086" s="144">
        <f t="shared" ca="1" si="127"/>
        <v>0.89158823958561317</v>
      </c>
      <c r="L1086" s="144">
        <f t="shared" ca="1" si="127"/>
        <v>0.59848982271831908</v>
      </c>
      <c r="M1086" s="144">
        <f t="shared" ca="1" si="127"/>
        <v>101.75822572408258</v>
      </c>
      <c r="N1086" s="144">
        <f t="shared" ca="1" si="127"/>
        <v>6.095425694900416</v>
      </c>
      <c r="O1086" s="144">
        <f t="shared" ca="1" si="127"/>
        <v>35.079886189538193</v>
      </c>
      <c r="P1086" s="144">
        <f t="shared" ca="1" si="127"/>
        <v>1</v>
      </c>
      <c r="Q1086" s="144">
        <f t="shared" ca="1" si="127"/>
        <v>0.72955424235791932</v>
      </c>
    </row>
    <row r="1087" spans="1:17" x14ac:dyDescent="0.25">
      <c r="A1087" s="145">
        <v>41683</v>
      </c>
      <c r="B1087" s="144">
        <v>1.3674999999999999</v>
      </c>
      <c r="C1087" s="144">
        <v>48.097499999999997</v>
      </c>
      <c r="D1087" s="144">
        <v>8.3364999999999991</v>
      </c>
      <c r="E1087" s="144">
        <v>139.41999999999999</v>
      </c>
      <c r="F1087" s="144">
        <v>0.82150000000000001</v>
      </c>
      <c r="G1087" s="144">
        <v>1.2216</v>
      </c>
      <c r="I1087" s="144">
        <v>1</v>
      </c>
      <c r="J1087" s="145">
        <f t="shared" si="121"/>
        <v>41683</v>
      </c>
      <c r="K1087" s="144">
        <f t="shared" ca="1" si="127"/>
        <v>0.89330895795246801</v>
      </c>
      <c r="L1087" s="144">
        <f t="shared" ca="1" si="127"/>
        <v>0.60073126142595978</v>
      </c>
      <c r="M1087" s="144">
        <f t="shared" ca="1" si="127"/>
        <v>101.9524680073126</v>
      </c>
      <c r="N1087" s="144">
        <f t="shared" ca="1" si="127"/>
        <v>6.0961608775137108</v>
      </c>
      <c r="O1087" s="144">
        <f t="shared" ca="1" si="127"/>
        <v>35.171846435100548</v>
      </c>
      <c r="P1087" s="144">
        <f t="shared" ca="1" si="127"/>
        <v>1</v>
      </c>
      <c r="Q1087" s="144">
        <f t="shared" ca="1" si="127"/>
        <v>0.73126142595978061</v>
      </c>
    </row>
    <row r="1088" spans="1:17" x14ac:dyDescent="0.25">
      <c r="A1088" s="145">
        <v>41682</v>
      </c>
      <c r="B1088" s="144">
        <v>1.3573</v>
      </c>
      <c r="C1088" s="144">
        <v>47.241500000000002</v>
      </c>
      <c r="D1088" s="144">
        <v>8.3320000000000007</v>
      </c>
      <c r="E1088" s="144">
        <v>138.88999999999999</v>
      </c>
      <c r="F1088" s="144">
        <v>0.8216</v>
      </c>
      <c r="G1088" s="144">
        <v>1.2249000000000001</v>
      </c>
      <c r="I1088" s="144">
        <v>1</v>
      </c>
      <c r="J1088" s="145">
        <f t="shared" si="121"/>
        <v>41682</v>
      </c>
      <c r="K1088" s="144">
        <f t="shared" ca="1" si="127"/>
        <v>0.90245340013261632</v>
      </c>
      <c r="L1088" s="144">
        <f t="shared" ca="1" si="127"/>
        <v>0.60531938407131802</v>
      </c>
      <c r="M1088" s="144">
        <f t="shared" ca="1" si="127"/>
        <v>102.32815147719737</v>
      </c>
      <c r="N1088" s="144">
        <f t="shared" ca="1" si="127"/>
        <v>6.1386576291166293</v>
      </c>
      <c r="O1088" s="144">
        <f t="shared" ca="1" si="127"/>
        <v>34.805496205702504</v>
      </c>
      <c r="P1088" s="144">
        <f t="shared" ca="1" si="127"/>
        <v>1</v>
      </c>
      <c r="Q1088" s="144">
        <f t="shared" ca="1" si="127"/>
        <v>0.73675679658144844</v>
      </c>
    </row>
    <row r="1089" spans="1:17" x14ac:dyDescent="0.25">
      <c r="A1089" s="145">
        <v>41681</v>
      </c>
      <c r="B1089" s="144">
        <v>1.3675999999999999</v>
      </c>
      <c r="C1089" s="144">
        <v>47.507300000000001</v>
      </c>
      <c r="D1089" s="144">
        <v>8.3680000000000003</v>
      </c>
      <c r="E1089" s="144">
        <v>140</v>
      </c>
      <c r="F1089" s="144">
        <v>0.83074999999999999</v>
      </c>
      <c r="G1089" s="144">
        <v>1.2235</v>
      </c>
      <c r="I1089" s="144">
        <v>1</v>
      </c>
      <c r="J1089" s="145">
        <f t="shared" si="121"/>
        <v>41681</v>
      </c>
      <c r="K1089" s="144">
        <f t="shared" ca="1" si="127"/>
        <v>0.89463293360631768</v>
      </c>
      <c r="L1089" s="144">
        <f t="shared" ca="1" si="127"/>
        <v>0.60745100906697869</v>
      </c>
      <c r="M1089" s="144">
        <f t="shared" ca="1" si="127"/>
        <v>102.36911377595789</v>
      </c>
      <c r="N1089" s="144">
        <f t="shared" ca="1" si="127"/>
        <v>6.118748171980112</v>
      </c>
      <c r="O1089" s="144">
        <f t="shared" ca="1" si="127"/>
        <v>34.73771570634689</v>
      </c>
      <c r="P1089" s="144">
        <f t="shared" ca="1" si="127"/>
        <v>1</v>
      </c>
      <c r="Q1089" s="144">
        <f t="shared" ca="1" si="127"/>
        <v>0.73120795554255635</v>
      </c>
    </row>
    <row r="1090" spans="1:17" x14ac:dyDescent="0.25">
      <c r="A1090" s="145">
        <v>41680</v>
      </c>
      <c r="B1090" s="144">
        <v>1.3637999999999999</v>
      </c>
      <c r="C1090" s="144">
        <v>47.402700000000003</v>
      </c>
      <c r="D1090" s="144">
        <v>8.3580000000000005</v>
      </c>
      <c r="E1090" s="144">
        <v>139.26</v>
      </c>
      <c r="F1090" s="144">
        <v>0.83160000000000001</v>
      </c>
      <c r="G1090" s="144">
        <v>1.2234</v>
      </c>
      <c r="I1090" s="144">
        <v>1</v>
      </c>
      <c r="J1090" s="145">
        <f t="shared" si="121"/>
        <v>41680</v>
      </c>
      <c r="K1090" s="144">
        <f t="shared" ca="1" si="127"/>
        <v>0.89705235371755399</v>
      </c>
      <c r="L1090" s="144">
        <f t="shared" ca="1" si="127"/>
        <v>0.60976682798064241</v>
      </c>
      <c r="M1090" s="144">
        <f t="shared" ca="1" si="127"/>
        <v>102.11174659040915</v>
      </c>
      <c r="N1090" s="144">
        <f t="shared" ca="1" si="127"/>
        <v>6.1284645842498913</v>
      </c>
      <c r="O1090" s="144">
        <f t="shared" ca="1" si="127"/>
        <v>34.757809062912457</v>
      </c>
      <c r="P1090" s="144">
        <f t="shared" ca="1" si="127"/>
        <v>1</v>
      </c>
      <c r="Q1090" s="144">
        <f t="shared" ca="1" si="127"/>
        <v>0.7332453438920663</v>
      </c>
    </row>
    <row r="1091" spans="1:17" x14ac:dyDescent="0.25">
      <c r="A1091" s="145">
        <v>41679</v>
      </c>
      <c r="B1091" s="144">
        <v>1.3573999999999999</v>
      </c>
      <c r="C1091" s="144">
        <v>47.12</v>
      </c>
      <c r="D1091" s="144">
        <v>8.4120000000000008</v>
      </c>
      <c r="E1091" s="144">
        <v>138.79</v>
      </c>
      <c r="F1091" s="144">
        <v>0.83140000000000003</v>
      </c>
      <c r="G1091" s="144">
        <v>1.2237</v>
      </c>
      <c r="I1091" s="144">
        <v>1</v>
      </c>
      <c r="J1091" s="145">
        <f t="shared" si="121"/>
        <v>41679</v>
      </c>
      <c r="K1091" s="144">
        <f t="shared" ca="1" si="127"/>
        <v>0.90150287313982613</v>
      </c>
      <c r="L1091" s="144">
        <f t="shared" ca="1" si="127"/>
        <v>0.61249447473110363</v>
      </c>
      <c r="M1091" s="144">
        <f t="shared" ca="1" si="127"/>
        <v>102.24694268454398</v>
      </c>
      <c r="N1091" s="144">
        <f t="shared" ca="1" si="127"/>
        <v>6.1971415942242531</v>
      </c>
      <c r="O1091" s="144">
        <f t="shared" ca="1" si="127"/>
        <v>34.713422719905701</v>
      </c>
      <c r="P1091" s="144">
        <f t="shared" ca="1" si="127"/>
        <v>1</v>
      </c>
      <c r="Q1091" s="144">
        <f t="shared" ca="1" si="127"/>
        <v>0.73670251952261678</v>
      </c>
    </row>
    <row r="1092" spans="1:17" x14ac:dyDescent="0.25">
      <c r="A1092" s="145">
        <v>41678</v>
      </c>
      <c r="B1092" s="144">
        <v>1.3573999999999999</v>
      </c>
      <c r="C1092" s="144">
        <v>47.12</v>
      </c>
      <c r="D1092" s="144">
        <v>8.4120000000000008</v>
      </c>
      <c r="E1092" s="144">
        <v>138.79</v>
      </c>
      <c r="F1092" s="144">
        <v>0.83140000000000003</v>
      </c>
      <c r="G1092" s="144">
        <v>1.2237</v>
      </c>
      <c r="I1092" s="144">
        <v>1</v>
      </c>
      <c r="J1092" s="145">
        <f t="shared" si="121"/>
        <v>41678</v>
      </c>
      <c r="K1092" s="144">
        <f t="shared" ca="1" si="127"/>
        <v>0.90150287313982613</v>
      </c>
      <c r="L1092" s="144">
        <f t="shared" ca="1" si="127"/>
        <v>0.61249447473110363</v>
      </c>
      <c r="M1092" s="144">
        <f t="shared" ca="1" si="127"/>
        <v>102.24694268454398</v>
      </c>
      <c r="N1092" s="144">
        <f t="shared" ca="1" si="127"/>
        <v>6.1971415942242531</v>
      </c>
      <c r="O1092" s="144">
        <f t="shared" ca="1" si="127"/>
        <v>34.713422719905701</v>
      </c>
      <c r="P1092" s="144">
        <f t="shared" ca="1" si="127"/>
        <v>1</v>
      </c>
      <c r="Q1092" s="144">
        <f t="shared" ca="1" si="127"/>
        <v>0.73670251952261678</v>
      </c>
    </row>
    <row r="1093" spans="1:17" x14ac:dyDescent="0.25">
      <c r="A1093" s="145">
        <v>41677</v>
      </c>
      <c r="B1093" s="144">
        <v>1.3573999999999999</v>
      </c>
      <c r="C1093" s="144">
        <v>47.12</v>
      </c>
      <c r="D1093" s="144">
        <v>8.4120000000000008</v>
      </c>
      <c r="E1093" s="144">
        <v>138.79</v>
      </c>
      <c r="F1093" s="144">
        <v>0.83140000000000003</v>
      </c>
      <c r="G1093" s="144">
        <v>1.2237</v>
      </c>
      <c r="I1093" s="144">
        <v>1</v>
      </c>
      <c r="J1093" s="145">
        <f t="shared" ref="J1093:J1156" si="128">A1093</f>
        <v>41677</v>
      </c>
      <c r="K1093" s="144">
        <f t="shared" ca="1" si="127"/>
        <v>0.90150287313982613</v>
      </c>
      <c r="L1093" s="144">
        <f t="shared" ca="1" si="127"/>
        <v>0.61249447473110363</v>
      </c>
      <c r="M1093" s="144">
        <f t="shared" ca="1" si="127"/>
        <v>102.24694268454398</v>
      </c>
      <c r="N1093" s="144">
        <f t="shared" ca="1" si="127"/>
        <v>6.1971415942242531</v>
      </c>
      <c r="O1093" s="144">
        <f t="shared" ca="1" si="127"/>
        <v>34.713422719905701</v>
      </c>
      <c r="P1093" s="144">
        <f t="shared" ca="1" si="127"/>
        <v>1</v>
      </c>
      <c r="Q1093" s="144">
        <f t="shared" ca="1" si="127"/>
        <v>0.73670251952261678</v>
      </c>
    </row>
    <row r="1094" spans="1:17" x14ac:dyDescent="0.25">
      <c r="A1094" s="145">
        <v>41676</v>
      </c>
      <c r="B1094" s="144">
        <v>1.3494999999999999</v>
      </c>
      <c r="C1094" s="144">
        <v>46.99</v>
      </c>
      <c r="D1094" s="144">
        <v>8.4</v>
      </c>
      <c r="E1094" s="144">
        <v>136.93</v>
      </c>
      <c r="F1094" s="144">
        <v>0.82874999999999999</v>
      </c>
      <c r="G1094" s="144">
        <v>1.2223999999999999</v>
      </c>
      <c r="I1094" s="144">
        <v>1</v>
      </c>
      <c r="J1094" s="145">
        <f t="shared" si="128"/>
        <v>41676</v>
      </c>
      <c r="K1094" s="144">
        <f t="shared" ca="1" si="127"/>
        <v>0.90581696924786959</v>
      </c>
      <c r="L1094" s="144">
        <f t="shared" ca="1" si="127"/>
        <v>0.61411633938495747</v>
      </c>
      <c r="M1094" s="144">
        <f t="shared" ca="1" si="127"/>
        <v>101.46721007780661</v>
      </c>
      <c r="N1094" s="144">
        <f t="shared" ca="1" si="127"/>
        <v>6.2245276028158587</v>
      </c>
      <c r="O1094" s="144">
        <f t="shared" ca="1" si="127"/>
        <v>34.82030381622824</v>
      </c>
      <c r="P1094" s="144">
        <f t="shared" ca="1" si="127"/>
        <v>1</v>
      </c>
      <c r="Q1094" s="144">
        <f t="shared" ca="1" si="127"/>
        <v>0.74101519081141165</v>
      </c>
    </row>
    <row r="1095" spans="1:17" x14ac:dyDescent="0.25">
      <c r="A1095" s="145">
        <v>41675</v>
      </c>
      <c r="B1095" s="144">
        <v>1.3543000000000001</v>
      </c>
      <c r="C1095" s="144">
        <v>47.257800000000003</v>
      </c>
      <c r="D1095" s="144">
        <v>8.4580000000000002</v>
      </c>
      <c r="E1095" s="144">
        <v>136.78</v>
      </c>
      <c r="F1095" s="144">
        <v>0.83220000000000005</v>
      </c>
      <c r="G1095" s="144">
        <v>1.2222</v>
      </c>
      <c r="I1095" s="144">
        <v>1</v>
      </c>
      <c r="J1095" s="145">
        <f t="shared" si="128"/>
        <v>41675</v>
      </c>
      <c r="K1095" s="144">
        <f t="shared" ref="K1095:Q1104" ca="1" si="129">OFFSET($A1095,0,K$3)/OFFSET($A1095,0,$P$3)</f>
        <v>0.9024588348224174</v>
      </c>
      <c r="L1095" s="144">
        <f t="shared" ca="1" si="129"/>
        <v>0.61448718895370302</v>
      </c>
      <c r="M1095" s="144">
        <f t="shared" ca="1" si="129"/>
        <v>100.99682492800709</v>
      </c>
      <c r="N1095" s="144">
        <f t="shared" ca="1" si="129"/>
        <v>6.2452927711732995</v>
      </c>
      <c r="O1095" s="144">
        <f t="shared" ca="1" si="129"/>
        <v>34.894631913165476</v>
      </c>
      <c r="P1095" s="144">
        <f t="shared" ca="1" si="129"/>
        <v>1</v>
      </c>
      <c r="Q1095" s="144">
        <f t="shared" ca="1" si="129"/>
        <v>0.73838883556080626</v>
      </c>
    </row>
    <row r="1096" spans="1:17" x14ac:dyDescent="0.25">
      <c r="A1096" s="145">
        <v>41674</v>
      </c>
      <c r="B1096" s="144">
        <v>1.3519000000000001</v>
      </c>
      <c r="C1096" s="144">
        <v>47.431199999999997</v>
      </c>
      <c r="D1096" s="144">
        <v>8.52</v>
      </c>
      <c r="E1096" s="144">
        <v>137.05000000000001</v>
      </c>
      <c r="F1096" s="144">
        <v>0.82904999999999995</v>
      </c>
      <c r="G1096" s="144">
        <v>1.2215</v>
      </c>
      <c r="I1096" s="144">
        <v>1</v>
      </c>
      <c r="J1096" s="145">
        <f t="shared" si="128"/>
        <v>41674</v>
      </c>
      <c r="K1096" s="144">
        <f t="shared" ca="1" si="129"/>
        <v>0.90354316147644054</v>
      </c>
      <c r="L1096" s="144">
        <f t="shared" ca="1" si="129"/>
        <v>0.61324802130335077</v>
      </c>
      <c r="M1096" s="144">
        <f t="shared" ca="1" si="129"/>
        <v>101.3758414083882</v>
      </c>
      <c r="N1096" s="144">
        <f t="shared" ca="1" si="129"/>
        <v>6.3022412900362443</v>
      </c>
      <c r="O1096" s="144">
        <f t="shared" ca="1" si="129"/>
        <v>35.084843553517267</v>
      </c>
      <c r="P1096" s="144">
        <f t="shared" ca="1" si="129"/>
        <v>1</v>
      </c>
      <c r="Q1096" s="144">
        <f t="shared" ca="1" si="129"/>
        <v>0.73969968192913671</v>
      </c>
    </row>
    <row r="1097" spans="1:17" x14ac:dyDescent="0.25">
      <c r="A1097" s="145">
        <v>41673</v>
      </c>
      <c r="B1097" s="144">
        <v>1.3498000000000001</v>
      </c>
      <c r="C1097" s="144">
        <v>47.472999999999999</v>
      </c>
      <c r="D1097" s="144">
        <v>8.4525000000000006</v>
      </c>
      <c r="E1097" s="144">
        <v>137.82</v>
      </c>
      <c r="F1097" s="144">
        <v>0.82589999999999997</v>
      </c>
      <c r="G1097" s="144">
        <v>1.2225999999999999</v>
      </c>
      <c r="I1097" s="144">
        <v>1</v>
      </c>
      <c r="J1097" s="145">
        <f t="shared" si="128"/>
        <v>41673</v>
      </c>
      <c r="K1097" s="144">
        <f t="shared" ca="1" si="129"/>
        <v>0.90576381686175711</v>
      </c>
      <c r="L1097" s="144">
        <f t="shared" ca="1" si="129"/>
        <v>0.61186842495184468</v>
      </c>
      <c r="M1097" s="144">
        <f t="shared" ca="1" si="129"/>
        <v>102.10401540969031</v>
      </c>
      <c r="N1097" s="144">
        <f t="shared" ca="1" si="129"/>
        <v>6.2620388205660094</v>
      </c>
      <c r="O1097" s="144">
        <f t="shared" ca="1" si="129"/>
        <v>35.170395614165059</v>
      </c>
      <c r="P1097" s="144">
        <f t="shared" ca="1" si="129"/>
        <v>1</v>
      </c>
      <c r="Q1097" s="144">
        <f t="shared" ca="1" si="129"/>
        <v>0.74085049636983247</v>
      </c>
    </row>
    <row r="1098" spans="1:17" x14ac:dyDescent="0.25">
      <c r="A1098" s="145">
        <v>41672</v>
      </c>
      <c r="B1098" s="144">
        <v>1.3515999999999999</v>
      </c>
      <c r="C1098" s="144">
        <v>47.748199999999997</v>
      </c>
      <c r="D1098" s="144">
        <v>8.5109999999999992</v>
      </c>
      <c r="E1098" s="144">
        <v>138.13</v>
      </c>
      <c r="F1098" s="144">
        <v>0.82135000000000002</v>
      </c>
      <c r="G1098" s="144">
        <v>1.222</v>
      </c>
      <c r="I1098" s="144">
        <v>1</v>
      </c>
      <c r="J1098" s="145">
        <f t="shared" si="128"/>
        <v>41672</v>
      </c>
      <c r="K1098" s="144">
        <f t="shared" ca="1" si="129"/>
        <v>0.90411364308967157</v>
      </c>
      <c r="L1098" s="144">
        <f t="shared" ca="1" si="129"/>
        <v>0.60768718555785739</v>
      </c>
      <c r="M1098" s="144">
        <f t="shared" ca="1" si="129"/>
        <v>102.19739567919503</v>
      </c>
      <c r="N1098" s="144">
        <f t="shared" ca="1" si="129"/>
        <v>6.2969813554306002</v>
      </c>
      <c r="O1098" s="144">
        <f t="shared" ca="1" si="129"/>
        <v>35.327167801124595</v>
      </c>
      <c r="P1098" s="144">
        <f t="shared" ca="1" si="129"/>
        <v>1</v>
      </c>
      <c r="Q1098" s="144">
        <f t="shared" ca="1" si="129"/>
        <v>0.73986386504883106</v>
      </c>
    </row>
    <row r="1099" spans="1:17" x14ac:dyDescent="0.25">
      <c r="A1099" s="145">
        <v>41671</v>
      </c>
      <c r="B1099" s="144">
        <v>1.3515999999999999</v>
      </c>
      <c r="C1099" s="144">
        <v>47.748199999999997</v>
      </c>
      <c r="D1099" s="144">
        <v>8.5109999999999992</v>
      </c>
      <c r="E1099" s="144">
        <v>138.13</v>
      </c>
      <c r="F1099" s="144">
        <v>0.82135000000000002</v>
      </c>
      <c r="G1099" s="144">
        <v>1.222</v>
      </c>
      <c r="I1099" s="144">
        <v>1</v>
      </c>
      <c r="J1099" s="145">
        <f t="shared" si="128"/>
        <v>41671</v>
      </c>
      <c r="K1099" s="144">
        <f t="shared" ca="1" si="129"/>
        <v>0.90411364308967157</v>
      </c>
      <c r="L1099" s="144">
        <f t="shared" ca="1" si="129"/>
        <v>0.60768718555785739</v>
      </c>
      <c r="M1099" s="144">
        <f t="shared" ca="1" si="129"/>
        <v>102.19739567919503</v>
      </c>
      <c r="N1099" s="144">
        <f t="shared" ca="1" si="129"/>
        <v>6.2969813554306002</v>
      </c>
      <c r="O1099" s="144">
        <f t="shared" ca="1" si="129"/>
        <v>35.327167801124595</v>
      </c>
      <c r="P1099" s="144">
        <f t="shared" ca="1" si="129"/>
        <v>1</v>
      </c>
      <c r="Q1099" s="144">
        <f t="shared" ca="1" si="129"/>
        <v>0.73986386504883106</v>
      </c>
    </row>
    <row r="1100" spans="1:17" x14ac:dyDescent="0.25">
      <c r="A1100" s="145">
        <v>41670</v>
      </c>
      <c r="B1100" s="144">
        <v>1.3515999999999999</v>
      </c>
      <c r="C1100" s="144">
        <v>47.748199999999997</v>
      </c>
      <c r="D1100" s="144">
        <v>8.5109999999999992</v>
      </c>
      <c r="E1100" s="144">
        <v>138.13</v>
      </c>
      <c r="F1100" s="144">
        <v>0.82135000000000002</v>
      </c>
      <c r="G1100" s="144">
        <v>1.222</v>
      </c>
      <c r="I1100" s="144">
        <v>1</v>
      </c>
      <c r="J1100" s="145">
        <f t="shared" si="128"/>
        <v>41670</v>
      </c>
      <c r="K1100" s="144">
        <f t="shared" ca="1" si="129"/>
        <v>0.90411364308967157</v>
      </c>
      <c r="L1100" s="144">
        <f t="shared" ca="1" si="129"/>
        <v>0.60768718555785739</v>
      </c>
      <c r="M1100" s="144">
        <f t="shared" ca="1" si="129"/>
        <v>102.19739567919503</v>
      </c>
      <c r="N1100" s="144">
        <f t="shared" ca="1" si="129"/>
        <v>6.2969813554306002</v>
      </c>
      <c r="O1100" s="144">
        <f t="shared" ca="1" si="129"/>
        <v>35.327167801124595</v>
      </c>
      <c r="P1100" s="144">
        <f t="shared" ca="1" si="129"/>
        <v>1</v>
      </c>
      <c r="Q1100" s="144">
        <f t="shared" ca="1" si="129"/>
        <v>0.73986386504883106</v>
      </c>
    </row>
    <row r="1101" spans="1:17" x14ac:dyDescent="0.25">
      <c r="A1101" s="145">
        <v>41669</v>
      </c>
      <c r="B1101" s="144">
        <v>1.3573999999999999</v>
      </c>
      <c r="C1101" s="144">
        <v>47.802500000000002</v>
      </c>
      <c r="D1101" s="144">
        <v>8.468</v>
      </c>
      <c r="E1101" s="144">
        <v>139.28</v>
      </c>
      <c r="F1101" s="144">
        <v>0.82379999999999998</v>
      </c>
      <c r="G1101" s="144">
        <v>1.2233000000000001</v>
      </c>
      <c r="I1101" s="144">
        <v>1</v>
      </c>
      <c r="J1101" s="145">
        <f t="shared" si="128"/>
        <v>41669</v>
      </c>
      <c r="K1101" s="144">
        <f t="shared" ca="1" si="129"/>
        <v>0.90120819213201719</v>
      </c>
      <c r="L1101" s="144">
        <f t="shared" ca="1" si="129"/>
        <v>0.60689553558273168</v>
      </c>
      <c r="M1101" s="144">
        <f t="shared" ca="1" si="129"/>
        <v>102.60792691911007</v>
      </c>
      <c r="N1101" s="144">
        <f t="shared" ca="1" si="129"/>
        <v>6.2383969353175193</v>
      </c>
      <c r="O1101" s="144">
        <f t="shared" ca="1" si="129"/>
        <v>35.216222189479893</v>
      </c>
      <c r="P1101" s="144">
        <f t="shared" ca="1" si="129"/>
        <v>1</v>
      </c>
      <c r="Q1101" s="144">
        <f t="shared" ca="1" si="129"/>
        <v>0.73670251952261678</v>
      </c>
    </row>
    <row r="1102" spans="1:17" x14ac:dyDescent="0.25">
      <c r="A1102" s="145">
        <v>41668</v>
      </c>
      <c r="B1102" s="144">
        <v>1.3608</v>
      </c>
      <c r="C1102" s="144">
        <v>47.723500000000001</v>
      </c>
      <c r="D1102" s="144">
        <v>8.4380000000000006</v>
      </c>
      <c r="E1102" s="144">
        <v>139.72999999999999</v>
      </c>
      <c r="F1102" s="144">
        <v>0.82210000000000005</v>
      </c>
      <c r="G1102" s="144">
        <v>1.2255</v>
      </c>
      <c r="I1102" s="144">
        <v>1</v>
      </c>
      <c r="J1102" s="145">
        <f t="shared" si="128"/>
        <v>41668</v>
      </c>
      <c r="K1102" s="144">
        <f t="shared" ca="1" si="129"/>
        <v>0.90057319223985888</v>
      </c>
      <c r="L1102" s="144">
        <f t="shared" ca="1" si="129"/>
        <v>0.60412992357436801</v>
      </c>
      <c r="M1102" s="144">
        <f t="shared" ca="1" si="129"/>
        <v>102.68224573780128</v>
      </c>
      <c r="N1102" s="144">
        <f t="shared" ca="1" si="129"/>
        <v>6.200764256319812</v>
      </c>
      <c r="O1102" s="144">
        <f t="shared" ca="1" si="129"/>
        <v>35.07017930629042</v>
      </c>
      <c r="P1102" s="144">
        <f t="shared" ca="1" si="129"/>
        <v>1</v>
      </c>
      <c r="Q1102" s="144">
        <f t="shared" ca="1" si="129"/>
        <v>0.73486184597295712</v>
      </c>
    </row>
    <row r="1103" spans="1:17" x14ac:dyDescent="0.25">
      <c r="A1103" s="145">
        <v>41667</v>
      </c>
      <c r="B1103" s="144">
        <v>1.3649</v>
      </c>
      <c r="C1103" s="144">
        <v>47.323999999999998</v>
      </c>
      <c r="D1103" s="144">
        <v>8.4049999999999994</v>
      </c>
      <c r="E1103" s="144">
        <v>140.61000000000001</v>
      </c>
      <c r="F1103" s="144">
        <v>0.82284999999999997</v>
      </c>
      <c r="G1103" s="144">
        <v>1.2278</v>
      </c>
      <c r="I1103" s="144">
        <v>1</v>
      </c>
      <c r="J1103" s="145">
        <f t="shared" si="128"/>
        <v>41667</v>
      </c>
      <c r="K1103" s="144">
        <f t="shared" ca="1" si="129"/>
        <v>0.89955308081178109</v>
      </c>
      <c r="L1103" s="144">
        <f t="shared" ca="1" si="129"/>
        <v>0.60286467873104255</v>
      </c>
      <c r="M1103" s="144">
        <f t="shared" ca="1" si="129"/>
        <v>103.01853615649499</v>
      </c>
      <c r="N1103" s="144">
        <f t="shared" ca="1" si="129"/>
        <v>6.157960290131145</v>
      </c>
      <c r="O1103" s="144">
        <f t="shared" ca="1" si="129"/>
        <v>34.672137152904973</v>
      </c>
      <c r="P1103" s="144">
        <f t="shared" ca="1" si="129"/>
        <v>1</v>
      </c>
      <c r="Q1103" s="144">
        <f t="shared" ca="1" si="129"/>
        <v>0.73265440691625761</v>
      </c>
    </row>
    <row r="1104" spans="1:17" x14ac:dyDescent="0.25">
      <c r="A1104" s="145">
        <v>41666</v>
      </c>
      <c r="B1104" s="144">
        <v>1.3657999999999999</v>
      </c>
      <c r="C1104" s="144">
        <v>47.219299999999997</v>
      </c>
      <c r="D1104" s="144">
        <v>8.4380000000000006</v>
      </c>
      <c r="E1104" s="144">
        <v>140.38999999999999</v>
      </c>
      <c r="F1104" s="144">
        <v>0.82504999999999995</v>
      </c>
      <c r="G1104" s="144">
        <v>1.2266999999999999</v>
      </c>
      <c r="I1104" s="144">
        <v>1</v>
      </c>
      <c r="J1104" s="145">
        <f t="shared" si="128"/>
        <v>41666</v>
      </c>
      <c r="K1104" s="144">
        <f t="shared" ca="1" si="129"/>
        <v>0.89815492751500947</v>
      </c>
      <c r="L1104" s="144">
        <f t="shared" ca="1" si="129"/>
        <v>0.60407819592912582</v>
      </c>
      <c r="M1104" s="144">
        <f t="shared" ca="1" si="129"/>
        <v>102.78957387611656</v>
      </c>
      <c r="N1104" s="144">
        <f t="shared" ca="1" si="129"/>
        <v>6.1780641382340029</v>
      </c>
      <c r="O1104" s="144">
        <f t="shared" ca="1" si="129"/>
        <v>34.572631424805977</v>
      </c>
      <c r="P1104" s="144">
        <f t="shared" ca="1" si="129"/>
        <v>1</v>
      </c>
      <c r="Q1104" s="144">
        <f t="shared" ca="1" si="129"/>
        <v>0.73217162102796896</v>
      </c>
    </row>
    <row r="1105" spans="1:17" x14ac:dyDescent="0.25">
      <c r="A1105" s="145">
        <v>41665</v>
      </c>
      <c r="B1105" s="144">
        <v>1.3687</v>
      </c>
      <c r="C1105" s="144">
        <v>47.118000000000002</v>
      </c>
      <c r="D1105" s="144">
        <v>8.3915000000000006</v>
      </c>
      <c r="E1105" s="144">
        <v>140.18</v>
      </c>
      <c r="F1105" s="144">
        <v>0.82909999999999995</v>
      </c>
      <c r="G1105" s="144">
        <v>1.2256</v>
      </c>
      <c r="I1105" s="144">
        <v>1</v>
      </c>
      <c r="J1105" s="145">
        <f t="shared" si="128"/>
        <v>41665</v>
      </c>
      <c r="K1105" s="144">
        <f t="shared" ref="K1105:Q1114" ca="1" si="130">OFFSET($A1105,0,K$3)/OFFSET($A1105,0,$P$3)</f>
        <v>0.89544823555198361</v>
      </c>
      <c r="L1105" s="144">
        <f t="shared" ca="1" si="130"/>
        <v>0.60575728793745887</v>
      </c>
      <c r="M1105" s="144">
        <f t="shared" ca="1" si="130"/>
        <v>102.4183531818514</v>
      </c>
      <c r="N1105" s="144">
        <f t="shared" ca="1" si="130"/>
        <v>6.1310002191860891</v>
      </c>
      <c r="O1105" s="144">
        <f t="shared" ca="1" si="130"/>
        <v>34.425367136699059</v>
      </c>
      <c r="P1105" s="144">
        <f t="shared" ca="1" si="130"/>
        <v>1</v>
      </c>
      <c r="Q1105" s="144">
        <f t="shared" ca="1" si="130"/>
        <v>0.73062029663184047</v>
      </c>
    </row>
    <row r="1106" spans="1:17" x14ac:dyDescent="0.25">
      <c r="A1106" s="145">
        <v>41664</v>
      </c>
      <c r="B1106" s="144">
        <v>1.3687</v>
      </c>
      <c r="C1106" s="144">
        <v>47.118000000000002</v>
      </c>
      <c r="D1106" s="144">
        <v>8.3915000000000006</v>
      </c>
      <c r="E1106" s="144">
        <v>140.18</v>
      </c>
      <c r="F1106" s="144">
        <v>0.82909999999999995</v>
      </c>
      <c r="G1106" s="144">
        <v>1.2256</v>
      </c>
      <c r="I1106" s="144">
        <v>1</v>
      </c>
      <c r="J1106" s="145">
        <f t="shared" si="128"/>
        <v>41664</v>
      </c>
      <c r="K1106" s="144">
        <f t="shared" ca="1" si="130"/>
        <v>0.89544823555198361</v>
      </c>
      <c r="L1106" s="144">
        <f t="shared" ca="1" si="130"/>
        <v>0.60575728793745887</v>
      </c>
      <c r="M1106" s="144">
        <f t="shared" ca="1" si="130"/>
        <v>102.4183531818514</v>
      </c>
      <c r="N1106" s="144">
        <f t="shared" ca="1" si="130"/>
        <v>6.1310002191860891</v>
      </c>
      <c r="O1106" s="144">
        <f t="shared" ca="1" si="130"/>
        <v>34.425367136699059</v>
      </c>
      <c r="P1106" s="144">
        <f t="shared" ca="1" si="130"/>
        <v>1</v>
      </c>
      <c r="Q1106" s="144">
        <f t="shared" ca="1" si="130"/>
        <v>0.73062029663184047</v>
      </c>
    </row>
    <row r="1107" spans="1:17" x14ac:dyDescent="0.25">
      <c r="A1107" s="145">
        <v>41663</v>
      </c>
      <c r="B1107" s="144">
        <v>1.3687</v>
      </c>
      <c r="C1107" s="144">
        <v>47.118000000000002</v>
      </c>
      <c r="D1107" s="144">
        <v>8.3915000000000006</v>
      </c>
      <c r="E1107" s="144">
        <v>140.18</v>
      </c>
      <c r="F1107" s="144">
        <v>0.82909999999999995</v>
      </c>
      <c r="G1107" s="144">
        <v>1.2256</v>
      </c>
      <c r="I1107" s="144">
        <v>1</v>
      </c>
      <c r="J1107" s="145">
        <f t="shared" si="128"/>
        <v>41663</v>
      </c>
      <c r="K1107" s="144">
        <f t="shared" ca="1" si="130"/>
        <v>0.89544823555198361</v>
      </c>
      <c r="L1107" s="144">
        <f t="shared" ca="1" si="130"/>
        <v>0.60575728793745887</v>
      </c>
      <c r="M1107" s="144">
        <f t="shared" ca="1" si="130"/>
        <v>102.4183531818514</v>
      </c>
      <c r="N1107" s="144">
        <f t="shared" ca="1" si="130"/>
        <v>6.1310002191860891</v>
      </c>
      <c r="O1107" s="144">
        <f t="shared" ca="1" si="130"/>
        <v>34.425367136699059</v>
      </c>
      <c r="P1107" s="144">
        <f t="shared" ca="1" si="130"/>
        <v>1</v>
      </c>
      <c r="Q1107" s="144">
        <f t="shared" ca="1" si="130"/>
        <v>0.73062029663184047</v>
      </c>
    </row>
    <row r="1108" spans="1:17" x14ac:dyDescent="0.25">
      <c r="A1108" s="145">
        <v>41662</v>
      </c>
      <c r="B1108" s="144">
        <v>1.3638999999999999</v>
      </c>
      <c r="C1108" s="144">
        <v>46.478000000000002</v>
      </c>
      <c r="D1108" s="144">
        <v>8.3324999999999996</v>
      </c>
      <c r="E1108" s="144">
        <v>141.99</v>
      </c>
      <c r="F1108" s="144">
        <v>0.82174999999999998</v>
      </c>
      <c r="G1108" s="144">
        <v>1.2317</v>
      </c>
      <c r="I1108" s="144">
        <v>1</v>
      </c>
      <c r="J1108" s="145">
        <f t="shared" si="128"/>
        <v>41662</v>
      </c>
      <c r="K1108" s="144">
        <f t="shared" ca="1" si="130"/>
        <v>0.90307207273260515</v>
      </c>
      <c r="L1108" s="144">
        <f t="shared" ca="1" si="130"/>
        <v>0.60250018329789579</v>
      </c>
      <c r="M1108" s="144">
        <f t="shared" ca="1" si="130"/>
        <v>104.10587286457952</v>
      </c>
      <c r="N1108" s="144">
        <f t="shared" ca="1" si="130"/>
        <v>6.1093188650194294</v>
      </c>
      <c r="O1108" s="144">
        <f t="shared" ca="1" si="130"/>
        <v>34.077278392844057</v>
      </c>
      <c r="P1108" s="144">
        <f t="shared" ca="1" si="130"/>
        <v>1</v>
      </c>
      <c r="Q1108" s="144">
        <f t="shared" ca="1" si="130"/>
        <v>0.7331915829606277</v>
      </c>
    </row>
    <row r="1109" spans="1:17" x14ac:dyDescent="0.25">
      <c r="A1109" s="145">
        <v>41661</v>
      </c>
      <c r="B1109" s="144">
        <v>1.3566</v>
      </c>
      <c r="C1109" s="144">
        <v>45.974499999999999</v>
      </c>
      <c r="D1109" s="144">
        <v>8.3655000000000008</v>
      </c>
      <c r="E1109" s="144">
        <v>141.57</v>
      </c>
      <c r="F1109" s="144">
        <v>0.81899999999999995</v>
      </c>
      <c r="G1109" s="144">
        <v>1.2344999999999999</v>
      </c>
      <c r="I1109" s="144">
        <v>1</v>
      </c>
      <c r="J1109" s="145">
        <f t="shared" si="128"/>
        <v>41661</v>
      </c>
      <c r="K1109" s="144">
        <f t="shared" ca="1" si="130"/>
        <v>0.90999557717823965</v>
      </c>
      <c r="L1109" s="144">
        <f t="shared" ca="1" si="130"/>
        <v>0.60371517027863775</v>
      </c>
      <c r="M1109" s="144">
        <f t="shared" ca="1" si="130"/>
        <v>104.3564794338788</v>
      </c>
      <c r="N1109" s="144">
        <f t="shared" ca="1" si="130"/>
        <v>6.1665192392746579</v>
      </c>
      <c r="O1109" s="144">
        <f t="shared" ca="1" si="130"/>
        <v>33.889503169688929</v>
      </c>
      <c r="P1109" s="144">
        <f t="shared" ca="1" si="130"/>
        <v>1</v>
      </c>
      <c r="Q1109" s="144">
        <f t="shared" ca="1" si="130"/>
        <v>0.73713696004717677</v>
      </c>
    </row>
    <row r="1110" spans="1:17" x14ac:dyDescent="0.25">
      <c r="A1110" s="145">
        <v>41660</v>
      </c>
      <c r="B1110" s="144">
        <v>1.3526</v>
      </c>
      <c r="C1110" s="144">
        <v>45.957999999999998</v>
      </c>
      <c r="D1110" s="144">
        <v>8.3719999999999999</v>
      </c>
      <c r="E1110" s="144">
        <v>141.58000000000001</v>
      </c>
      <c r="F1110" s="144">
        <v>0.82389999999999997</v>
      </c>
      <c r="G1110" s="144">
        <v>1.2357</v>
      </c>
      <c r="I1110" s="144">
        <v>1</v>
      </c>
      <c r="J1110" s="145">
        <f t="shared" si="128"/>
        <v>41660</v>
      </c>
      <c r="K1110" s="144">
        <f t="shared" ca="1" si="130"/>
        <v>0.91357385775543398</v>
      </c>
      <c r="L1110" s="144">
        <f t="shared" ca="1" si="130"/>
        <v>0.60912317019074369</v>
      </c>
      <c r="M1110" s="144">
        <f t="shared" ca="1" si="130"/>
        <v>104.67248262605354</v>
      </c>
      <c r="N1110" s="144">
        <f t="shared" ca="1" si="130"/>
        <v>6.1895608457785007</v>
      </c>
      <c r="O1110" s="144">
        <f t="shared" ca="1" si="130"/>
        <v>33.977524767115185</v>
      </c>
      <c r="P1110" s="144">
        <f t="shared" ca="1" si="130"/>
        <v>1</v>
      </c>
      <c r="Q1110" s="144">
        <f t="shared" ca="1" si="130"/>
        <v>0.73931687121100098</v>
      </c>
    </row>
    <row r="1111" spans="1:17" x14ac:dyDescent="0.25">
      <c r="A1111" s="145">
        <v>41659</v>
      </c>
      <c r="B1111" s="144">
        <v>1.3566</v>
      </c>
      <c r="C1111" s="144">
        <v>45.787799999999997</v>
      </c>
      <c r="D1111" s="144">
        <v>8.3774999999999995</v>
      </c>
      <c r="E1111" s="144">
        <v>141.05000000000001</v>
      </c>
      <c r="F1111" s="144">
        <v>0.82620000000000005</v>
      </c>
      <c r="G1111" s="144">
        <v>1.2337</v>
      </c>
      <c r="I1111" s="144">
        <v>1</v>
      </c>
      <c r="J1111" s="145">
        <f t="shared" si="128"/>
        <v>41659</v>
      </c>
      <c r="K1111" s="144">
        <f t="shared" ca="1" si="130"/>
        <v>0.90940586761020192</v>
      </c>
      <c r="L1111" s="144">
        <f t="shared" ca="1" si="130"/>
        <v>0.60902255639097747</v>
      </c>
      <c r="M1111" s="144">
        <f t="shared" ca="1" si="130"/>
        <v>103.97316821465429</v>
      </c>
      <c r="N1111" s="144">
        <f t="shared" ca="1" si="130"/>
        <v>6.1753648827952228</v>
      </c>
      <c r="O1111" s="144">
        <f t="shared" ca="1" si="130"/>
        <v>33.751879699248114</v>
      </c>
      <c r="P1111" s="144">
        <f t="shared" ca="1" si="130"/>
        <v>1</v>
      </c>
      <c r="Q1111" s="144">
        <f t="shared" ca="1" si="130"/>
        <v>0.73713696004717677</v>
      </c>
    </row>
    <row r="1112" spans="1:17" x14ac:dyDescent="0.25">
      <c r="A1112" s="145">
        <v>41658</v>
      </c>
      <c r="B1112" s="144">
        <v>1.3584000000000001</v>
      </c>
      <c r="C1112" s="144">
        <v>45.5854</v>
      </c>
      <c r="D1112" s="144">
        <v>8.3795000000000002</v>
      </c>
      <c r="E1112" s="144">
        <v>141.80000000000001</v>
      </c>
      <c r="F1112" s="144">
        <v>0.82620000000000005</v>
      </c>
      <c r="G1112" s="144">
        <v>1.2332000000000001</v>
      </c>
      <c r="I1112" s="144">
        <v>1</v>
      </c>
      <c r="J1112" s="145">
        <f t="shared" si="128"/>
        <v>41658</v>
      </c>
      <c r="K1112" s="144">
        <f t="shared" ca="1" si="130"/>
        <v>0.90783274440518258</v>
      </c>
      <c r="L1112" s="144">
        <f t="shared" ca="1" si="130"/>
        <v>0.6082155477031802</v>
      </c>
      <c r="M1112" s="144">
        <f t="shared" ca="1" si="130"/>
        <v>104.38751472320378</v>
      </c>
      <c r="N1112" s="144">
        <f t="shared" ca="1" si="130"/>
        <v>6.1686542991755005</v>
      </c>
      <c r="O1112" s="144">
        <f t="shared" ca="1" si="130"/>
        <v>33.558156654888101</v>
      </c>
      <c r="P1112" s="144">
        <f t="shared" ca="1" si="130"/>
        <v>1</v>
      </c>
      <c r="Q1112" s="144">
        <f t="shared" ca="1" si="130"/>
        <v>0.73616018845700826</v>
      </c>
    </row>
    <row r="1113" spans="1:17" x14ac:dyDescent="0.25">
      <c r="A1113" s="145">
        <v>41657</v>
      </c>
      <c r="B1113" s="144">
        <v>1.3584000000000001</v>
      </c>
      <c r="C1113" s="144">
        <v>45.5854</v>
      </c>
      <c r="D1113" s="144">
        <v>8.3795000000000002</v>
      </c>
      <c r="E1113" s="144">
        <v>141.80000000000001</v>
      </c>
      <c r="F1113" s="144">
        <v>0.82620000000000005</v>
      </c>
      <c r="G1113" s="144">
        <v>1.2332000000000001</v>
      </c>
      <c r="I1113" s="144">
        <v>1</v>
      </c>
      <c r="J1113" s="145">
        <f t="shared" si="128"/>
        <v>41657</v>
      </c>
      <c r="K1113" s="144">
        <f t="shared" ca="1" si="130"/>
        <v>0.90783274440518258</v>
      </c>
      <c r="L1113" s="144">
        <f t="shared" ca="1" si="130"/>
        <v>0.6082155477031802</v>
      </c>
      <c r="M1113" s="144">
        <f t="shared" ca="1" si="130"/>
        <v>104.38751472320378</v>
      </c>
      <c r="N1113" s="144">
        <f t="shared" ca="1" si="130"/>
        <v>6.1686542991755005</v>
      </c>
      <c r="O1113" s="144">
        <f t="shared" ca="1" si="130"/>
        <v>33.558156654888101</v>
      </c>
      <c r="P1113" s="144">
        <f t="shared" ca="1" si="130"/>
        <v>1</v>
      </c>
      <c r="Q1113" s="144">
        <f t="shared" ca="1" si="130"/>
        <v>0.73616018845700826</v>
      </c>
    </row>
    <row r="1114" spans="1:17" x14ac:dyDescent="0.25">
      <c r="A1114" s="145">
        <v>41656</v>
      </c>
      <c r="B1114" s="144">
        <v>1.3584000000000001</v>
      </c>
      <c r="C1114" s="144">
        <v>45.5854</v>
      </c>
      <c r="D1114" s="144">
        <v>8.3795000000000002</v>
      </c>
      <c r="E1114" s="144">
        <v>141.80000000000001</v>
      </c>
      <c r="F1114" s="144">
        <v>0.82620000000000005</v>
      </c>
      <c r="G1114" s="144">
        <v>1.2332000000000001</v>
      </c>
      <c r="I1114" s="144">
        <v>1</v>
      </c>
      <c r="J1114" s="145">
        <f t="shared" si="128"/>
        <v>41656</v>
      </c>
      <c r="K1114" s="144">
        <f t="shared" ca="1" si="130"/>
        <v>0.90783274440518258</v>
      </c>
      <c r="L1114" s="144">
        <f t="shared" ca="1" si="130"/>
        <v>0.6082155477031802</v>
      </c>
      <c r="M1114" s="144">
        <f t="shared" ca="1" si="130"/>
        <v>104.38751472320378</v>
      </c>
      <c r="N1114" s="144">
        <f t="shared" ca="1" si="130"/>
        <v>6.1686542991755005</v>
      </c>
      <c r="O1114" s="144">
        <f t="shared" ca="1" si="130"/>
        <v>33.558156654888101</v>
      </c>
      <c r="P1114" s="144">
        <f t="shared" ca="1" si="130"/>
        <v>1</v>
      </c>
      <c r="Q1114" s="144">
        <f t="shared" ca="1" si="130"/>
        <v>0.73616018845700826</v>
      </c>
    </row>
    <row r="1115" spans="1:17" x14ac:dyDescent="0.25">
      <c r="A1115" s="145">
        <v>41655</v>
      </c>
      <c r="B1115" s="144">
        <v>1.3596999999999999</v>
      </c>
      <c r="C1115" s="144">
        <v>45.423000000000002</v>
      </c>
      <c r="D1115" s="144">
        <v>8.3889999999999993</v>
      </c>
      <c r="E1115" s="144">
        <v>142.21</v>
      </c>
      <c r="F1115" s="144">
        <v>0.83214999999999995</v>
      </c>
      <c r="G1115" s="144">
        <v>1.2350000000000001</v>
      </c>
      <c r="I1115" s="144">
        <v>1</v>
      </c>
      <c r="J1115" s="145">
        <f t="shared" si="128"/>
        <v>41655</v>
      </c>
      <c r="K1115" s="144">
        <f t="shared" ref="K1115:Q1124" ca="1" si="131">OFFSET($A1115,0,K$3)/OFFSET($A1115,0,$P$3)</f>
        <v>0.90828859307200127</v>
      </c>
      <c r="L1115" s="144">
        <f t="shared" ca="1" si="131"/>
        <v>0.61201000220636903</v>
      </c>
      <c r="M1115" s="144">
        <f t="shared" ca="1" si="131"/>
        <v>104.58924762815329</v>
      </c>
      <c r="N1115" s="144">
        <f t="shared" ca="1" si="131"/>
        <v>6.1697433257336174</v>
      </c>
      <c r="O1115" s="144">
        <f t="shared" ca="1" si="131"/>
        <v>33.406633816283005</v>
      </c>
      <c r="P1115" s="144">
        <f t="shared" ca="1" si="131"/>
        <v>1</v>
      </c>
      <c r="Q1115" s="144">
        <f t="shared" ca="1" si="131"/>
        <v>0.73545635066558801</v>
      </c>
    </row>
    <row r="1116" spans="1:17" x14ac:dyDescent="0.25">
      <c r="A1116" s="145">
        <v>41654</v>
      </c>
      <c r="B1116" s="144">
        <v>1.3606</v>
      </c>
      <c r="C1116" s="144">
        <v>45.500399999999999</v>
      </c>
      <c r="D1116" s="144">
        <v>8.3185000000000002</v>
      </c>
      <c r="E1116" s="144">
        <v>141.86000000000001</v>
      </c>
      <c r="F1116" s="144">
        <v>0.83020000000000005</v>
      </c>
      <c r="G1116" s="144">
        <v>1.2354000000000001</v>
      </c>
      <c r="I1116" s="144">
        <v>1</v>
      </c>
      <c r="J1116" s="145">
        <f t="shared" si="128"/>
        <v>41654</v>
      </c>
      <c r="K1116" s="144">
        <f t="shared" ca="1" si="131"/>
        <v>0.90798177274731739</v>
      </c>
      <c r="L1116" s="144">
        <f t="shared" ca="1" si="131"/>
        <v>0.61017198294869912</v>
      </c>
      <c r="M1116" s="144">
        <f t="shared" ca="1" si="131"/>
        <v>104.26282522416582</v>
      </c>
      <c r="N1116" s="144">
        <f t="shared" ca="1" si="131"/>
        <v>6.1138468322798767</v>
      </c>
      <c r="O1116" s="144">
        <f t="shared" ca="1" si="131"/>
        <v>33.441422901661028</v>
      </c>
      <c r="P1116" s="144">
        <f t="shared" ca="1" si="131"/>
        <v>1</v>
      </c>
      <c r="Q1116" s="144">
        <f t="shared" ca="1" si="131"/>
        <v>0.73496986623548433</v>
      </c>
    </row>
    <row r="1117" spans="1:17" x14ac:dyDescent="0.25">
      <c r="A1117" s="145">
        <v>41653</v>
      </c>
      <c r="B1117" s="144">
        <v>1.3667</v>
      </c>
      <c r="C1117" s="144">
        <v>45.562199999999997</v>
      </c>
      <c r="D1117" s="144">
        <v>8.3339999999999996</v>
      </c>
      <c r="E1117" s="144">
        <v>141.62</v>
      </c>
      <c r="F1117" s="144">
        <v>0.83145000000000002</v>
      </c>
      <c r="G1117" s="144">
        <v>1.2334000000000001</v>
      </c>
      <c r="I1117" s="144">
        <v>1</v>
      </c>
      <c r="J1117" s="145">
        <f t="shared" si="128"/>
        <v>41653</v>
      </c>
      <c r="K1117" s="144">
        <f t="shared" ca="1" si="131"/>
        <v>0.90246579351723133</v>
      </c>
      <c r="L1117" s="144">
        <f t="shared" ca="1" si="131"/>
        <v>0.60836321065339871</v>
      </c>
      <c r="M1117" s="144">
        <f t="shared" ca="1" si="131"/>
        <v>103.62186288139314</v>
      </c>
      <c r="N1117" s="144">
        <f t="shared" ca="1" si="131"/>
        <v>6.0979000512182626</v>
      </c>
      <c r="O1117" s="144">
        <f t="shared" ca="1" si="131"/>
        <v>33.337382015072798</v>
      </c>
      <c r="P1117" s="144">
        <f t="shared" ca="1" si="131"/>
        <v>1</v>
      </c>
      <c r="Q1117" s="144">
        <f t="shared" ca="1" si="131"/>
        <v>0.73168947098851245</v>
      </c>
    </row>
    <row r="1118" spans="1:17" x14ac:dyDescent="0.25">
      <c r="A1118" s="145">
        <v>41652</v>
      </c>
      <c r="B1118" s="144">
        <v>1.3653999999999999</v>
      </c>
      <c r="C1118" s="144">
        <v>45.279800000000002</v>
      </c>
      <c r="D1118" s="144">
        <v>8.3620000000000001</v>
      </c>
      <c r="E1118" s="144">
        <v>141.37</v>
      </c>
      <c r="F1118" s="144">
        <v>0.83169999999999999</v>
      </c>
      <c r="G1118" s="144">
        <v>1.2342</v>
      </c>
      <c r="I1118" s="144">
        <v>1</v>
      </c>
      <c r="J1118" s="145">
        <f t="shared" si="128"/>
        <v>41652</v>
      </c>
      <c r="K1118" s="144">
        <f t="shared" ca="1" si="131"/>
        <v>0.90391094184854259</v>
      </c>
      <c r="L1118" s="144">
        <f t="shared" ca="1" si="131"/>
        <v>0.60912553097993261</v>
      </c>
      <c r="M1118" s="144">
        <f t="shared" ca="1" si="131"/>
        <v>103.53742493042333</v>
      </c>
      <c r="N1118" s="144">
        <f t="shared" ca="1" si="131"/>
        <v>6.1242126849274943</v>
      </c>
      <c r="O1118" s="144">
        <f t="shared" ca="1" si="131"/>
        <v>33.16229676285338</v>
      </c>
      <c r="P1118" s="144">
        <f t="shared" ca="1" si="131"/>
        <v>1</v>
      </c>
      <c r="Q1118" s="144">
        <f t="shared" ca="1" si="131"/>
        <v>0.73238611395927933</v>
      </c>
    </row>
    <row r="1119" spans="1:17" x14ac:dyDescent="0.25">
      <c r="A1119" s="145">
        <v>41651</v>
      </c>
      <c r="B1119" s="144">
        <v>1.3587</v>
      </c>
      <c r="C1119" s="144">
        <v>45.146799999999999</v>
      </c>
      <c r="D1119" s="144">
        <v>8.4024999999999999</v>
      </c>
      <c r="E1119" s="144">
        <v>142.66999999999999</v>
      </c>
      <c r="F1119" s="144">
        <v>0.82799999999999996</v>
      </c>
      <c r="G1119" s="144">
        <v>1.2342</v>
      </c>
      <c r="I1119" s="144">
        <v>1</v>
      </c>
      <c r="J1119" s="145">
        <f t="shared" si="128"/>
        <v>41651</v>
      </c>
      <c r="K1119" s="144">
        <f t="shared" ca="1" si="131"/>
        <v>0.90836829322146162</v>
      </c>
      <c r="L1119" s="144">
        <f t="shared" ca="1" si="131"/>
        <v>0.60940604990064029</v>
      </c>
      <c r="M1119" s="144">
        <f t="shared" ca="1" si="131"/>
        <v>105.00478398469124</v>
      </c>
      <c r="N1119" s="144">
        <f t="shared" ca="1" si="131"/>
        <v>6.1842202104953259</v>
      </c>
      <c r="O1119" s="144">
        <f t="shared" ca="1" si="131"/>
        <v>33.227938470596889</v>
      </c>
      <c r="P1119" s="144">
        <f t="shared" ca="1" si="131"/>
        <v>1</v>
      </c>
      <c r="Q1119" s="144">
        <f t="shared" ca="1" si="131"/>
        <v>0.7359976448075366</v>
      </c>
    </row>
    <row r="1120" spans="1:17" x14ac:dyDescent="0.25">
      <c r="A1120" s="145">
        <v>41650</v>
      </c>
      <c r="B1120" s="144">
        <v>1.3587</v>
      </c>
      <c r="C1120" s="144">
        <v>45.146799999999999</v>
      </c>
      <c r="D1120" s="144">
        <v>8.4024999999999999</v>
      </c>
      <c r="E1120" s="144">
        <v>142.66999999999999</v>
      </c>
      <c r="F1120" s="144">
        <v>0.82799999999999996</v>
      </c>
      <c r="G1120" s="144">
        <v>1.2342</v>
      </c>
      <c r="I1120" s="144">
        <v>1</v>
      </c>
      <c r="J1120" s="145">
        <f t="shared" si="128"/>
        <v>41650</v>
      </c>
      <c r="K1120" s="144">
        <f t="shared" ca="1" si="131"/>
        <v>0.90836829322146162</v>
      </c>
      <c r="L1120" s="144">
        <f t="shared" ca="1" si="131"/>
        <v>0.60940604990064029</v>
      </c>
      <c r="M1120" s="144">
        <f t="shared" ca="1" si="131"/>
        <v>105.00478398469124</v>
      </c>
      <c r="N1120" s="144">
        <f t="shared" ca="1" si="131"/>
        <v>6.1842202104953259</v>
      </c>
      <c r="O1120" s="144">
        <f t="shared" ca="1" si="131"/>
        <v>33.227938470596889</v>
      </c>
      <c r="P1120" s="144">
        <f t="shared" ca="1" si="131"/>
        <v>1</v>
      </c>
      <c r="Q1120" s="144">
        <f t="shared" ca="1" si="131"/>
        <v>0.7359976448075366</v>
      </c>
    </row>
    <row r="1121" spans="1:17" x14ac:dyDescent="0.25">
      <c r="A1121" s="145">
        <v>41649</v>
      </c>
      <c r="B1121" s="144">
        <v>1.3587</v>
      </c>
      <c r="C1121" s="144">
        <v>45.146799999999999</v>
      </c>
      <c r="D1121" s="144">
        <v>8.4024999999999999</v>
      </c>
      <c r="E1121" s="144">
        <v>142.66999999999999</v>
      </c>
      <c r="F1121" s="144">
        <v>0.82799999999999996</v>
      </c>
      <c r="G1121" s="144">
        <v>1.2342</v>
      </c>
      <c r="I1121" s="144">
        <v>1</v>
      </c>
      <c r="J1121" s="145">
        <f t="shared" si="128"/>
        <v>41649</v>
      </c>
      <c r="K1121" s="144">
        <f t="shared" ca="1" si="131"/>
        <v>0.90836829322146162</v>
      </c>
      <c r="L1121" s="144">
        <f t="shared" ca="1" si="131"/>
        <v>0.60940604990064029</v>
      </c>
      <c r="M1121" s="144">
        <f t="shared" ca="1" si="131"/>
        <v>105.00478398469124</v>
      </c>
      <c r="N1121" s="144">
        <f t="shared" ca="1" si="131"/>
        <v>6.1842202104953259</v>
      </c>
      <c r="O1121" s="144">
        <f t="shared" ca="1" si="131"/>
        <v>33.227938470596889</v>
      </c>
      <c r="P1121" s="144">
        <f t="shared" ca="1" si="131"/>
        <v>1</v>
      </c>
      <c r="Q1121" s="144">
        <f t="shared" ca="1" si="131"/>
        <v>0.7359976448075366</v>
      </c>
    </row>
    <row r="1122" spans="1:17" x14ac:dyDescent="0.25">
      <c r="A1122" s="145">
        <v>41648</v>
      </c>
      <c r="B1122" s="144">
        <v>1.3612</v>
      </c>
      <c r="C1122" s="144">
        <v>45.142499999999998</v>
      </c>
      <c r="D1122" s="144">
        <v>8.4075000000000006</v>
      </c>
      <c r="E1122" s="144">
        <v>142.91999999999999</v>
      </c>
      <c r="F1122" s="144">
        <v>0.82574999999999998</v>
      </c>
      <c r="G1122" s="144">
        <v>1.2367999999999999</v>
      </c>
      <c r="I1122" s="144">
        <v>1</v>
      </c>
      <c r="J1122" s="145">
        <f t="shared" si="128"/>
        <v>41648</v>
      </c>
      <c r="K1122" s="144">
        <f t="shared" ca="1" si="131"/>
        <v>0.90861004995592121</v>
      </c>
      <c r="L1122" s="144">
        <f t="shared" ca="1" si="131"/>
        <v>0.6066338524831032</v>
      </c>
      <c r="M1122" s="144">
        <f t="shared" ca="1" si="131"/>
        <v>104.99559212459594</v>
      </c>
      <c r="N1122" s="144">
        <f t="shared" ca="1" si="131"/>
        <v>6.1765354099324128</v>
      </c>
      <c r="O1122" s="144">
        <f t="shared" ca="1" si="131"/>
        <v>33.163752571260652</v>
      </c>
      <c r="P1122" s="144">
        <f t="shared" ca="1" si="131"/>
        <v>1</v>
      </c>
      <c r="Q1122" s="144">
        <f t="shared" ca="1" si="131"/>
        <v>0.73464590067587421</v>
      </c>
    </row>
    <row r="1123" spans="1:17" x14ac:dyDescent="0.25">
      <c r="A1123" s="145">
        <v>41647</v>
      </c>
      <c r="B1123" s="144">
        <v>1.3593999999999999</v>
      </c>
      <c r="C1123" s="144">
        <v>45.001899999999999</v>
      </c>
      <c r="D1123" s="144">
        <v>8.4109999999999996</v>
      </c>
      <c r="E1123" s="144">
        <v>142.33000000000001</v>
      </c>
      <c r="F1123" s="144">
        <v>0.82769999999999999</v>
      </c>
      <c r="G1123" s="144">
        <v>1.2383</v>
      </c>
      <c r="I1123" s="144">
        <v>1</v>
      </c>
      <c r="J1123" s="145">
        <f t="shared" si="128"/>
        <v>41647</v>
      </c>
      <c r="K1123" s="144">
        <f t="shared" ca="1" si="131"/>
        <v>0.91091658084449023</v>
      </c>
      <c r="L1123" s="144">
        <f t="shared" ca="1" si="131"/>
        <v>0.6088715609827865</v>
      </c>
      <c r="M1123" s="144">
        <f t="shared" ca="1" si="131"/>
        <v>104.70060320729735</v>
      </c>
      <c r="N1123" s="144">
        <f t="shared" ca="1" si="131"/>
        <v>6.1872885096366046</v>
      </c>
      <c r="O1123" s="144">
        <f t="shared" ca="1" si="131"/>
        <v>33.104237163454464</v>
      </c>
      <c r="P1123" s="144">
        <f t="shared" ca="1" si="131"/>
        <v>1</v>
      </c>
      <c r="Q1123" s="144">
        <f t="shared" ca="1" si="131"/>
        <v>0.7356186552890982</v>
      </c>
    </row>
    <row r="1124" spans="1:17" x14ac:dyDescent="0.25">
      <c r="A1124" s="145">
        <v>41646</v>
      </c>
      <c r="B1124" s="144">
        <v>1.3641000000000001</v>
      </c>
      <c r="C1124" s="144">
        <v>45.274999999999999</v>
      </c>
      <c r="D1124" s="144">
        <v>8.3849999999999998</v>
      </c>
      <c r="E1124" s="144">
        <v>142.43</v>
      </c>
      <c r="F1124" s="144">
        <v>0.83115000000000006</v>
      </c>
      <c r="G1124" s="144">
        <v>1.2366999999999999</v>
      </c>
      <c r="I1124" s="144">
        <v>1</v>
      </c>
      <c r="J1124" s="145">
        <f t="shared" si="128"/>
        <v>41646</v>
      </c>
      <c r="K1124" s="144">
        <f t="shared" ca="1" si="131"/>
        <v>0.90660508760354797</v>
      </c>
      <c r="L1124" s="144">
        <f t="shared" ca="1" si="131"/>
        <v>0.609302837035408</v>
      </c>
      <c r="M1124" s="144">
        <f t="shared" ca="1" si="131"/>
        <v>104.41316619016202</v>
      </c>
      <c r="N1124" s="144">
        <f t="shared" ca="1" si="131"/>
        <v>6.1469100505828012</v>
      </c>
      <c r="O1124" s="144">
        <f t="shared" ca="1" si="131"/>
        <v>33.190381936808151</v>
      </c>
      <c r="P1124" s="144">
        <f t="shared" ca="1" si="131"/>
        <v>1</v>
      </c>
      <c r="Q1124" s="144">
        <f t="shared" ca="1" si="131"/>
        <v>0.73308408474452014</v>
      </c>
    </row>
    <row r="1125" spans="1:17" x14ac:dyDescent="0.25">
      <c r="A1125" s="145">
        <v>41645</v>
      </c>
      <c r="B1125" s="144">
        <v>1.3602000000000001</v>
      </c>
      <c r="C1125" s="144">
        <v>45.28</v>
      </c>
      <c r="D1125" s="144">
        <v>8.39</v>
      </c>
      <c r="E1125" s="144">
        <v>142.28</v>
      </c>
      <c r="F1125" s="144">
        <v>0.83030000000000004</v>
      </c>
      <c r="G1125" s="144">
        <v>1.2319</v>
      </c>
      <c r="I1125" s="144">
        <v>1</v>
      </c>
      <c r="J1125" s="145">
        <f t="shared" si="128"/>
        <v>41645</v>
      </c>
      <c r="K1125" s="144">
        <f t="shared" ref="K1125:Q1134" ca="1" si="132">OFFSET($A1125,0,K$3)/OFFSET($A1125,0,$P$3)</f>
        <v>0.90567563593589173</v>
      </c>
      <c r="L1125" s="144">
        <f t="shared" ca="1" si="132"/>
        <v>0.6104249375091898</v>
      </c>
      <c r="M1125" s="144">
        <f t="shared" ca="1" si="132"/>
        <v>104.60226437288634</v>
      </c>
      <c r="N1125" s="144">
        <f t="shared" ca="1" si="132"/>
        <v>6.1682105572709895</v>
      </c>
      <c r="O1125" s="144">
        <f t="shared" ca="1" si="132"/>
        <v>33.289222173209822</v>
      </c>
      <c r="P1125" s="144">
        <f t="shared" ca="1" si="132"/>
        <v>1</v>
      </c>
      <c r="Q1125" s="144">
        <f t="shared" ca="1" si="132"/>
        <v>0.7351860020585208</v>
      </c>
    </row>
    <row r="1126" spans="1:17" x14ac:dyDescent="0.25">
      <c r="A1126" s="145">
        <v>41644</v>
      </c>
      <c r="B1126" s="144">
        <v>1.3633999999999999</v>
      </c>
      <c r="C1126" s="144">
        <v>45.139299999999999</v>
      </c>
      <c r="D1126" s="144">
        <v>8.3584999999999994</v>
      </c>
      <c r="E1126" s="144">
        <v>142.46</v>
      </c>
      <c r="F1126" s="144">
        <v>0.83045000000000002</v>
      </c>
      <c r="G1126" s="144">
        <v>1.2309000000000001</v>
      </c>
      <c r="I1126" s="144">
        <v>1</v>
      </c>
      <c r="J1126" s="145">
        <f t="shared" si="128"/>
        <v>41644</v>
      </c>
      <c r="K1126" s="144">
        <f t="shared" ca="1" si="132"/>
        <v>0.90281648819128657</v>
      </c>
      <c r="L1126" s="144">
        <f t="shared" ca="1" si="132"/>
        <v>0.60910224438902749</v>
      </c>
      <c r="M1126" s="144">
        <f t="shared" ca="1" si="132"/>
        <v>104.48877805486285</v>
      </c>
      <c r="N1126" s="144">
        <f t="shared" ca="1" si="132"/>
        <v>6.1306293090802404</v>
      </c>
      <c r="O1126" s="144">
        <f t="shared" ca="1" si="132"/>
        <v>33.107892034619333</v>
      </c>
      <c r="P1126" s="144">
        <f t="shared" ca="1" si="132"/>
        <v>1</v>
      </c>
      <c r="Q1126" s="144">
        <f t="shared" ca="1" si="132"/>
        <v>0.73346046648085672</v>
      </c>
    </row>
    <row r="1127" spans="1:17" x14ac:dyDescent="0.25">
      <c r="A1127" s="145">
        <v>41643</v>
      </c>
      <c r="B1127" s="144">
        <v>1.3633999999999999</v>
      </c>
      <c r="C1127" s="144">
        <v>45.139299999999999</v>
      </c>
      <c r="D1127" s="144">
        <v>8.3584999999999994</v>
      </c>
      <c r="E1127" s="144">
        <v>142.46</v>
      </c>
      <c r="F1127" s="144">
        <v>0.83045000000000002</v>
      </c>
      <c r="G1127" s="144">
        <v>1.2309000000000001</v>
      </c>
      <c r="I1127" s="144">
        <v>1</v>
      </c>
      <c r="J1127" s="145">
        <f t="shared" si="128"/>
        <v>41643</v>
      </c>
      <c r="K1127" s="144">
        <f t="shared" ca="1" si="132"/>
        <v>0.90281648819128657</v>
      </c>
      <c r="L1127" s="144">
        <f t="shared" ca="1" si="132"/>
        <v>0.60910224438902749</v>
      </c>
      <c r="M1127" s="144">
        <f t="shared" ca="1" si="132"/>
        <v>104.48877805486285</v>
      </c>
      <c r="N1127" s="144">
        <f t="shared" ca="1" si="132"/>
        <v>6.1306293090802404</v>
      </c>
      <c r="O1127" s="144">
        <f t="shared" ca="1" si="132"/>
        <v>33.107892034619333</v>
      </c>
      <c r="P1127" s="144">
        <f t="shared" ca="1" si="132"/>
        <v>1</v>
      </c>
      <c r="Q1127" s="144">
        <f t="shared" ca="1" si="132"/>
        <v>0.73346046648085672</v>
      </c>
    </row>
    <row r="1128" spans="1:17" x14ac:dyDescent="0.25">
      <c r="A1128" s="145">
        <v>41642</v>
      </c>
      <c r="B1128" s="144">
        <v>1.3633999999999999</v>
      </c>
      <c r="C1128" s="144">
        <v>45.139299999999999</v>
      </c>
      <c r="D1128" s="144">
        <v>8.3584999999999994</v>
      </c>
      <c r="E1128" s="144">
        <v>142.46</v>
      </c>
      <c r="F1128" s="144">
        <v>0.83045000000000002</v>
      </c>
      <c r="G1128" s="144">
        <v>1.2309000000000001</v>
      </c>
      <c r="I1128" s="144">
        <v>1</v>
      </c>
      <c r="J1128" s="145">
        <f t="shared" si="128"/>
        <v>41642</v>
      </c>
      <c r="K1128" s="144">
        <f t="shared" ca="1" si="132"/>
        <v>0.90281648819128657</v>
      </c>
      <c r="L1128" s="144">
        <f t="shared" ca="1" si="132"/>
        <v>0.60910224438902749</v>
      </c>
      <c r="M1128" s="144">
        <f t="shared" ca="1" si="132"/>
        <v>104.48877805486285</v>
      </c>
      <c r="N1128" s="144">
        <f t="shared" ca="1" si="132"/>
        <v>6.1306293090802404</v>
      </c>
      <c r="O1128" s="144">
        <f t="shared" ca="1" si="132"/>
        <v>33.107892034619333</v>
      </c>
      <c r="P1128" s="144">
        <f t="shared" ca="1" si="132"/>
        <v>1</v>
      </c>
      <c r="Q1128" s="144">
        <f t="shared" ca="1" si="132"/>
        <v>0.73346046648085672</v>
      </c>
    </row>
    <row r="1129" spans="1:17" x14ac:dyDescent="0.25">
      <c r="A1129" s="145">
        <v>41641</v>
      </c>
      <c r="B1129" s="144">
        <v>1.3657999999999999</v>
      </c>
      <c r="C1129" s="144">
        <v>45.198399999999999</v>
      </c>
      <c r="D1129" s="144">
        <v>8.4024999999999999</v>
      </c>
      <c r="E1129" s="144">
        <v>143.82</v>
      </c>
      <c r="F1129" s="144">
        <v>0.82820000000000005</v>
      </c>
      <c r="G1129" s="144">
        <v>1.2306999999999999</v>
      </c>
      <c r="I1129" s="144">
        <v>1</v>
      </c>
      <c r="J1129" s="145">
        <f t="shared" si="128"/>
        <v>41641</v>
      </c>
      <c r="K1129" s="144">
        <f t="shared" ca="1" si="132"/>
        <v>0.9010836139991214</v>
      </c>
      <c r="L1129" s="144">
        <f t="shared" ca="1" si="132"/>
        <v>0.60638453653536395</v>
      </c>
      <c r="M1129" s="144">
        <f t="shared" ca="1" si="132"/>
        <v>105.3009225362425</v>
      </c>
      <c r="N1129" s="144">
        <f t="shared" ca="1" si="132"/>
        <v>6.1520720456875093</v>
      </c>
      <c r="O1129" s="144">
        <f t="shared" ca="1" si="132"/>
        <v>33.092985795870554</v>
      </c>
      <c r="P1129" s="144">
        <f t="shared" ca="1" si="132"/>
        <v>1</v>
      </c>
      <c r="Q1129" s="144">
        <f t="shared" ca="1" si="132"/>
        <v>0.73217162102796896</v>
      </c>
    </row>
    <row r="1130" spans="1:17" x14ac:dyDescent="0.25">
      <c r="A1130" s="145">
        <v>41640</v>
      </c>
      <c r="B1130" s="144">
        <v>1.3791</v>
      </c>
      <c r="C1130" s="144">
        <v>45.324599999999997</v>
      </c>
      <c r="D1130" s="144">
        <v>8.3629999999999995</v>
      </c>
      <c r="E1130" s="144">
        <v>144.72</v>
      </c>
      <c r="F1130" s="144">
        <v>0.8337</v>
      </c>
      <c r="G1130" s="144">
        <v>1.2276</v>
      </c>
      <c r="I1130" s="144">
        <v>1</v>
      </c>
      <c r="J1130" s="145">
        <f t="shared" si="128"/>
        <v>41640</v>
      </c>
      <c r="K1130" s="144">
        <f t="shared" ca="1" si="132"/>
        <v>0.89014574722645201</v>
      </c>
      <c r="L1130" s="144">
        <f t="shared" ca="1" si="132"/>
        <v>0.60452469001522735</v>
      </c>
      <c r="M1130" s="144">
        <f t="shared" ca="1" si="132"/>
        <v>104.93800304546443</v>
      </c>
      <c r="N1130" s="144">
        <f t="shared" ca="1" si="132"/>
        <v>6.0640997752157197</v>
      </c>
      <c r="O1130" s="144">
        <f t="shared" ca="1" si="132"/>
        <v>32.865346965412222</v>
      </c>
      <c r="P1130" s="144">
        <f t="shared" ca="1" si="132"/>
        <v>1</v>
      </c>
      <c r="Q1130" s="144">
        <f t="shared" ca="1" si="132"/>
        <v>0.72511057936335288</v>
      </c>
    </row>
    <row r="1131" spans="1:17" x14ac:dyDescent="0.25">
      <c r="A1131" s="145">
        <v>41639</v>
      </c>
      <c r="B1131" s="144">
        <v>1.3791</v>
      </c>
      <c r="C1131" s="144">
        <v>45.324599999999997</v>
      </c>
      <c r="D1131" s="144">
        <v>8.3629999999999995</v>
      </c>
      <c r="E1131" s="144">
        <v>144.72</v>
      </c>
      <c r="F1131" s="144">
        <v>0.8337</v>
      </c>
      <c r="G1131" s="144">
        <v>1.2276</v>
      </c>
      <c r="I1131" s="144">
        <v>1</v>
      </c>
      <c r="J1131" s="145">
        <f t="shared" si="128"/>
        <v>41639</v>
      </c>
      <c r="K1131" s="144">
        <f t="shared" ca="1" si="132"/>
        <v>0.89014574722645201</v>
      </c>
      <c r="L1131" s="144">
        <f t="shared" ca="1" si="132"/>
        <v>0.60452469001522735</v>
      </c>
      <c r="M1131" s="144">
        <f t="shared" ca="1" si="132"/>
        <v>104.93800304546443</v>
      </c>
      <c r="N1131" s="144">
        <f t="shared" ca="1" si="132"/>
        <v>6.0640997752157197</v>
      </c>
      <c r="O1131" s="144">
        <f t="shared" ca="1" si="132"/>
        <v>32.865346965412222</v>
      </c>
      <c r="P1131" s="144">
        <f t="shared" ca="1" si="132"/>
        <v>1</v>
      </c>
      <c r="Q1131" s="144">
        <f t="shared" ca="1" si="132"/>
        <v>0.72511057936335288</v>
      </c>
    </row>
    <row r="1132" spans="1:17" x14ac:dyDescent="0.25">
      <c r="A1132" s="145">
        <v>41638</v>
      </c>
      <c r="B1132" s="144">
        <v>1.3783000000000001</v>
      </c>
      <c r="C1132" s="144">
        <v>45.17</v>
      </c>
      <c r="D1132" s="144">
        <v>8.4254999999999995</v>
      </c>
      <c r="E1132" s="144">
        <v>145.02000000000001</v>
      </c>
      <c r="F1132" s="144">
        <v>0.83640000000000003</v>
      </c>
      <c r="G1132" s="144">
        <v>1.2259</v>
      </c>
      <c r="I1132" s="144">
        <v>1</v>
      </c>
      <c r="J1132" s="145">
        <f t="shared" si="128"/>
        <v>41638</v>
      </c>
      <c r="K1132" s="144">
        <f t="shared" ca="1" si="132"/>
        <v>0.88942900674744241</v>
      </c>
      <c r="L1132" s="144">
        <f t="shared" ca="1" si="132"/>
        <v>0.60683450627584701</v>
      </c>
      <c r="M1132" s="144">
        <f t="shared" ca="1" si="132"/>
        <v>105.21657113835884</v>
      </c>
      <c r="N1132" s="144">
        <f t="shared" ca="1" si="132"/>
        <v>6.1129652470434586</v>
      </c>
      <c r="O1132" s="144">
        <f t="shared" ca="1" si="132"/>
        <v>32.77225567728361</v>
      </c>
      <c r="P1132" s="144">
        <f t="shared" ca="1" si="132"/>
        <v>1</v>
      </c>
      <c r="Q1132" s="144">
        <f t="shared" ca="1" si="132"/>
        <v>0.72553145178843503</v>
      </c>
    </row>
    <row r="1133" spans="1:17" x14ac:dyDescent="0.25">
      <c r="A1133" s="145">
        <v>41637</v>
      </c>
      <c r="B1133" s="144">
        <v>1.3814</v>
      </c>
      <c r="C1133" s="144">
        <v>44.960999999999999</v>
      </c>
      <c r="D1133" s="144">
        <v>8.4474999999999998</v>
      </c>
      <c r="E1133" s="144">
        <v>145.02000000000001</v>
      </c>
      <c r="F1133" s="144">
        <v>0.83665</v>
      </c>
      <c r="G1133" s="144">
        <v>1.2234</v>
      </c>
      <c r="I1133" s="144">
        <v>1</v>
      </c>
      <c r="J1133" s="145">
        <f t="shared" si="128"/>
        <v>41637</v>
      </c>
      <c r="K1133" s="144">
        <f t="shared" ca="1" si="132"/>
        <v>0.88562328072969454</v>
      </c>
      <c r="L1133" s="144">
        <f t="shared" ca="1" si="132"/>
        <v>0.6056536846677284</v>
      </c>
      <c r="M1133" s="144">
        <f t="shared" ca="1" si="132"/>
        <v>104.98045461126395</v>
      </c>
      <c r="N1133" s="144">
        <f t="shared" ca="1" si="132"/>
        <v>6.1151730128854789</v>
      </c>
      <c r="O1133" s="144">
        <f t="shared" ca="1" si="132"/>
        <v>32.547415665267117</v>
      </c>
      <c r="P1133" s="144">
        <f t="shared" ca="1" si="132"/>
        <v>1</v>
      </c>
      <c r="Q1133" s="144">
        <f t="shared" ca="1" si="132"/>
        <v>0.72390328652092084</v>
      </c>
    </row>
    <row r="1134" spans="1:17" x14ac:dyDescent="0.25">
      <c r="A1134" s="145">
        <v>41636</v>
      </c>
      <c r="B1134" s="144">
        <v>1.3814</v>
      </c>
      <c r="C1134" s="144">
        <v>44.960999999999999</v>
      </c>
      <c r="D1134" s="144">
        <v>8.4474999999999998</v>
      </c>
      <c r="E1134" s="144">
        <v>145.02000000000001</v>
      </c>
      <c r="F1134" s="144">
        <v>0.83665</v>
      </c>
      <c r="G1134" s="144">
        <v>1.2234</v>
      </c>
      <c r="I1134" s="144">
        <v>1</v>
      </c>
      <c r="J1134" s="145">
        <f t="shared" si="128"/>
        <v>41636</v>
      </c>
      <c r="K1134" s="144">
        <f t="shared" ca="1" si="132"/>
        <v>0.88562328072969454</v>
      </c>
      <c r="L1134" s="144">
        <f t="shared" ca="1" si="132"/>
        <v>0.6056536846677284</v>
      </c>
      <c r="M1134" s="144">
        <f t="shared" ca="1" si="132"/>
        <v>104.98045461126395</v>
      </c>
      <c r="N1134" s="144">
        <f t="shared" ca="1" si="132"/>
        <v>6.1151730128854789</v>
      </c>
      <c r="O1134" s="144">
        <f t="shared" ca="1" si="132"/>
        <v>32.547415665267117</v>
      </c>
      <c r="P1134" s="144">
        <f t="shared" ca="1" si="132"/>
        <v>1</v>
      </c>
      <c r="Q1134" s="144">
        <f t="shared" ca="1" si="132"/>
        <v>0.72390328652092084</v>
      </c>
    </row>
    <row r="1135" spans="1:17" x14ac:dyDescent="0.25">
      <c r="A1135" s="145">
        <v>41635</v>
      </c>
      <c r="B1135" s="144">
        <v>1.3814</v>
      </c>
      <c r="C1135" s="144">
        <v>44.960999999999999</v>
      </c>
      <c r="D1135" s="144">
        <v>8.4474999999999998</v>
      </c>
      <c r="E1135" s="144">
        <v>145.02000000000001</v>
      </c>
      <c r="F1135" s="144">
        <v>0.83665</v>
      </c>
      <c r="G1135" s="144">
        <v>1.2234</v>
      </c>
      <c r="I1135" s="144">
        <v>1</v>
      </c>
      <c r="J1135" s="145">
        <f t="shared" si="128"/>
        <v>41635</v>
      </c>
      <c r="K1135" s="144">
        <f t="shared" ref="K1135:Q1144" ca="1" si="133">OFFSET($A1135,0,K$3)/OFFSET($A1135,0,$P$3)</f>
        <v>0.88562328072969454</v>
      </c>
      <c r="L1135" s="144">
        <f t="shared" ca="1" si="133"/>
        <v>0.6056536846677284</v>
      </c>
      <c r="M1135" s="144">
        <f t="shared" ca="1" si="133"/>
        <v>104.98045461126395</v>
      </c>
      <c r="N1135" s="144">
        <f t="shared" ca="1" si="133"/>
        <v>6.1151730128854789</v>
      </c>
      <c r="O1135" s="144">
        <f t="shared" ca="1" si="133"/>
        <v>32.547415665267117</v>
      </c>
      <c r="P1135" s="144">
        <f t="shared" ca="1" si="133"/>
        <v>1</v>
      </c>
      <c r="Q1135" s="144">
        <f t="shared" ca="1" si="133"/>
        <v>0.72390328652092084</v>
      </c>
    </row>
    <row r="1136" spans="1:17" x14ac:dyDescent="0.25">
      <c r="A1136" s="145">
        <v>41634</v>
      </c>
      <c r="B1136" s="144">
        <v>1.3684000000000001</v>
      </c>
      <c r="C1136" s="144">
        <v>44.6875</v>
      </c>
      <c r="D1136" s="144">
        <v>8.4344999999999999</v>
      </c>
      <c r="E1136" s="144">
        <v>142.66</v>
      </c>
      <c r="F1136" s="144">
        <v>0.83603000000000005</v>
      </c>
      <c r="G1136" s="144">
        <v>1.2242999999999999</v>
      </c>
      <c r="I1136" s="144">
        <v>1</v>
      </c>
      <c r="J1136" s="145">
        <f t="shared" si="128"/>
        <v>41634</v>
      </c>
      <c r="K1136" s="144">
        <f t="shared" ca="1" si="133"/>
        <v>0.89469453376205776</v>
      </c>
      <c r="L1136" s="144">
        <f t="shared" ca="1" si="133"/>
        <v>0.61095439929845075</v>
      </c>
      <c r="M1136" s="144">
        <f t="shared" ca="1" si="133"/>
        <v>104.25314235603624</v>
      </c>
      <c r="N1136" s="144">
        <f t="shared" ca="1" si="133"/>
        <v>6.1637679041216016</v>
      </c>
      <c r="O1136" s="144">
        <f t="shared" ca="1" si="133"/>
        <v>32.65675241157556</v>
      </c>
      <c r="P1136" s="144">
        <f t="shared" ca="1" si="133"/>
        <v>1</v>
      </c>
      <c r="Q1136" s="144">
        <f t="shared" ca="1" si="133"/>
        <v>0.73078047354574682</v>
      </c>
    </row>
    <row r="1137" spans="1:17" x14ac:dyDescent="0.25">
      <c r="A1137" s="145">
        <v>41633</v>
      </c>
      <c r="B1137" s="144">
        <v>1.3684000000000001</v>
      </c>
      <c r="C1137" s="144">
        <v>44.6875</v>
      </c>
      <c r="D1137" s="144">
        <v>8.4344999999999999</v>
      </c>
      <c r="E1137" s="144">
        <v>142.66</v>
      </c>
      <c r="F1137" s="144">
        <v>0.83603000000000005</v>
      </c>
      <c r="G1137" s="144">
        <v>1.2242999999999999</v>
      </c>
      <c r="I1137" s="144">
        <v>1</v>
      </c>
      <c r="J1137" s="145">
        <f t="shared" si="128"/>
        <v>41633</v>
      </c>
      <c r="K1137" s="144">
        <f t="shared" ca="1" si="133"/>
        <v>0.89469453376205776</v>
      </c>
      <c r="L1137" s="144">
        <f t="shared" ca="1" si="133"/>
        <v>0.61095439929845075</v>
      </c>
      <c r="M1137" s="144">
        <f t="shared" ca="1" si="133"/>
        <v>104.25314235603624</v>
      </c>
      <c r="N1137" s="144">
        <f t="shared" ca="1" si="133"/>
        <v>6.1637679041216016</v>
      </c>
      <c r="O1137" s="144">
        <f t="shared" ca="1" si="133"/>
        <v>32.65675241157556</v>
      </c>
      <c r="P1137" s="144">
        <f t="shared" ca="1" si="133"/>
        <v>1</v>
      </c>
      <c r="Q1137" s="144">
        <f t="shared" ca="1" si="133"/>
        <v>0.73078047354574682</v>
      </c>
    </row>
    <row r="1138" spans="1:17" x14ac:dyDescent="0.25">
      <c r="A1138" s="145">
        <v>41632</v>
      </c>
      <c r="B1138" s="144">
        <v>1.3684000000000001</v>
      </c>
      <c r="C1138" s="144">
        <v>44.6875</v>
      </c>
      <c r="D1138" s="144">
        <v>8.4344999999999999</v>
      </c>
      <c r="E1138" s="144">
        <v>142.66</v>
      </c>
      <c r="F1138" s="144">
        <v>0.83603000000000005</v>
      </c>
      <c r="G1138" s="144">
        <v>1.2242999999999999</v>
      </c>
      <c r="I1138" s="144">
        <v>1</v>
      </c>
      <c r="J1138" s="145">
        <f t="shared" si="128"/>
        <v>41632</v>
      </c>
      <c r="K1138" s="144">
        <f t="shared" ca="1" si="133"/>
        <v>0.89469453376205776</v>
      </c>
      <c r="L1138" s="144">
        <f t="shared" ca="1" si="133"/>
        <v>0.61095439929845075</v>
      </c>
      <c r="M1138" s="144">
        <f t="shared" ca="1" si="133"/>
        <v>104.25314235603624</v>
      </c>
      <c r="N1138" s="144">
        <f t="shared" ca="1" si="133"/>
        <v>6.1637679041216016</v>
      </c>
      <c r="O1138" s="144">
        <f t="shared" ca="1" si="133"/>
        <v>32.65675241157556</v>
      </c>
      <c r="P1138" s="144">
        <f t="shared" ca="1" si="133"/>
        <v>1</v>
      </c>
      <c r="Q1138" s="144">
        <f t="shared" ca="1" si="133"/>
        <v>0.73078047354574682</v>
      </c>
    </row>
    <row r="1139" spans="1:17" x14ac:dyDescent="0.25">
      <c r="A1139" s="145">
        <v>41631</v>
      </c>
      <c r="B1139" s="144">
        <v>1.3702000000000001</v>
      </c>
      <c r="C1139" s="144">
        <v>44.896799999999999</v>
      </c>
      <c r="D1139" s="144">
        <v>8.3975000000000009</v>
      </c>
      <c r="E1139" s="144">
        <v>142.38</v>
      </c>
      <c r="F1139" s="144">
        <v>0.8377</v>
      </c>
      <c r="G1139" s="144">
        <v>1.2257</v>
      </c>
      <c r="I1139" s="144">
        <v>1</v>
      </c>
      <c r="J1139" s="145">
        <f t="shared" si="128"/>
        <v>41631</v>
      </c>
      <c r="K1139" s="144">
        <f t="shared" ca="1" si="133"/>
        <v>0.89454094292803965</v>
      </c>
      <c r="L1139" s="144">
        <f t="shared" ca="1" si="133"/>
        <v>0.61137060283170341</v>
      </c>
      <c r="M1139" s="144">
        <f t="shared" ca="1" si="133"/>
        <v>103.91183768792877</v>
      </c>
      <c r="N1139" s="144">
        <f t="shared" ca="1" si="133"/>
        <v>6.1286673478324332</v>
      </c>
      <c r="O1139" s="144">
        <f t="shared" ca="1" si="133"/>
        <v>32.766603415559771</v>
      </c>
      <c r="P1139" s="144">
        <f t="shared" ca="1" si="133"/>
        <v>1</v>
      </c>
      <c r="Q1139" s="144">
        <f t="shared" ca="1" si="133"/>
        <v>0.72982046416581514</v>
      </c>
    </row>
    <row r="1140" spans="1:17" x14ac:dyDescent="0.25">
      <c r="A1140" s="145">
        <v>41630</v>
      </c>
      <c r="B1140" s="144">
        <v>1.3654999999999999</v>
      </c>
      <c r="C1140" s="144">
        <v>45.08</v>
      </c>
      <c r="D1140" s="144">
        <v>8.4160000000000004</v>
      </c>
      <c r="E1140" s="144">
        <v>142.66</v>
      </c>
      <c r="F1140" s="144">
        <v>0.83479999999999999</v>
      </c>
      <c r="G1140" s="144">
        <v>1.2262999999999999</v>
      </c>
      <c r="I1140" s="144">
        <v>1</v>
      </c>
      <c r="J1140" s="145">
        <f t="shared" si="128"/>
        <v>41630</v>
      </c>
      <c r="K1140" s="144">
        <f t="shared" ca="1" si="133"/>
        <v>0.8980593189307946</v>
      </c>
      <c r="L1140" s="144">
        <f t="shared" ca="1" si="133"/>
        <v>0.61135115342365431</v>
      </c>
      <c r="M1140" s="144">
        <f t="shared" ca="1" si="133"/>
        <v>104.47455144635664</v>
      </c>
      <c r="N1140" s="144">
        <f t="shared" ca="1" si="133"/>
        <v>6.1633101428048338</v>
      </c>
      <c r="O1140" s="144">
        <f t="shared" ca="1" si="133"/>
        <v>33.013548150860494</v>
      </c>
      <c r="P1140" s="144">
        <f t="shared" ca="1" si="133"/>
        <v>1</v>
      </c>
      <c r="Q1140" s="144">
        <f t="shared" ca="1" si="133"/>
        <v>0.73233247894544129</v>
      </c>
    </row>
    <row r="1141" spans="1:17" x14ac:dyDescent="0.25">
      <c r="A1141" s="145">
        <v>41629</v>
      </c>
      <c r="B1141" s="144">
        <v>1.3654999999999999</v>
      </c>
      <c r="C1141" s="144">
        <v>45.08</v>
      </c>
      <c r="D1141" s="144">
        <v>8.4160000000000004</v>
      </c>
      <c r="E1141" s="144">
        <v>142.66</v>
      </c>
      <c r="F1141" s="144">
        <v>0.83479999999999999</v>
      </c>
      <c r="G1141" s="144">
        <v>1.2262999999999999</v>
      </c>
      <c r="I1141" s="144">
        <v>1</v>
      </c>
      <c r="J1141" s="145">
        <f t="shared" si="128"/>
        <v>41629</v>
      </c>
      <c r="K1141" s="144">
        <f t="shared" ca="1" si="133"/>
        <v>0.8980593189307946</v>
      </c>
      <c r="L1141" s="144">
        <f t="shared" ca="1" si="133"/>
        <v>0.61135115342365431</v>
      </c>
      <c r="M1141" s="144">
        <f t="shared" ca="1" si="133"/>
        <v>104.47455144635664</v>
      </c>
      <c r="N1141" s="144">
        <f t="shared" ca="1" si="133"/>
        <v>6.1633101428048338</v>
      </c>
      <c r="O1141" s="144">
        <f t="shared" ca="1" si="133"/>
        <v>33.013548150860494</v>
      </c>
      <c r="P1141" s="144">
        <f t="shared" ca="1" si="133"/>
        <v>1</v>
      </c>
      <c r="Q1141" s="144">
        <f t="shared" ca="1" si="133"/>
        <v>0.73233247894544129</v>
      </c>
    </row>
    <row r="1142" spans="1:17" x14ac:dyDescent="0.25">
      <c r="A1142" s="145">
        <v>41628</v>
      </c>
      <c r="B1142" s="144">
        <v>1.3654999999999999</v>
      </c>
      <c r="C1142" s="144">
        <v>45.08</v>
      </c>
      <c r="D1142" s="144">
        <v>8.4160000000000004</v>
      </c>
      <c r="E1142" s="144">
        <v>142.66</v>
      </c>
      <c r="F1142" s="144">
        <v>0.83479999999999999</v>
      </c>
      <c r="G1142" s="144">
        <v>1.2262999999999999</v>
      </c>
      <c r="I1142" s="144">
        <v>1</v>
      </c>
      <c r="J1142" s="145">
        <f t="shared" si="128"/>
        <v>41628</v>
      </c>
      <c r="K1142" s="144">
        <f t="shared" ca="1" si="133"/>
        <v>0.8980593189307946</v>
      </c>
      <c r="L1142" s="144">
        <f t="shared" ca="1" si="133"/>
        <v>0.61135115342365431</v>
      </c>
      <c r="M1142" s="144">
        <f t="shared" ca="1" si="133"/>
        <v>104.47455144635664</v>
      </c>
      <c r="N1142" s="144">
        <f t="shared" ca="1" si="133"/>
        <v>6.1633101428048338</v>
      </c>
      <c r="O1142" s="144">
        <f t="shared" ca="1" si="133"/>
        <v>33.013548150860494</v>
      </c>
      <c r="P1142" s="144">
        <f t="shared" ca="1" si="133"/>
        <v>1</v>
      </c>
      <c r="Q1142" s="144">
        <f t="shared" ca="1" si="133"/>
        <v>0.73233247894544129</v>
      </c>
    </row>
    <row r="1143" spans="1:17" x14ac:dyDescent="0.25">
      <c r="A1143" s="145">
        <v>41627</v>
      </c>
      <c r="B1143" s="144">
        <v>1.3667</v>
      </c>
      <c r="C1143" s="144">
        <v>44.9955</v>
      </c>
      <c r="D1143" s="144">
        <v>8.3829999999999991</v>
      </c>
      <c r="E1143" s="144">
        <v>142.55000000000001</v>
      </c>
      <c r="F1143" s="144">
        <v>0.83489999999999998</v>
      </c>
      <c r="G1143" s="144">
        <v>1.2261</v>
      </c>
      <c r="I1143" s="144">
        <v>1</v>
      </c>
      <c r="J1143" s="145">
        <f t="shared" si="128"/>
        <v>41627</v>
      </c>
      <c r="K1143" s="144">
        <f t="shared" ca="1" si="133"/>
        <v>0.89712446037901505</v>
      </c>
      <c r="L1143" s="144">
        <f t="shared" ca="1" si="133"/>
        <v>0.61088753932830908</v>
      </c>
      <c r="M1143" s="144">
        <f t="shared" ca="1" si="133"/>
        <v>104.30233408941245</v>
      </c>
      <c r="N1143" s="144">
        <f t="shared" ca="1" si="133"/>
        <v>6.1337528352966997</v>
      </c>
      <c r="O1143" s="144">
        <f t="shared" ca="1" si="133"/>
        <v>32.922733591863611</v>
      </c>
      <c r="P1143" s="144">
        <f t="shared" ca="1" si="133"/>
        <v>1</v>
      </c>
      <c r="Q1143" s="144">
        <f t="shared" ca="1" si="133"/>
        <v>0.73168947098851245</v>
      </c>
    </row>
    <row r="1144" spans="1:17" x14ac:dyDescent="0.25">
      <c r="A1144" s="145">
        <v>41626</v>
      </c>
      <c r="B1144" s="144">
        <v>1.3749</v>
      </c>
      <c r="C1144" s="144">
        <v>45.305</v>
      </c>
      <c r="D1144" s="144">
        <v>8.3795000000000002</v>
      </c>
      <c r="E1144" s="144">
        <v>141.61000000000001</v>
      </c>
      <c r="F1144" s="144">
        <v>0.84009999999999996</v>
      </c>
      <c r="G1144" s="144">
        <v>1.2211000000000001</v>
      </c>
      <c r="I1144" s="144">
        <v>1</v>
      </c>
      <c r="J1144" s="145">
        <f t="shared" si="128"/>
        <v>41626</v>
      </c>
      <c r="K1144" s="144">
        <f t="shared" ca="1" si="133"/>
        <v>0.88813731907775118</v>
      </c>
      <c r="L1144" s="144">
        <f t="shared" ca="1" si="133"/>
        <v>0.61102625645501485</v>
      </c>
      <c r="M1144" s="144">
        <f t="shared" ca="1" si="133"/>
        <v>102.9965815695687</v>
      </c>
      <c r="N1144" s="144">
        <f t="shared" ca="1" si="133"/>
        <v>6.0946250636409918</v>
      </c>
      <c r="O1144" s="144">
        <f t="shared" ca="1" si="133"/>
        <v>32.951487380900431</v>
      </c>
      <c r="P1144" s="144">
        <f t="shared" ca="1" si="133"/>
        <v>1</v>
      </c>
      <c r="Q1144" s="144">
        <f t="shared" ca="1" si="133"/>
        <v>0.72732562368172227</v>
      </c>
    </row>
    <row r="1145" spans="1:17" x14ac:dyDescent="0.25">
      <c r="A1145" s="145">
        <v>41625</v>
      </c>
      <c r="B1145" s="144">
        <v>1.3749</v>
      </c>
      <c r="C1145" s="144">
        <v>45.292200000000001</v>
      </c>
      <c r="D1145" s="144">
        <v>8.4600000000000009</v>
      </c>
      <c r="E1145" s="144">
        <v>141.61000000000001</v>
      </c>
      <c r="F1145" s="144">
        <v>0.84560000000000002</v>
      </c>
      <c r="G1145" s="144">
        <v>1.2205999999999999</v>
      </c>
      <c r="I1145" s="144">
        <v>1</v>
      </c>
      <c r="J1145" s="145">
        <f t="shared" si="128"/>
        <v>41625</v>
      </c>
      <c r="K1145" s="144">
        <f t="shared" ref="K1145:Q1154" ca="1" si="134">OFFSET($A1145,0,K$3)/OFFSET($A1145,0,$P$3)</f>
        <v>0.8877736562659102</v>
      </c>
      <c r="L1145" s="144">
        <f t="shared" ca="1" si="134"/>
        <v>0.61502654738526441</v>
      </c>
      <c r="M1145" s="144">
        <f t="shared" ca="1" si="134"/>
        <v>102.9965815695687</v>
      </c>
      <c r="N1145" s="144">
        <f t="shared" ca="1" si="134"/>
        <v>6.1531747763473712</v>
      </c>
      <c r="O1145" s="144">
        <f t="shared" ca="1" si="134"/>
        <v>32.942177612917305</v>
      </c>
      <c r="P1145" s="144">
        <f t="shared" ca="1" si="134"/>
        <v>1</v>
      </c>
      <c r="Q1145" s="144">
        <f t="shared" ca="1" si="134"/>
        <v>0.72732562368172227</v>
      </c>
    </row>
    <row r="1146" spans="1:17" x14ac:dyDescent="0.25">
      <c r="A1146" s="145">
        <v>41624</v>
      </c>
      <c r="B1146" s="144">
        <v>1.3775999999999999</v>
      </c>
      <c r="C1146" s="144">
        <v>45.290500000000002</v>
      </c>
      <c r="D1146" s="144">
        <v>8.4344999999999999</v>
      </c>
      <c r="E1146" s="144">
        <v>141.87</v>
      </c>
      <c r="F1146" s="144">
        <v>0.84384999999999999</v>
      </c>
      <c r="G1146" s="144">
        <v>1.2212000000000001</v>
      </c>
      <c r="I1146" s="144">
        <v>1</v>
      </c>
      <c r="J1146" s="145">
        <f t="shared" si="128"/>
        <v>41624</v>
      </c>
      <c r="K1146" s="144">
        <f t="shared" ca="1" si="134"/>
        <v>0.88646922183507559</v>
      </c>
      <c r="L1146" s="144">
        <f t="shared" ca="1" si="134"/>
        <v>0.61255081300813008</v>
      </c>
      <c r="M1146" s="144">
        <f t="shared" ca="1" si="134"/>
        <v>102.98344947735193</v>
      </c>
      <c r="N1146" s="144">
        <f t="shared" ca="1" si="134"/>
        <v>6.1226045296167246</v>
      </c>
      <c r="O1146" s="144">
        <f t="shared" ca="1" si="134"/>
        <v>32.876379210220676</v>
      </c>
      <c r="P1146" s="144">
        <f t="shared" ca="1" si="134"/>
        <v>1</v>
      </c>
      <c r="Q1146" s="144">
        <f t="shared" ca="1" si="134"/>
        <v>0.72590011614401861</v>
      </c>
    </row>
    <row r="1147" spans="1:17" x14ac:dyDescent="0.25">
      <c r="A1147" s="145">
        <v>41623</v>
      </c>
      <c r="B1147" s="144">
        <v>1.3727</v>
      </c>
      <c r="C1147" s="144">
        <v>45.096499999999999</v>
      </c>
      <c r="D1147" s="144">
        <v>8.49</v>
      </c>
      <c r="E1147" s="144">
        <v>141.93</v>
      </c>
      <c r="F1147" s="144">
        <v>0.84370000000000001</v>
      </c>
      <c r="G1147" s="144">
        <v>1.2225999999999999</v>
      </c>
      <c r="I1147" s="144">
        <v>1</v>
      </c>
      <c r="J1147" s="145">
        <f t="shared" si="128"/>
        <v>41623</v>
      </c>
      <c r="K1147" s="144">
        <f t="shared" ca="1" si="134"/>
        <v>0.89065345669119245</v>
      </c>
      <c r="L1147" s="144">
        <f t="shared" ca="1" si="134"/>
        <v>0.6146281051941429</v>
      </c>
      <c r="M1147" s="144">
        <f t="shared" ca="1" si="134"/>
        <v>103.39476943250529</v>
      </c>
      <c r="N1147" s="144">
        <f t="shared" ca="1" si="134"/>
        <v>6.184891090551468</v>
      </c>
      <c r="O1147" s="144">
        <f t="shared" ca="1" si="134"/>
        <v>32.852407663728414</v>
      </c>
      <c r="P1147" s="144">
        <f t="shared" ca="1" si="134"/>
        <v>1</v>
      </c>
      <c r="Q1147" s="144">
        <f t="shared" ca="1" si="134"/>
        <v>0.72849129452903039</v>
      </c>
    </row>
    <row r="1148" spans="1:17" x14ac:dyDescent="0.25">
      <c r="A1148" s="145">
        <v>41622</v>
      </c>
      <c r="B1148" s="144">
        <v>1.3727</v>
      </c>
      <c r="C1148" s="144">
        <v>45.096499999999999</v>
      </c>
      <c r="D1148" s="144">
        <v>8.49</v>
      </c>
      <c r="E1148" s="144">
        <v>141.93</v>
      </c>
      <c r="F1148" s="144">
        <v>0.84370000000000001</v>
      </c>
      <c r="G1148" s="144">
        <v>1.2225999999999999</v>
      </c>
      <c r="I1148" s="144">
        <v>1</v>
      </c>
      <c r="J1148" s="145">
        <f t="shared" si="128"/>
        <v>41622</v>
      </c>
      <c r="K1148" s="144">
        <f t="shared" ca="1" si="134"/>
        <v>0.89065345669119245</v>
      </c>
      <c r="L1148" s="144">
        <f t="shared" ca="1" si="134"/>
        <v>0.6146281051941429</v>
      </c>
      <c r="M1148" s="144">
        <f t="shared" ca="1" si="134"/>
        <v>103.39476943250529</v>
      </c>
      <c r="N1148" s="144">
        <f t="shared" ca="1" si="134"/>
        <v>6.184891090551468</v>
      </c>
      <c r="O1148" s="144">
        <f t="shared" ca="1" si="134"/>
        <v>32.852407663728414</v>
      </c>
      <c r="P1148" s="144">
        <f t="shared" ca="1" si="134"/>
        <v>1</v>
      </c>
      <c r="Q1148" s="144">
        <f t="shared" ca="1" si="134"/>
        <v>0.72849129452903039</v>
      </c>
    </row>
    <row r="1149" spans="1:17" x14ac:dyDescent="0.25">
      <c r="A1149" s="145">
        <v>41621</v>
      </c>
      <c r="B1149" s="144">
        <v>1.3727</v>
      </c>
      <c r="C1149" s="144">
        <v>45.096499999999999</v>
      </c>
      <c r="D1149" s="144">
        <v>8.49</v>
      </c>
      <c r="E1149" s="144">
        <v>141.93</v>
      </c>
      <c r="F1149" s="144">
        <v>0.84370000000000001</v>
      </c>
      <c r="G1149" s="144">
        <v>1.2225999999999999</v>
      </c>
      <c r="I1149" s="144">
        <v>1</v>
      </c>
      <c r="J1149" s="145">
        <f t="shared" si="128"/>
        <v>41621</v>
      </c>
      <c r="K1149" s="144">
        <f t="shared" ca="1" si="134"/>
        <v>0.89065345669119245</v>
      </c>
      <c r="L1149" s="144">
        <f t="shared" ca="1" si="134"/>
        <v>0.6146281051941429</v>
      </c>
      <c r="M1149" s="144">
        <f t="shared" ca="1" si="134"/>
        <v>103.39476943250529</v>
      </c>
      <c r="N1149" s="144">
        <f t="shared" ca="1" si="134"/>
        <v>6.184891090551468</v>
      </c>
      <c r="O1149" s="144">
        <f t="shared" ca="1" si="134"/>
        <v>32.852407663728414</v>
      </c>
      <c r="P1149" s="144">
        <f t="shared" ca="1" si="134"/>
        <v>1</v>
      </c>
      <c r="Q1149" s="144">
        <f t="shared" ca="1" si="134"/>
        <v>0.72849129452903039</v>
      </c>
    </row>
    <row r="1150" spans="1:17" x14ac:dyDescent="0.25">
      <c r="A1150" s="145">
        <v>41620</v>
      </c>
      <c r="B1150" s="144">
        <v>1.3774999999999999</v>
      </c>
      <c r="C1150" s="144">
        <v>45.129199999999997</v>
      </c>
      <c r="D1150" s="144">
        <v>8.4764999999999997</v>
      </c>
      <c r="E1150" s="144">
        <v>141.51</v>
      </c>
      <c r="F1150" s="144">
        <v>0.8397</v>
      </c>
      <c r="G1150" s="144">
        <v>1.2211000000000001</v>
      </c>
      <c r="I1150" s="144">
        <v>1</v>
      </c>
      <c r="J1150" s="145">
        <f t="shared" si="128"/>
        <v>41620</v>
      </c>
      <c r="K1150" s="144">
        <f t="shared" ca="1" si="134"/>
        <v>0.8864609800362977</v>
      </c>
      <c r="L1150" s="144">
        <f t="shared" ca="1" si="134"/>
        <v>0.60958257713248643</v>
      </c>
      <c r="M1150" s="144">
        <f t="shared" ca="1" si="134"/>
        <v>102.72958257713249</v>
      </c>
      <c r="N1150" s="144">
        <f t="shared" ca="1" si="134"/>
        <v>6.1535390199637021</v>
      </c>
      <c r="O1150" s="144">
        <f t="shared" ca="1" si="134"/>
        <v>32.761669691470054</v>
      </c>
      <c r="P1150" s="144">
        <f t="shared" ca="1" si="134"/>
        <v>1</v>
      </c>
      <c r="Q1150" s="144">
        <f t="shared" ca="1" si="134"/>
        <v>0.72595281306715065</v>
      </c>
    </row>
    <row r="1151" spans="1:17" x14ac:dyDescent="0.25">
      <c r="A1151" s="145">
        <v>41619</v>
      </c>
      <c r="B1151" s="144">
        <v>1.3767</v>
      </c>
      <c r="C1151" s="144">
        <v>45.081200000000003</v>
      </c>
      <c r="D1151" s="144">
        <v>8.4215</v>
      </c>
      <c r="E1151" s="144">
        <v>141.22</v>
      </c>
      <c r="F1151" s="144">
        <v>0.84025000000000005</v>
      </c>
      <c r="G1151" s="144">
        <v>1.2219</v>
      </c>
      <c r="I1151" s="144">
        <v>1</v>
      </c>
      <c r="J1151" s="145">
        <f t="shared" si="128"/>
        <v>41619</v>
      </c>
      <c r="K1151" s="144">
        <f t="shared" ca="1" si="134"/>
        <v>0.88755720200479404</v>
      </c>
      <c r="L1151" s="144">
        <f t="shared" ca="1" si="134"/>
        <v>0.61033631146945599</v>
      </c>
      <c r="M1151" s="144">
        <f t="shared" ca="1" si="134"/>
        <v>102.57863005738359</v>
      </c>
      <c r="N1151" s="144">
        <f t="shared" ca="1" si="134"/>
        <v>6.1171642333115424</v>
      </c>
      <c r="O1151" s="144">
        <f t="shared" ca="1" si="134"/>
        <v>32.745841505048304</v>
      </c>
      <c r="P1151" s="144">
        <f t="shared" ca="1" si="134"/>
        <v>1</v>
      </c>
      <c r="Q1151" s="144">
        <f t="shared" ca="1" si="134"/>
        <v>0.72637466405171791</v>
      </c>
    </row>
    <row r="1152" spans="1:17" x14ac:dyDescent="0.25">
      <c r="A1152" s="145">
        <v>41618</v>
      </c>
      <c r="B1152" s="144">
        <v>1.375</v>
      </c>
      <c r="C1152" s="144">
        <v>44.996200000000002</v>
      </c>
      <c r="D1152" s="144">
        <v>8.4015000000000004</v>
      </c>
      <c r="E1152" s="144">
        <v>141.35</v>
      </c>
      <c r="F1152" s="144">
        <v>0.83645000000000003</v>
      </c>
      <c r="G1152" s="144">
        <v>1.2214</v>
      </c>
      <c r="I1152" s="144">
        <v>1</v>
      </c>
      <c r="J1152" s="145">
        <f t="shared" si="128"/>
        <v>41618</v>
      </c>
      <c r="K1152" s="144">
        <f t="shared" ca="1" si="134"/>
        <v>0.88829090909090913</v>
      </c>
      <c r="L1152" s="144">
        <f t="shared" ca="1" si="134"/>
        <v>0.60832727272727272</v>
      </c>
      <c r="M1152" s="144">
        <f t="shared" ca="1" si="134"/>
        <v>102.8</v>
      </c>
      <c r="N1152" s="144">
        <f t="shared" ca="1" si="134"/>
        <v>6.1101818181818182</v>
      </c>
      <c r="O1152" s="144">
        <f t="shared" ca="1" si="134"/>
        <v>32.724509090909095</v>
      </c>
      <c r="P1152" s="144">
        <f t="shared" ca="1" si="134"/>
        <v>1</v>
      </c>
      <c r="Q1152" s="144">
        <f t="shared" ca="1" si="134"/>
        <v>0.72727272727272729</v>
      </c>
    </row>
    <row r="1153" spans="1:17" x14ac:dyDescent="0.25">
      <c r="A1153" s="145">
        <v>41617</v>
      </c>
      <c r="B1153" s="144">
        <v>1.3722000000000001</v>
      </c>
      <c r="C1153" s="144">
        <v>44.926000000000002</v>
      </c>
      <c r="D1153" s="144">
        <v>8.4284999999999997</v>
      </c>
      <c r="E1153" s="144">
        <v>141.33000000000001</v>
      </c>
      <c r="F1153" s="144">
        <v>0.83765000000000001</v>
      </c>
      <c r="G1153" s="144">
        <v>1.2231000000000001</v>
      </c>
      <c r="I1153" s="144">
        <v>1</v>
      </c>
      <c r="J1153" s="145">
        <f t="shared" si="128"/>
        <v>41617</v>
      </c>
      <c r="K1153" s="144">
        <f t="shared" ca="1" si="134"/>
        <v>0.89134236991692173</v>
      </c>
      <c r="L1153" s="144">
        <f t="shared" ca="1" si="134"/>
        <v>0.61044308409852788</v>
      </c>
      <c r="M1153" s="144">
        <f t="shared" ca="1" si="134"/>
        <v>102.9951902055094</v>
      </c>
      <c r="N1153" s="144">
        <f t="shared" ca="1" si="134"/>
        <v>6.1423261915172711</v>
      </c>
      <c r="O1153" s="144">
        <f t="shared" ca="1" si="134"/>
        <v>32.740125346159452</v>
      </c>
      <c r="P1153" s="144">
        <f t="shared" ca="1" si="134"/>
        <v>1</v>
      </c>
      <c r="Q1153" s="144">
        <f t="shared" ca="1" si="134"/>
        <v>0.72875674099985421</v>
      </c>
    </row>
    <row r="1154" spans="1:17" x14ac:dyDescent="0.25">
      <c r="A1154" s="145">
        <v>41616</v>
      </c>
      <c r="B1154" s="144">
        <v>1.3661000000000001</v>
      </c>
      <c r="C1154" s="144">
        <v>45.040999999999997</v>
      </c>
      <c r="D1154" s="144">
        <v>8.4339999999999993</v>
      </c>
      <c r="E1154" s="144">
        <v>139.63</v>
      </c>
      <c r="F1154" s="144">
        <v>0.83579999999999999</v>
      </c>
      <c r="G1154" s="144">
        <v>1.2231000000000001</v>
      </c>
      <c r="I1154" s="144">
        <v>1</v>
      </c>
      <c r="J1154" s="145">
        <f t="shared" si="128"/>
        <v>41616</v>
      </c>
      <c r="K1154" s="144">
        <f t="shared" ca="1" si="134"/>
        <v>0.89532245077227146</v>
      </c>
      <c r="L1154" s="144">
        <f t="shared" ca="1" si="134"/>
        <v>0.61181465485689179</v>
      </c>
      <c r="M1154" s="144">
        <f t="shared" ca="1" si="134"/>
        <v>102.21067271795621</v>
      </c>
      <c r="N1154" s="144">
        <f t="shared" ca="1" si="134"/>
        <v>6.1737793719347041</v>
      </c>
      <c r="O1154" s="144">
        <f t="shared" ca="1" si="134"/>
        <v>32.970499963399455</v>
      </c>
      <c r="P1154" s="144">
        <f t="shared" ca="1" si="134"/>
        <v>1</v>
      </c>
      <c r="Q1154" s="144">
        <f t="shared" ca="1" si="134"/>
        <v>0.7320108337603396</v>
      </c>
    </row>
    <row r="1155" spans="1:17" x14ac:dyDescent="0.25">
      <c r="A1155" s="145">
        <v>41615</v>
      </c>
      <c r="B1155" s="144">
        <v>1.3661000000000001</v>
      </c>
      <c r="C1155" s="144">
        <v>45.040999999999997</v>
      </c>
      <c r="D1155" s="144">
        <v>8.4339999999999993</v>
      </c>
      <c r="E1155" s="144">
        <v>139.63</v>
      </c>
      <c r="F1155" s="144">
        <v>0.83579999999999999</v>
      </c>
      <c r="G1155" s="144">
        <v>1.2231000000000001</v>
      </c>
      <c r="I1155" s="144">
        <v>1</v>
      </c>
      <c r="J1155" s="145">
        <f t="shared" si="128"/>
        <v>41615</v>
      </c>
      <c r="K1155" s="144">
        <f t="shared" ref="K1155:Q1164" ca="1" si="135">OFFSET($A1155,0,K$3)/OFFSET($A1155,0,$P$3)</f>
        <v>0.89532245077227146</v>
      </c>
      <c r="L1155" s="144">
        <f t="shared" ca="1" si="135"/>
        <v>0.61181465485689179</v>
      </c>
      <c r="M1155" s="144">
        <f t="shared" ca="1" si="135"/>
        <v>102.21067271795621</v>
      </c>
      <c r="N1155" s="144">
        <f t="shared" ca="1" si="135"/>
        <v>6.1737793719347041</v>
      </c>
      <c r="O1155" s="144">
        <f t="shared" ca="1" si="135"/>
        <v>32.970499963399455</v>
      </c>
      <c r="P1155" s="144">
        <f t="shared" ca="1" si="135"/>
        <v>1</v>
      </c>
      <c r="Q1155" s="144">
        <f t="shared" ca="1" si="135"/>
        <v>0.7320108337603396</v>
      </c>
    </row>
    <row r="1156" spans="1:17" x14ac:dyDescent="0.25">
      <c r="A1156" s="145">
        <v>41614</v>
      </c>
      <c r="B1156" s="144">
        <v>1.3661000000000001</v>
      </c>
      <c r="C1156" s="144">
        <v>45.040999999999997</v>
      </c>
      <c r="D1156" s="144">
        <v>8.4339999999999993</v>
      </c>
      <c r="E1156" s="144">
        <v>139.63</v>
      </c>
      <c r="F1156" s="144">
        <v>0.83579999999999999</v>
      </c>
      <c r="G1156" s="144">
        <v>1.2231000000000001</v>
      </c>
      <c r="I1156" s="144">
        <v>1</v>
      </c>
      <c r="J1156" s="145">
        <f t="shared" si="128"/>
        <v>41614</v>
      </c>
      <c r="K1156" s="144">
        <f t="shared" ca="1" si="135"/>
        <v>0.89532245077227146</v>
      </c>
      <c r="L1156" s="144">
        <f t="shared" ca="1" si="135"/>
        <v>0.61181465485689179</v>
      </c>
      <c r="M1156" s="144">
        <f t="shared" ca="1" si="135"/>
        <v>102.21067271795621</v>
      </c>
      <c r="N1156" s="144">
        <f t="shared" ca="1" si="135"/>
        <v>6.1737793719347041</v>
      </c>
      <c r="O1156" s="144">
        <f t="shared" ca="1" si="135"/>
        <v>32.970499963399455</v>
      </c>
      <c r="P1156" s="144">
        <f t="shared" ca="1" si="135"/>
        <v>1</v>
      </c>
      <c r="Q1156" s="144">
        <f t="shared" ca="1" si="135"/>
        <v>0.7320108337603396</v>
      </c>
    </row>
    <row r="1157" spans="1:17" x14ac:dyDescent="0.25">
      <c r="A1157" s="145">
        <v>41613</v>
      </c>
      <c r="B1157" s="144">
        <v>1.3593999999999999</v>
      </c>
      <c r="C1157" s="144">
        <v>44.8932</v>
      </c>
      <c r="D1157" s="144">
        <v>8.4034999999999993</v>
      </c>
      <c r="E1157" s="144">
        <v>138.72999999999999</v>
      </c>
      <c r="F1157" s="144">
        <v>0.83130000000000004</v>
      </c>
      <c r="G1157" s="144">
        <v>1.2262</v>
      </c>
      <c r="I1157" s="144">
        <v>1</v>
      </c>
      <c r="J1157" s="145">
        <f t="shared" ref="J1157:J1220" si="136">A1157</f>
        <v>41613</v>
      </c>
      <c r="K1157" s="144">
        <f t="shared" ca="1" si="135"/>
        <v>0.90201559511549212</v>
      </c>
      <c r="L1157" s="144">
        <f t="shared" ca="1" si="135"/>
        <v>0.61151978814182728</v>
      </c>
      <c r="M1157" s="144">
        <f t="shared" ca="1" si="135"/>
        <v>102.05237604825658</v>
      </c>
      <c r="N1157" s="144">
        <f t="shared" ca="1" si="135"/>
        <v>6.1817713697219361</v>
      </c>
      <c r="O1157" s="144">
        <f t="shared" ca="1" si="135"/>
        <v>33.024275415624544</v>
      </c>
      <c r="P1157" s="144">
        <f t="shared" ca="1" si="135"/>
        <v>1</v>
      </c>
      <c r="Q1157" s="144">
        <f t="shared" ca="1" si="135"/>
        <v>0.7356186552890982</v>
      </c>
    </row>
    <row r="1158" spans="1:17" x14ac:dyDescent="0.25">
      <c r="A1158" s="145">
        <v>41612</v>
      </c>
      <c r="B1158" s="144">
        <v>1.3592</v>
      </c>
      <c r="C1158" s="144">
        <v>45.034500000000001</v>
      </c>
      <c r="D1158" s="144">
        <v>8.3104999999999993</v>
      </c>
      <c r="E1158" s="144">
        <v>139.31</v>
      </c>
      <c r="F1158" s="144">
        <v>0.83</v>
      </c>
      <c r="G1158" s="144">
        <v>1.2267999999999999</v>
      </c>
      <c r="I1158" s="144">
        <v>1</v>
      </c>
      <c r="J1158" s="145">
        <f t="shared" si="136"/>
        <v>41612</v>
      </c>
      <c r="K1158" s="144">
        <f t="shared" ca="1" si="135"/>
        <v>0.90258975868157731</v>
      </c>
      <c r="L1158" s="144">
        <f t="shared" ca="1" si="135"/>
        <v>0.61065332548557971</v>
      </c>
      <c r="M1158" s="144">
        <f t="shared" ca="1" si="135"/>
        <v>102.49411418481461</v>
      </c>
      <c r="N1158" s="144">
        <f t="shared" ca="1" si="135"/>
        <v>6.1142583872866387</v>
      </c>
      <c r="O1158" s="144">
        <f t="shared" ca="1" si="135"/>
        <v>33.133092995879935</v>
      </c>
      <c r="P1158" s="144">
        <f t="shared" ca="1" si="135"/>
        <v>1</v>
      </c>
      <c r="Q1158" s="144">
        <f t="shared" ca="1" si="135"/>
        <v>0.73572689817539727</v>
      </c>
    </row>
    <row r="1159" spans="1:17" x14ac:dyDescent="0.25">
      <c r="A1159" s="145">
        <v>41611</v>
      </c>
      <c r="B1159" s="144">
        <v>1.3577999999999999</v>
      </c>
      <c r="C1159" s="144">
        <v>45.15</v>
      </c>
      <c r="D1159" s="144">
        <v>8.2899999999999991</v>
      </c>
      <c r="E1159" s="144">
        <v>139.31</v>
      </c>
      <c r="F1159" s="144">
        <v>0.82709999999999995</v>
      </c>
      <c r="G1159" s="144">
        <v>1.2286999999999999</v>
      </c>
      <c r="I1159" s="144">
        <v>1</v>
      </c>
      <c r="J1159" s="145">
        <f t="shared" si="136"/>
        <v>41611</v>
      </c>
      <c r="K1159" s="144">
        <f t="shared" ca="1" si="135"/>
        <v>0.9049197230814553</v>
      </c>
      <c r="L1159" s="144">
        <f t="shared" ca="1" si="135"/>
        <v>0.60914714980114892</v>
      </c>
      <c r="M1159" s="144">
        <f t="shared" ca="1" si="135"/>
        <v>102.59979378406247</v>
      </c>
      <c r="N1159" s="144">
        <f t="shared" ca="1" si="135"/>
        <v>6.1054647223449701</v>
      </c>
      <c r="O1159" s="144">
        <f t="shared" ca="1" si="135"/>
        <v>33.252319929297393</v>
      </c>
      <c r="P1159" s="144">
        <f t="shared" ca="1" si="135"/>
        <v>1</v>
      </c>
      <c r="Q1159" s="144">
        <f t="shared" ca="1" si="135"/>
        <v>0.73648549123582274</v>
      </c>
    </row>
    <row r="1160" spans="1:17" x14ac:dyDescent="0.25">
      <c r="A1160" s="145">
        <v>41610</v>
      </c>
      <c r="B1160" s="144">
        <v>1.3535999999999999</v>
      </c>
      <c r="C1160" s="144">
        <v>44.905700000000003</v>
      </c>
      <c r="D1160" s="144">
        <v>8.3094999999999999</v>
      </c>
      <c r="E1160" s="144">
        <v>139.16</v>
      </c>
      <c r="F1160" s="144">
        <v>0.82604999999999995</v>
      </c>
      <c r="G1160" s="144">
        <v>1.2321</v>
      </c>
      <c r="I1160" s="144">
        <v>1</v>
      </c>
      <c r="J1160" s="145">
        <f t="shared" si="136"/>
        <v>41610</v>
      </c>
      <c r="K1160" s="144">
        <f t="shared" ca="1" si="135"/>
        <v>0.91023936170212771</v>
      </c>
      <c r="L1160" s="144">
        <f t="shared" ca="1" si="135"/>
        <v>0.61026152482269502</v>
      </c>
      <c r="M1160" s="144">
        <f t="shared" ca="1" si="135"/>
        <v>102.80732860520095</v>
      </c>
      <c r="N1160" s="144">
        <f t="shared" ca="1" si="135"/>
        <v>6.1388150118203315</v>
      </c>
      <c r="O1160" s="144">
        <f t="shared" ca="1" si="135"/>
        <v>33.175014775413715</v>
      </c>
      <c r="P1160" s="144">
        <f t="shared" ca="1" si="135"/>
        <v>1</v>
      </c>
      <c r="Q1160" s="144">
        <f t="shared" ca="1" si="135"/>
        <v>0.73877068557919623</v>
      </c>
    </row>
    <row r="1161" spans="1:17" x14ac:dyDescent="0.25">
      <c r="A1161" s="145">
        <v>41609</v>
      </c>
      <c r="B1161" s="144">
        <v>1.3611</v>
      </c>
      <c r="C1161" s="144">
        <v>45.155000000000001</v>
      </c>
      <c r="D1161" s="144">
        <v>8.32</v>
      </c>
      <c r="E1161" s="144">
        <v>139.21</v>
      </c>
      <c r="F1161" s="144">
        <v>0.83274999999999999</v>
      </c>
      <c r="G1161" s="144">
        <v>1.2298</v>
      </c>
      <c r="I1161" s="144">
        <v>1</v>
      </c>
      <c r="J1161" s="145">
        <f t="shared" si="136"/>
        <v>41609</v>
      </c>
      <c r="K1161" s="144">
        <f t="shared" ca="1" si="135"/>
        <v>0.90353390639923592</v>
      </c>
      <c r="L1161" s="144">
        <f t="shared" ca="1" si="135"/>
        <v>0.61182132099037545</v>
      </c>
      <c r="M1161" s="144">
        <f t="shared" ca="1" si="135"/>
        <v>102.27756961281317</v>
      </c>
      <c r="N1161" s="144">
        <f t="shared" ca="1" si="135"/>
        <v>6.1127029608404966</v>
      </c>
      <c r="O1161" s="144">
        <f t="shared" ca="1" si="135"/>
        <v>33.175372860186613</v>
      </c>
      <c r="P1161" s="144">
        <f t="shared" ca="1" si="135"/>
        <v>1</v>
      </c>
      <c r="Q1161" s="144">
        <f t="shared" ca="1" si="135"/>
        <v>0.73469987510102119</v>
      </c>
    </row>
    <row r="1162" spans="1:17" x14ac:dyDescent="0.25">
      <c r="A1162" s="145">
        <v>41608</v>
      </c>
      <c r="B1162" s="144">
        <v>1.3611</v>
      </c>
      <c r="C1162" s="144">
        <v>45.155000000000001</v>
      </c>
      <c r="D1162" s="144">
        <v>8.32</v>
      </c>
      <c r="E1162" s="144">
        <v>139.21</v>
      </c>
      <c r="F1162" s="144">
        <v>0.83274999999999999</v>
      </c>
      <c r="G1162" s="144">
        <v>1.2298</v>
      </c>
      <c r="I1162" s="144">
        <v>1</v>
      </c>
      <c r="J1162" s="145">
        <f t="shared" si="136"/>
        <v>41608</v>
      </c>
      <c r="K1162" s="144">
        <f t="shared" ca="1" si="135"/>
        <v>0.90353390639923592</v>
      </c>
      <c r="L1162" s="144">
        <f t="shared" ca="1" si="135"/>
        <v>0.61182132099037545</v>
      </c>
      <c r="M1162" s="144">
        <f t="shared" ca="1" si="135"/>
        <v>102.27756961281317</v>
      </c>
      <c r="N1162" s="144">
        <f t="shared" ca="1" si="135"/>
        <v>6.1127029608404966</v>
      </c>
      <c r="O1162" s="144">
        <f t="shared" ca="1" si="135"/>
        <v>33.175372860186613</v>
      </c>
      <c r="P1162" s="144">
        <f t="shared" ca="1" si="135"/>
        <v>1</v>
      </c>
      <c r="Q1162" s="144">
        <f t="shared" ca="1" si="135"/>
        <v>0.73469987510102119</v>
      </c>
    </row>
    <row r="1163" spans="1:17" x14ac:dyDescent="0.25">
      <c r="A1163" s="145">
        <v>41607</v>
      </c>
      <c r="B1163" s="144">
        <v>1.3611</v>
      </c>
      <c r="C1163" s="144">
        <v>45.155000000000001</v>
      </c>
      <c r="D1163" s="144">
        <v>8.32</v>
      </c>
      <c r="E1163" s="144">
        <v>139.21</v>
      </c>
      <c r="F1163" s="144">
        <v>0.83274999999999999</v>
      </c>
      <c r="G1163" s="144">
        <v>1.2298</v>
      </c>
      <c r="I1163" s="144">
        <v>1</v>
      </c>
      <c r="J1163" s="145">
        <f t="shared" si="136"/>
        <v>41607</v>
      </c>
      <c r="K1163" s="144">
        <f t="shared" ca="1" si="135"/>
        <v>0.90353390639923592</v>
      </c>
      <c r="L1163" s="144">
        <f t="shared" ca="1" si="135"/>
        <v>0.61182132099037545</v>
      </c>
      <c r="M1163" s="144">
        <f t="shared" ca="1" si="135"/>
        <v>102.27756961281317</v>
      </c>
      <c r="N1163" s="144">
        <f t="shared" ca="1" si="135"/>
        <v>6.1127029608404966</v>
      </c>
      <c r="O1163" s="144">
        <f t="shared" ca="1" si="135"/>
        <v>33.175372860186613</v>
      </c>
      <c r="P1163" s="144">
        <f t="shared" ca="1" si="135"/>
        <v>1</v>
      </c>
      <c r="Q1163" s="144">
        <f t="shared" ca="1" si="135"/>
        <v>0.73469987510102119</v>
      </c>
    </row>
    <row r="1164" spans="1:17" x14ac:dyDescent="0.25">
      <c r="A1164" s="145">
        <v>41606</v>
      </c>
      <c r="B1164" s="144">
        <v>1.3592</v>
      </c>
      <c r="C1164" s="144">
        <v>45.051499999999997</v>
      </c>
      <c r="D1164" s="144">
        <v>8.2759999999999998</v>
      </c>
      <c r="E1164" s="144">
        <v>139.06</v>
      </c>
      <c r="F1164" s="144">
        <v>0.83214999999999995</v>
      </c>
      <c r="G1164" s="144">
        <v>1.2323</v>
      </c>
      <c r="I1164" s="144">
        <v>1</v>
      </c>
      <c r="J1164" s="145">
        <f t="shared" si="136"/>
        <v>41606</v>
      </c>
      <c r="K1164" s="144">
        <f t="shared" ca="1" si="135"/>
        <v>0.90663625662154212</v>
      </c>
      <c r="L1164" s="144">
        <f t="shared" ca="1" si="135"/>
        <v>0.61223513831665688</v>
      </c>
      <c r="M1164" s="144">
        <f t="shared" ca="1" si="135"/>
        <v>102.31018246027075</v>
      </c>
      <c r="N1164" s="144">
        <f t="shared" ca="1" si="135"/>
        <v>6.088875809299588</v>
      </c>
      <c r="O1164" s="144">
        <f t="shared" ca="1" si="135"/>
        <v>33.145600353148907</v>
      </c>
      <c r="P1164" s="144">
        <f t="shared" ca="1" si="135"/>
        <v>1</v>
      </c>
      <c r="Q1164" s="144">
        <f t="shared" ca="1" si="135"/>
        <v>0.73572689817539727</v>
      </c>
    </row>
    <row r="1165" spans="1:17" x14ac:dyDescent="0.25">
      <c r="A1165" s="145">
        <v>41605</v>
      </c>
      <c r="B1165" s="144">
        <v>1.3595999999999999</v>
      </c>
      <c r="C1165" s="144">
        <v>44.8979</v>
      </c>
      <c r="D1165" s="144">
        <v>8.2530000000000001</v>
      </c>
      <c r="E1165" s="144">
        <v>138.43</v>
      </c>
      <c r="F1165" s="144">
        <v>0.83404999999999996</v>
      </c>
      <c r="G1165" s="144">
        <v>1.2304999999999999</v>
      </c>
      <c r="I1165" s="144">
        <v>1</v>
      </c>
      <c r="J1165" s="145">
        <f t="shared" si="136"/>
        <v>41605</v>
      </c>
      <c r="K1165" s="144">
        <f t="shared" ref="K1165:Q1174" ca="1" si="137">OFFSET($A1165,0,K$3)/OFFSET($A1165,0,$P$3)</f>
        <v>0.90504560164754344</v>
      </c>
      <c r="L1165" s="144">
        <f t="shared" ca="1" si="137"/>
        <v>0.61345248602530156</v>
      </c>
      <c r="M1165" s="144">
        <f t="shared" ca="1" si="137"/>
        <v>101.81671079729334</v>
      </c>
      <c r="N1165" s="144">
        <f t="shared" ca="1" si="137"/>
        <v>6.0701676963812892</v>
      </c>
      <c r="O1165" s="144">
        <f t="shared" ca="1" si="137"/>
        <v>33.022874374816126</v>
      </c>
      <c r="P1165" s="144">
        <f t="shared" ca="1" si="137"/>
        <v>1</v>
      </c>
      <c r="Q1165" s="144">
        <f t="shared" ca="1" si="137"/>
        <v>0.73551044424830836</v>
      </c>
    </row>
    <row r="1166" spans="1:17" x14ac:dyDescent="0.25">
      <c r="A1166" s="145">
        <v>41604</v>
      </c>
      <c r="B1166" s="144">
        <v>1.3547</v>
      </c>
      <c r="C1166" s="144">
        <v>44.661999999999999</v>
      </c>
      <c r="D1166" s="144">
        <v>8.2684999999999995</v>
      </c>
      <c r="E1166" s="144">
        <v>137.34</v>
      </c>
      <c r="F1166" s="144">
        <v>0.83830000000000005</v>
      </c>
      <c r="G1166" s="144">
        <v>1.2312000000000001</v>
      </c>
      <c r="I1166" s="144">
        <v>1</v>
      </c>
      <c r="J1166" s="145">
        <f t="shared" si="136"/>
        <v>41604</v>
      </c>
      <c r="K1166" s="144">
        <f t="shared" ca="1" si="137"/>
        <v>0.90883590462833108</v>
      </c>
      <c r="L1166" s="144">
        <f t="shared" ca="1" si="137"/>
        <v>0.61880859230826013</v>
      </c>
      <c r="M1166" s="144">
        <f t="shared" ca="1" si="137"/>
        <v>101.38037941979775</v>
      </c>
      <c r="N1166" s="144">
        <f t="shared" ca="1" si="137"/>
        <v>6.1035653650254664</v>
      </c>
      <c r="O1166" s="144">
        <f t="shared" ca="1" si="137"/>
        <v>32.968184837971506</v>
      </c>
      <c r="P1166" s="144">
        <f t="shared" ca="1" si="137"/>
        <v>1</v>
      </c>
      <c r="Q1166" s="144">
        <f t="shared" ca="1" si="137"/>
        <v>0.73817081272606477</v>
      </c>
    </row>
    <row r="1167" spans="1:17" x14ac:dyDescent="0.25">
      <c r="A1167" s="145">
        <v>41603</v>
      </c>
      <c r="B1167" s="144">
        <v>1.3513999999999999</v>
      </c>
      <c r="C1167" s="144">
        <v>44.541400000000003</v>
      </c>
      <c r="D1167" s="144">
        <v>8.2754999999999992</v>
      </c>
      <c r="E1167" s="144">
        <v>137.57</v>
      </c>
      <c r="F1167" s="144">
        <v>0.83479999999999999</v>
      </c>
      <c r="G1167" s="144">
        <v>1.2311000000000001</v>
      </c>
      <c r="I1167" s="144">
        <v>1</v>
      </c>
      <c r="J1167" s="145">
        <f t="shared" si="136"/>
        <v>41603</v>
      </c>
      <c r="K1167" s="144">
        <f t="shared" ca="1" si="137"/>
        <v>0.9109812046766318</v>
      </c>
      <c r="L1167" s="144">
        <f t="shared" ca="1" si="137"/>
        <v>0.61772976172857774</v>
      </c>
      <c r="M1167" s="144">
        <f t="shared" ca="1" si="137"/>
        <v>101.79813526713038</v>
      </c>
      <c r="N1167" s="144">
        <f t="shared" ca="1" si="137"/>
        <v>6.1236495486162497</v>
      </c>
      <c r="O1167" s="144">
        <f t="shared" ca="1" si="137"/>
        <v>32.959449459819453</v>
      </c>
      <c r="P1167" s="144">
        <f t="shared" ca="1" si="137"/>
        <v>1</v>
      </c>
      <c r="Q1167" s="144">
        <f t="shared" ca="1" si="137"/>
        <v>0.73997336095900557</v>
      </c>
    </row>
    <row r="1168" spans="1:17" x14ac:dyDescent="0.25">
      <c r="A1168" s="145">
        <v>41602</v>
      </c>
      <c r="B1168" s="144">
        <v>1.3517999999999999</v>
      </c>
      <c r="C1168" s="144">
        <v>44.298499999999997</v>
      </c>
      <c r="D1168" s="144">
        <v>8.2065000000000001</v>
      </c>
      <c r="E1168" s="144">
        <v>136.74</v>
      </c>
      <c r="F1168" s="144">
        <v>0.83440000000000003</v>
      </c>
      <c r="G1168" s="144">
        <v>1.2302</v>
      </c>
      <c r="I1168" s="144">
        <v>1</v>
      </c>
      <c r="J1168" s="145">
        <f t="shared" si="136"/>
        <v>41602</v>
      </c>
      <c r="K1168" s="144">
        <f t="shared" ca="1" si="137"/>
        <v>0.9100458647728954</v>
      </c>
      <c r="L1168" s="144">
        <f t="shared" ca="1" si="137"/>
        <v>0.61725107264388235</v>
      </c>
      <c r="M1168" s="144">
        <f t="shared" ca="1" si="137"/>
        <v>101.15401686640037</v>
      </c>
      <c r="N1168" s="144">
        <f t="shared" ca="1" si="137"/>
        <v>6.0707944962272533</v>
      </c>
      <c r="O1168" s="144">
        <f t="shared" ca="1" si="137"/>
        <v>32.77001035656162</v>
      </c>
      <c r="P1168" s="144">
        <f t="shared" ca="1" si="137"/>
        <v>1</v>
      </c>
      <c r="Q1168" s="144">
        <f t="shared" ca="1" si="137"/>
        <v>0.73975440153868921</v>
      </c>
    </row>
    <row r="1169" spans="1:17" x14ac:dyDescent="0.25">
      <c r="A1169" s="145">
        <v>41601</v>
      </c>
      <c r="B1169" s="144">
        <v>1.3517999999999999</v>
      </c>
      <c r="C1169" s="144">
        <v>44.298499999999997</v>
      </c>
      <c r="D1169" s="144">
        <v>8.2065000000000001</v>
      </c>
      <c r="E1169" s="144">
        <v>136.74</v>
      </c>
      <c r="F1169" s="144">
        <v>0.83440000000000003</v>
      </c>
      <c r="G1169" s="144">
        <v>1.2302</v>
      </c>
      <c r="I1169" s="144">
        <v>1</v>
      </c>
      <c r="J1169" s="145">
        <f t="shared" si="136"/>
        <v>41601</v>
      </c>
      <c r="K1169" s="144">
        <f t="shared" ca="1" si="137"/>
        <v>0.9100458647728954</v>
      </c>
      <c r="L1169" s="144">
        <f t="shared" ca="1" si="137"/>
        <v>0.61725107264388235</v>
      </c>
      <c r="M1169" s="144">
        <f t="shared" ca="1" si="137"/>
        <v>101.15401686640037</v>
      </c>
      <c r="N1169" s="144">
        <f t="shared" ca="1" si="137"/>
        <v>6.0707944962272533</v>
      </c>
      <c r="O1169" s="144">
        <f t="shared" ca="1" si="137"/>
        <v>32.77001035656162</v>
      </c>
      <c r="P1169" s="144">
        <f t="shared" ca="1" si="137"/>
        <v>1</v>
      </c>
      <c r="Q1169" s="144">
        <f t="shared" ca="1" si="137"/>
        <v>0.73975440153868921</v>
      </c>
    </row>
    <row r="1170" spans="1:17" x14ac:dyDescent="0.25">
      <c r="A1170" s="145">
        <v>41600</v>
      </c>
      <c r="B1170" s="144">
        <v>1.3517999999999999</v>
      </c>
      <c r="C1170" s="144">
        <v>44.298499999999997</v>
      </c>
      <c r="D1170" s="144">
        <v>8.2065000000000001</v>
      </c>
      <c r="E1170" s="144">
        <v>136.74</v>
      </c>
      <c r="F1170" s="144">
        <v>0.83440000000000003</v>
      </c>
      <c r="G1170" s="144">
        <v>1.2302</v>
      </c>
      <c r="I1170" s="144">
        <v>1</v>
      </c>
      <c r="J1170" s="145">
        <f t="shared" si="136"/>
        <v>41600</v>
      </c>
      <c r="K1170" s="144">
        <f t="shared" ca="1" si="137"/>
        <v>0.9100458647728954</v>
      </c>
      <c r="L1170" s="144">
        <f t="shared" ca="1" si="137"/>
        <v>0.61725107264388235</v>
      </c>
      <c r="M1170" s="144">
        <f t="shared" ca="1" si="137"/>
        <v>101.15401686640037</v>
      </c>
      <c r="N1170" s="144">
        <f t="shared" ca="1" si="137"/>
        <v>6.0707944962272533</v>
      </c>
      <c r="O1170" s="144">
        <f t="shared" ca="1" si="137"/>
        <v>32.77001035656162</v>
      </c>
      <c r="P1170" s="144">
        <f t="shared" ca="1" si="137"/>
        <v>1</v>
      </c>
      <c r="Q1170" s="144">
        <f t="shared" ca="1" si="137"/>
        <v>0.73975440153868921</v>
      </c>
    </row>
    <row r="1171" spans="1:17" x14ac:dyDescent="0.25">
      <c r="A1171" s="145">
        <v>41599</v>
      </c>
      <c r="B1171" s="144">
        <v>1.3472</v>
      </c>
      <c r="C1171" s="144">
        <v>44.3825</v>
      </c>
      <c r="D1171" s="144">
        <v>8.2065000000000001</v>
      </c>
      <c r="E1171" s="144">
        <v>135.83000000000001</v>
      </c>
      <c r="F1171" s="144">
        <v>0.83499999999999996</v>
      </c>
      <c r="G1171" s="144">
        <v>1.2318</v>
      </c>
      <c r="I1171" s="144">
        <v>1</v>
      </c>
      <c r="J1171" s="145">
        <f t="shared" si="136"/>
        <v>41599</v>
      </c>
      <c r="K1171" s="144">
        <f t="shared" ca="1" si="137"/>
        <v>0.91434085510688845</v>
      </c>
      <c r="L1171" s="144">
        <f t="shared" ca="1" si="137"/>
        <v>0.61980403800475059</v>
      </c>
      <c r="M1171" s="144">
        <f t="shared" ca="1" si="137"/>
        <v>100.82393111638956</v>
      </c>
      <c r="N1171" s="144">
        <f t="shared" ca="1" si="137"/>
        <v>6.0915231591448933</v>
      </c>
      <c r="O1171" s="144">
        <f t="shared" ca="1" si="137"/>
        <v>32.944254750593828</v>
      </c>
      <c r="P1171" s="144">
        <f t="shared" ca="1" si="137"/>
        <v>1</v>
      </c>
      <c r="Q1171" s="144">
        <f t="shared" ca="1" si="137"/>
        <v>0.74228028503562948</v>
      </c>
    </row>
    <row r="1172" spans="1:17" x14ac:dyDescent="0.25">
      <c r="A1172" s="145">
        <v>41598</v>
      </c>
      <c r="B1172" s="144">
        <v>1.3527</v>
      </c>
      <c r="C1172" s="144">
        <v>44.4208</v>
      </c>
      <c r="D1172" s="144">
        <v>8.2279999999999998</v>
      </c>
      <c r="E1172" s="144">
        <v>135.19999999999999</v>
      </c>
      <c r="F1172" s="144">
        <v>0.83765000000000001</v>
      </c>
      <c r="G1172" s="144">
        <v>1.2323</v>
      </c>
      <c r="I1172" s="144">
        <v>1</v>
      </c>
      <c r="J1172" s="145">
        <f t="shared" si="136"/>
        <v>41598</v>
      </c>
      <c r="K1172" s="144">
        <f t="shared" ca="1" si="137"/>
        <v>0.91099282915650182</v>
      </c>
      <c r="L1172" s="144">
        <f t="shared" ca="1" si="137"/>
        <v>0.61924299549050044</v>
      </c>
      <c r="M1172" s="144">
        <f t="shared" ca="1" si="137"/>
        <v>99.948251644858416</v>
      </c>
      <c r="N1172" s="144">
        <f t="shared" ca="1" si="137"/>
        <v>6.0826495157832481</v>
      </c>
      <c r="O1172" s="144">
        <f t="shared" ca="1" si="137"/>
        <v>32.838619058179937</v>
      </c>
      <c r="P1172" s="144">
        <f t="shared" ca="1" si="137"/>
        <v>1</v>
      </c>
      <c r="Q1172" s="144">
        <f t="shared" ca="1" si="137"/>
        <v>0.7392622163081245</v>
      </c>
    </row>
    <row r="1173" spans="1:17" x14ac:dyDescent="0.25">
      <c r="A1173" s="145">
        <v>41597</v>
      </c>
      <c r="B1173" s="144">
        <v>1.3502000000000001</v>
      </c>
      <c r="C1173" s="144">
        <v>44.162300000000002</v>
      </c>
      <c r="D1173" s="144">
        <v>8.2285000000000004</v>
      </c>
      <c r="E1173" s="144">
        <v>134.88999999999999</v>
      </c>
      <c r="F1173" s="144">
        <v>0.83850000000000002</v>
      </c>
      <c r="G1173" s="144">
        <v>1.2333000000000001</v>
      </c>
      <c r="I1173" s="144">
        <v>1</v>
      </c>
      <c r="J1173" s="145">
        <f t="shared" si="136"/>
        <v>41597</v>
      </c>
      <c r="K1173" s="144">
        <f t="shared" ca="1" si="137"/>
        <v>0.91342023403940154</v>
      </c>
      <c r="L1173" s="144">
        <f t="shared" ca="1" si="137"/>
        <v>0.62101910828025475</v>
      </c>
      <c r="M1173" s="144">
        <f t="shared" ca="1" si="137"/>
        <v>99.903717967708474</v>
      </c>
      <c r="N1173" s="144">
        <f t="shared" ca="1" si="137"/>
        <v>6.0942823285439198</v>
      </c>
      <c r="O1173" s="144">
        <f t="shared" ca="1" si="137"/>
        <v>32.707969189749669</v>
      </c>
      <c r="P1173" s="144">
        <f t="shared" ca="1" si="137"/>
        <v>1</v>
      </c>
      <c r="Q1173" s="144">
        <f t="shared" ca="1" si="137"/>
        <v>0.74063101762701822</v>
      </c>
    </row>
    <row r="1174" spans="1:17" x14ac:dyDescent="0.25">
      <c r="A1174" s="145">
        <v>41596</v>
      </c>
      <c r="B1174" s="144">
        <v>1.3516999999999999</v>
      </c>
      <c r="C1174" s="144">
        <v>43.951000000000001</v>
      </c>
      <c r="D1174" s="144">
        <v>8.2684999999999995</v>
      </c>
      <c r="E1174" s="144">
        <v>135.22999999999999</v>
      </c>
      <c r="F1174" s="144">
        <v>0.83879999999999999</v>
      </c>
      <c r="G1174" s="144">
        <v>1.2321</v>
      </c>
      <c r="I1174" s="144">
        <v>1</v>
      </c>
      <c r="J1174" s="145">
        <f t="shared" si="136"/>
        <v>41596</v>
      </c>
      <c r="K1174" s="144">
        <f t="shared" ca="1" si="137"/>
        <v>0.91151882814233931</v>
      </c>
      <c r="L1174" s="144">
        <f t="shared" ca="1" si="137"/>
        <v>0.62055189761041651</v>
      </c>
      <c r="M1174" s="144">
        <f t="shared" ca="1" si="137"/>
        <v>100.04438854775468</v>
      </c>
      <c r="N1174" s="144">
        <f t="shared" ca="1" si="137"/>
        <v>6.1171117851594285</v>
      </c>
      <c r="O1174" s="144">
        <f t="shared" ca="1" si="137"/>
        <v>32.515351039431827</v>
      </c>
      <c r="P1174" s="144">
        <f t="shared" ca="1" si="137"/>
        <v>1</v>
      </c>
      <c r="Q1174" s="144">
        <f t="shared" ca="1" si="137"/>
        <v>0.73980912924465492</v>
      </c>
    </row>
    <row r="1175" spans="1:17" x14ac:dyDescent="0.25">
      <c r="A1175" s="145">
        <v>41595</v>
      </c>
      <c r="B1175" s="144">
        <v>1.3460000000000001</v>
      </c>
      <c r="C1175" s="144">
        <v>43.9833</v>
      </c>
      <c r="D1175" s="144">
        <v>8.2535000000000007</v>
      </c>
      <c r="E1175" s="144">
        <v>134.99</v>
      </c>
      <c r="F1175" s="144">
        <v>0.8377</v>
      </c>
      <c r="G1175" s="144">
        <v>1.2345999999999999</v>
      </c>
      <c r="I1175" s="144">
        <v>1</v>
      </c>
      <c r="J1175" s="145">
        <f t="shared" si="136"/>
        <v>41595</v>
      </c>
      <c r="K1175" s="144">
        <f t="shared" ref="K1175:Q1184" ca="1" si="138">OFFSET($A1175,0,K$3)/OFFSET($A1175,0,$P$3)</f>
        <v>0.91723625557206523</v>
      </c>
      <c r="L1175" s="144">
        <f t="shared" ca="1" si="138"/>
        <v>0.6223625557206538</v>
      </c>
      <c r="M1175" s="144">
        <f t="shared" ca="1" si="138"/>
        <v>100.28974739970282</v>
      </c>
      <c r="N1175" s="144">
        <f t="shared" ca="1" si="138"/>
        <v>6.131872213967311</v>
      </c>
      <c r="O1175" s="144">
        <f t="shared" ca="1" si="138"/>
        <v>32.677043090638925</v>
      </c>
      <c r="P1175" s="144">
        <f t="shared" ca="1" si="138"/>
        <v>1</v>
      </c>
      <c r="Q1175" s="144">
        <f t="shared" ca="1" si="138"/>
        <v>0.74294205052005935</v>
      </c>
    </row>
    <row r="1176" spans="1:17" x14ac:dyDescent="0.25">
      <c r="A1176" s="145">
        <v>41594</v>
      </c>
      <c r="B1176" s="144">
        <v>1.3460000000000001</v>
      </c>
      <c r="C1176" s="144">
        <v>43.9833</v>
      </c>
      <c r="D1176" s="144">
        <v>8.2535000000000007</v>
      </c>
      <c r="E1176" s="144">
        <v>134.99</v>
      </c>
      <c r="F1176" s="144">
        <v>0.8377</v>
      </c>
      <c r="G1176" s="144">
        <v>1.2345999999999999</v>
      </c>
      <c r="I1176" s="144">
        <v>1</v>
      </c>
      <c r="J1176" s="145">
        <f t="shared" si="136"/>
        <v>41594</v>
      </c>
      <c r="K1176" s="144">
        <f t="shared" ca="1" si="138"/>
        <v>0.91723625557206523</v>
      </c>
      <c r="L1176" s="144">
        <f t="shared" ca="1" si="138"/>
        <v>0.6223625557206538</v>
      </c>
      <c r="M1176" s="144">
        <f t="shared" ca="1" si="138"/>
        <v>100.28974739970282</v>
      </c>
      <c r="N1176" s="144">
        <f t="shared" ca="1" si="138"/>
        <v>6.131872213967311</v>
      </c>
      <c r="O1176" s="144">
        <f t="shared" ca="1" si="138"/>
        <v>32.677043090638925</v>
      </c>
      <c r="P1176" s="144">
        <f t="shared" ca="1" si="138"/>
        <v>1</v>
      </c>
      <c r="Q1176" s="144">
        <f t="shared" ca="1" si="138"/>
        <v>0.74294205052005935</v>
      </c>
    </row>
    <row r="1177" spans="1:17" x14ac:dyDescent="0.25">
      <c r="A1177" s="145">
        <v>41593</v>
      </c>
      <c r="B1177" s="144">
        <v>1.3460000000000001</v>
      </c>
      <c r="C1177" s="144">
        <v>43.9833</v>
      </c>
      <c r="D1177" s="144">
        <v>8.2535000000000007</v>
      </c>
      <c r="E1177" s="144">
        <v>134.99</v>
      </c>
      <c r="F1177" s="144">
        <v>0.8377</v>
      </c>
      <c r="G1177" s="144">
        <v>1.2345999999999999</v>
      </c>
      <c r="I1177" s="144">
        <v>1</v>
      </c>
      <c r="J1177" s="145">
        <f t="shared" si="136"/>
        <v>41593</v>
      </c>
      <c r="K1177" s="144">
        <f t="shared" ca="1" si="138"/>
        <v>0.91723625557206523</v>
      </c>
      <c r="L1177" s="144">
        <f t="shared" ca="1" si="138"/>
        <v>0.6223625557206538</v>
      </c>
      <c r="M1177" s="144">
        <f t="shared" ca="1" si="138"/>
        <v>100.28974739970282</v>
      </c>
      <c r="N1177" s="144">
        <f t="shared" ca="1" si="138"/>
        <v>6.131872213967311</v>
      </c>
      <c r="O1177" s="144">
        <f t="shared" ca="1" si="138"/>
        <v>32.677043090638925</v>
      </c>
      <c r="P1177" s="144">
        <f t="shared" ca="1" si="138"/>
        <v>1</v>
      </c>
      <c r="Q1177" s="144">
        <f t="shared" ca="1" si="138"/>
        <v>0.74294205052005935</v>
      </c>
    </row>
    <row r="1178" spans="1:17" x14ac:dyDescent="0.25">
      <c r="A1178" s="145">
        <v>41592</v>
      </c>
      <c r="B1178" s="144">
        <v>1.3435999999999999</v>
      </c>
      <c r="C1178" s="144">
        <v>43.99</v>
      </c>
      <c r="D1178" s="144">
        <v>8.3309999999999995</v>
      </c>
      <c r="E1178" s="144">
        <v>134.26</v>
      </c>
      <c r="F1178" s="144">
        <v>0.83714999999999995</v>
      </c>
      <c r="G1178" s="144">
        <v>1.2332000000000001</v>
      </c>
      <c r="I1178" s="144">
        <v>1</v>
      </c>
      <c r="J1178" s="145">
        <f t="shared" si="136"/>
        <v>41592</v>
      </c>
      <c r="K1178" s="144">
        <f t="shared" ca="1" si="138"/>
        <v>0.91783268830008946</v>
      </c>
      <c r="L1178" s="144">
        <f t="shared" ca="1" si="138"/>
        <v>0.62306490026793693</v>
      </c>
      <c r="M1178" s="144">
        <f t="shared" ca="1" si="138"/>
        <v>99.925573087228344</v>
      </c>
      <c r="N1178" s="144">
        <f t="shared" ca="1" si="138"/>
        <v>6.2005061030068473</v>
      </c>
      <c r="O1178" s="144">
        <f t="shared" ca="1" si="138"/>
        <v>32.740398928252461</v>
      </c>
      <c r="P1178" s="144">
        <f t="shared" ca="1" si="138"/>
        <v>1</v>
      </c>
      <c r="Q1178" s="144">
        <f t="shared" ca="1" si="138"/>
        <v>0.74426912771658238</v>
      </c>
    </row>
    <row r="1179" spans="1:17" x14ac:dyDescent="0.25">
      <c r="A1179" s="145">
        <v>41591</v>
      </c>
      <c r="B1179" s="144">
        <v>1.3414999999999999</v>
      </c>
      <c r="C1179" s="144">
        <v>44.055</v>
      </c>
      <c r="D1179" s="144">
        <v>8.3379999999999992</v>
      </c>
      <c r="E1179" s="144">
        <v>133.27000000000001</v>
      </c>
      <c r="F1179" s="144">
        <v>0.83989999999999998</v>
      </c>
      <c r="G1179" s="144">
        <v>1.2316</v>
      </c>
      <c r="I1179" s="144">
        <v>1</v>
      </c>
      <c r="J1179" s="145">
        <f t="shared" si="136"/>
        <v>41591</v>
      </c>
      <c r="K1179" s="144">
        <f t="shared" ca="1" si="138"/>
        <v>0.91807677972418944</v>
      </c>
      <c r="L1179" s="144">
        <f t="shared" ca="1" si="138"/>
        <v>0.62609019754006712</v>
      </c>
      <c r="M1179" s="144">
        <f t="shared" ca="1" si="138"/>
        <v>99.344017890421185</v>
      </c>
      <c r="N1179" s="144">
        <f t="shared" ca="1" si="138"/>
        <v>6.2154304882594111</v>
      </c>
      <c r="O1179" s="144">
        <f t="shared" ca="1" si="138"/>
        <v>32.840104360790164</v>
      </c>
      <c r="P1179" s="144">
        <f t="shared" ca="1" si="138"/>
        <v>1</v>
      </c>
      <c r="Q1179" s="144">
        <f t="shared" ca="1" si="138"/>
        <v>0.74543421543048827</v>
      </c>
    </row>
    <row r="1180" spans="1:17" x14ac:dyDescent="0.25">
      <c r="A1180" s="145">
        <v>41590</v>
      </c>
      <c r="B1180" s="144">
        <v>1.3431999999999999</v>
      </c>
      <c r="C1180" s="144">
        <v>44.115000000000002</v>
      </c>
      <c r="D1180" s="144">
        <v>8.2995000000000001</v>
      </c>
      <c r="E1180" s="144">
        <v>133.87</v>
      </c>
      <c r="F1180" s="144">
        <v>0.84470000000000001</v>
      </c>
      <c r="G1180" s="144">
        <v>1.2327999999999999</v>
      </c>
      <c r="I1180" s="144">
        <v>1</v>
      </c>
      <c r="J1180" s="145">
        <f t="shared" si="136"/>
        <v>41590</v>
      </c>
      <c r="K1180" s="144">
        <f t="shared" ca="1" si="138"/>
        <v>0.9178082191780822</v>
      </c>
      <c r="L1180" s="144">
        <f t="shared" ca="1" si="138"/>
        <v>0.62887135199523525</v>
      </c>
      <c r="M1180" s="144">
        <f t="shared" ca="1" si="138"/>
        <v>99.664979154258489</v>
      </c>
      <c r="N1180" s="144">
        <f t="shared" ca="1" si="138"/>
        <v>6.1789011316259685</v>
      </c>
      <c r="O1180" s="144">
        <f t="shared" ca="1" si="138"/>
        <v>32.843210244192974</v>
      </c>
      <c r="P1180" s="144">
        <f t="shared" ca="1" si="138"/>
        <v>1</v>
      </c>
      <c r="Q1180" s="144">
        <f t="shared" ca="1" si="138"/>
        <v>0.74449076831447292</v>
      </c>
    </row>
    <row r="1181" spans="1:17" x14ac:dyDescent="0.25">
      <c r="A1181" s="145">
        <v>41589</v>
      </c>
      <c r="B1181" s="144">
        <v>1.3393999999999999</v>
      </c>
      <c r="C1181" s="144">
        <v>43.81</v>
      </c>
      <c r="D1181" s="144">
        <v>8.2065000000000001</v>
      </c>
      <c r="E1181" s="144">
        <v>132.86000000000001</v>
      </c>
      <c r="F1181" s="144">
        <v>0.83809999999999996</v>
      </c>
      <c r="G1181" s="144">
        <v>1.2327999999999999</v>
      </c>
      <c r="I1181" s="144">
        <v>1</v>
      </c>
      <c r="J1181" s="145">
        <f t="shared" si="136"/>
        <v>41589</v>
      </c>
      <c r="K1181" s="144">
        <f t="shared" ca="1" si="138"/>
        <v>0.92041212483201429</v>
      </c>
      <c r="L1181" s="144">
        <f t="shared" ca="1" si="138"/>
        <v>0.62572793788263403</v>
      </c>
      <c r="M1181" s="144">
        <f t="shared" ca="1" si="138"/>
        <v>99.193668806928486</v>
      </c>
      <c r="N1181" s="144">
        <f t="shared" ca="1" si="138"/>
        <v>6.1269971629087658</v>
      </c>
      <c r="O1181" s="144">
        <f t="shared" ca="1" si="138"/>
        <v>32.708675526355087</v>
      </c>
      <c r="P1181" s="144">
        <f t="shared" ca="1" si="138"/>
        <v>1</v>
      </c>
      <c r="Q1181" s="144">
        <f t="shared" ca="1" si="138"/>
        <v>0.74660295654770792</v>
      </c>
    </row>
    <row r="1182" spans="1:17" x14ac:dyDescent="0.25">
      <c r="A1182" s="145">
        <v>41588</v>
      </c>
      <c r="B1182" s="144">
        <v>1.3431</v>
      </c>
      <c r="C1182" s="144">
        <v>43.716000000000001</v>
      </c>
      <c r="D1182" s="144">
        <v>8.1754999999999995</v>
      </c>
      <c r="E1182" s="144">
        <v>131.58000000000001</v>
      </c>
      <c r="F1182" s="144">
        <v>0.83525000000000005</v>
      </c>
      <c r="G1182" s="144">
        <v>1.2302</v>
      </c>
      <c r="I1182" s="144">
        <v>1</v>
      </c>
      <c r="J1182" s="145">
        <f t="shared" si="136"/>
        <v>41588</v>
      </c>
      <c r="K1182" s="144">
        <f t="shared" ca="1" si="138"/>
        <v>0.91594073412255228</v>
      </c>
      <c r="L1182" s="144">
        <f t="shared" ca="1" si="138"/>
        <v>0.62188221279130373</v>
      </c>
      <c r="M1182" s="144">
        <f t="shared" ca="1" si="138"/>
        <v>97.967388876479802</v>
      </c>
      <c r="N1182" s="144">
        <f t="shared" ca="1" si="138"/>
        <v>6.0870374506738143</v>
      </c>
      <c r="O1182" s="144">
        <f t="shared" ca="1" si="138"/>
        <v>32.548581639490735</v>
      </c>
      <c r="P1182" s="144">
        <f t="shared" ca="1" si="138"/>
        <v>1</v>
      </c>
      <c r="Q1182" s="144">
        <f t="shared" ca="1" si="138"/>
        <v>0.74454619909165365</v>
      </c>
    </row>
    <row r="1183" spans="1:17" x14ac:dyDescent="0.25">
      <c r="A1183" s="145">
        <v>41587</v>
      </c>
      <c r="B1183" s="144">
        <v>1.3431</v>
      </c>
      <c r="C1183" s="144">
        <v>43.716000000000001</v>
      </c>
      <c r="D1183" s="144">
        <v>8.1754999999999995</v>
      </c>
      <c r="E1183" s="144">
        <v>131.58000000000001</v>
      </c>
      <c r="F1183" s="144">
        <v>0.83525000000000005</v>
      </c>
      <c r="G1183" s="144">
        <v>1.2302</v>
      </c>
      <c r="I1183" s="144">
        <v>1</v>
      </c>
      <c r="J1183" s="145">
        <f t="shared" si="136"/>
        <v>41587</v>
      </c>
      <c r="K1183" s="144">
        <f t="shared" ca="1" si="138"/>
        <v>0.91594073412255228</v>
      </c>
      <c r="L1183" s="144">
        <f t="shared" ca="1" si="138"/>
        <v>0.62188221279130373</v>
      </c>
      <c r="M1183" s="144">
        <f t="shared" ca="1" si="138"/>
        <v>97.967388876479802</v>
      </c>
      <c r="N1183" s="144">
        <f t="shared" ca="1" si="138"/>
        <v>6.0870374506738143</v>
      </c>
      <c r="O1183" s="144">
        <f t="shared" ca="1" si="138"/>
        <v>32.548581639490735</v>
      </c>
      <c r="P1183" s="144">
        <f t="shared" ca="1" si="138"/>
        <v>1</v>
      </c>
      <c r="Q1183" s="144">
        <f t="shared" ca="1" si="138"/>
        <v>0.74454619909165365</v>
      </c>
    </row>
    <row r="1184" spans="1:17" x14ac:dyDescent="0.25">
      <c r="A1184" s="145">
        <v>41586</v>
      </c>
      <c r="B1184" s="144">
        <v>1.3431</v>
      </c>
      <c r="C1184" s="144">
        <v>43.716000000000001</v>
      </c>
      <c r="D1184" s="144">
        <v>8.1754999999999995</v>
      </c>
      <c r="E1184" s="144">
        <v>131.58000000000001</v>
      </c>
      <c r="F1184" s="144">
        <v>0.83525000000000005</v>
      </c>
      <c r="G1184" s="144">
        <v>1.2302</v>
      </c>
      <c r="I1184" s="144">
        <v>1</v>
      </c>
      <c r="J1184" s="145">
        <f t="shared" si="136"/>
        <v>41586</v>
      </c>
      <c r="K1184" s="144">
        <f t="shared" ca="1" si="138"/>
        <v>0.91594073412255228</v>
      </c>
      <c r="L1184" s="144">
        <f t="shared" ca="1" si="138"/>
        <v>0.62188221279130373</v>
      </c>
      <c r="M1184" s="144">
        <f t="shared" ca="1" si="138"/>
        <v>97.967388876479802</v>
      </c>
      <c r="N1184" s="144">
        <f t="shared" ca="1" si="138"/>
        <v>6.0870374506738143</v>
      </c>
      <c r="O1184" s="144">
        <f t="shared" ca="1" si="138"/>
        <v>32.548581639490735</v>
      </c>
      <c r="P1184" s="144">
        <f t="shared" ca="1" si="138"/>
        <v>1</v>
      </c>
      <c r="Q1184" s="144">
        <f t="shared" ca="1" si="138"/>
        <v>0.74454619909165365</v>
      </c>
    </row>
    <row r="1185" spans="1:17" x14ac:dyDescent="0.25">
      <c r="A1185" s="145">
        <v>41585</v>
      </c>
      <c r="B1185" s="144">
        <v>1.3365</v>
      </c>
      <c r="C1185" s="144">
        <v>43.253999999999998</v>
      </c>
      <c r="D1185" s="144">
        <v>8.016</v>
      </c>
      <c r="E1185" s="144">
        <v>132</v>
      </c>
      <c r="F1185" s="144">
        <v>0.83209999999999995</v>
      </c>
      <c r="G1185" s="144">
        <v>1.2298</v>
      </c>
      <c r="I1185" s="144">
        <v>1</v>
      </c>
      <c r="J1185" s="145">
        <f t="shared" si="136"/>
        <v>41585</v>
      </c>
      <c r="K1185" s="144">
        <f t="shared" ref="K1185:Q1194" ca="1" si="139">OFFSET($A1185,0,K$3)/OFFSET($A1185,0,$P$3)</f>
        <v>0.92016460905349795</v>
      </c>
      <c r="L1185" s="144">
        <f t="shared" ca="1" si="139"/>
        <v>0.62259633370744483</v>
      </c>
      <c r="M1185" s="144">
        <f t="shared" ca="1" si="139"/>
        <v>98.76543209876543</v>
      </c>
      <c r="N1185" s="144">
        <f t="shared" ca="1" si="139"/>
        <v>5.9977553310886647</v>
      </c>
      <c r="O1185" s="144">
        <f t="shared" ca="1" si="139"/>
        <v>32.36363636363636</v>
      </c>
      <c r="P1185" s="144">
        <f t="shared" ca="1" si="139"/>
        <v>1</v>
      </c>
      <c r="Q1185" s="144">
        <f t="shared" ca="1" si="139"/>
        <v>0.7482229704451927</v>
      </c>
    </row>
    <row r="1186" spans="1:17" x14ac:dyDescent="0.25">
      <c r="A1186" s="145">
        <v>41584</v>
      </c>
      <c r="B1186" s="144">
        <v>1.3516999999999999</v>
      </c>
      <c r="C1186" s="144">
        <v>43.752000000000002</v>
      </c>
      <c r="D1186" s="144">
        <v>8.0504999999999995</v>
      </c>
      <c r="E1186" s="144">
        <v>133.33000000000001</v>
      </c>
      <c r="F1186" s="144">
        <v>0.84030000000000005</v>
      </c>
      <c r="G1186" s="144">
        <v>1.2321</v>
      </c>
      <c r="I1186" s="144">
        <v>1</v>
      </c>
      <c r="J1186" s="145">
        <f t="shared" si="136"/>
        <v>41584</v>
      </c>
      <c r="K1186" s="144">
        <f t="shared" ca="1" si="139"/>
        <v>0.91151882814233931</v>
      </c>
      <c r="L1186" s="144">
        <f t="shared" ca="1" si="139"/>
        <v>0.62166161130428355</v>
      </c>
      <c r="M1186" s="144">
        <f t="shared" ca="1" si="139"/>
        <v>98.638751202189852</v>
      </c>
      <c r="N1186" s="144">
        <f t="shared" ca="1" si="139"/>
        <v>5.9558333949840945</v>
      </c>
      <c r="O1186" s="144">
        <f t="shared" ca="1" si="139"/>
        <v>32.368129022712147</v>
      </c>
      <c r="P1186" s="144">
        <f t="shared" ca="1" si="139"/>
        <v>1</v>
      </c>
      <c r="Q1186" s="144">
        <f t="shared" ca="1" si="139"/>
        <v>0.73980912924465492</v>
      </c>
    </row>
    <row r="1187" spans="1:17" x14ac:dyDescent="0.25">
      <c r="A1187" s="145">
        <v>41583</v>
      </c>
      <c r="B1187" s="144">
        <v>1.3493999999999999</v>
      </c>
      <c r="C1187" s="144">
        <v>43.695999999999998</v>
      </c>
      <c r="D1187" s="144">
        <v>8.0519999999999996</v>
      </c>
      <c r="E1187" s="144">
        <v>132.59</v>
      </c>
      <c r="F1187" s="144">
        <v>0.84030000000000005</v>
      </c>
      <c r="G1187" s="144">
        <v>1.2297</v>
      </c>
      <c r="I1187" s="144">
        <v>1</v>
      </c>
      <c r="J1187" s="145">
        <f t="shared" si="136"/>
        <v>41583</v>
      </c>
      <c r="K1187" s="144">
        <f t="shared" ca="1" si="139"/>
        <v>0.91129390840373503</v>
      </c>
      <c r="L1187" s="144">
        <f t="shared" ca="1" si="139"/>
        <v>0.62272120942641185</v>
      </c>
      <c r="M1187" s="144">
        <f t="shared" ca="1" si="139"/>
        <v>98.258485252704915</v>
      </c>
      <c r="N1187" s="144">
        <f t="shared" ca="1" si="139"/>
        <v>5.9670964873277015</v>
      </c>
      <c r="O1187" s="144">
        <f t="shared" ca="1" si="139"/>
        <v>32.381799318215506</v>
      </c>
      <c r="P1187" s="144">
        <f t="shared" ca="1" si="139"/>
        <v>1</v>
      </c>
      <c r="Q1187" s="144">
        <f t="shared" ca="1" si="139"/>
        <v>0.74107010523195493</v>
      </c>
    </row>
    <row r="1188" spans="1:17" x14ac:dyDescent="0.25">
      <c r="A1188" s="145">
        <v>41582</v>
      </c>
      <c r="B1188" s="144">
        <v>1.3506</v>
      </c>
      <c r="C1188" s="144">
        <v>43.8245</v>
      </c>
      <c r="D1188" s="144">
        <v>8.0165000000000006</v>
      </c>
      <c r="E1188" s="144">
        <v>133.28</v>
      </c>
      <c r="F1188" s="144">
        <v>0.84560000000000002</v>
      </c>
      <c r="G1188" s="144">
        <v>1.2321</v>
      </c>
      <c r="I1188" s="144">
        <v>1</v>
      </c>
      <c r="J1188" s="145">
        <f t="shared" si="136"/>
        <v>41582</v>
      </c>
      <c r="K1188" s="144">
        <f t="shared" ca="1" si="139"/>
        <v>0.91226121723678366</v>
      </c>
      <c r="L1188" s="144">
        <f t="shared" ca="1" si="139"/>
        <v>0.62609210721160968</v>
      </c>
      <c r="M1188" s="144">
        <f t="shared" ca="1" si="139"/>
        <v>98.682067229379541</v>
      </c>
      <c r="N1188" s="144">
        <f t="shared" ca="1" si="139"/>
        <v>5.9355101436398643</v>
      </c>
      <c r="O1188" s="144">
        <f t="shared" ca="1" si="139"/>
        <v>32.448171183177848</v>
      </c>
      <c r="P1188" s="144">
        <f t="shared" ca="1" si="139"/>
        <v>1</v>
      </c>
      <c r="Q1188" s="144">
        <f t="shared" ca="1" si="139"/>
        <v>0.74041166888790166</v>
      </c>
    </row>
    <row r="1189" spans="1:17" x14ac:dyDescent="0.25">
      <c r="A1189" s="145">
        <v>41581</v>
      </c>
      <c r="B1189" s="144">
        <v>1.3505</v>
      </c>
      <c r="C1189" s="144">
        <v>43.601799999999997</v>
      </c>
      <c r="D1189" s="144">
        <v>8.0459999999999994</v>
      </c>
      <c r="E1189" s="144">
        <v>132.9</v>
      </c>
      <c r="F1189" s="144">
        <v>0.84635000000000005</v>
      </c>
      <c r="G1189" s="144">
        <v>1.2310000000000001</v>
      </c>
      <c r="I1189" s="144">
        <v>1</v>
      </c>
      <c r="J1189" s="145">
        <f t="shared" si="136"/>
        <v>41581</v>
      </c>
      <c r="K1189" s="144">
        <f t="shared" ca="1" si="139"/>
        <v>0.91151425398000741</v>
      </c>
      <c r="L1189" s="144">
        <f t="shared" ca="1" si="139"/>
        <v>0.62669381710477601</v>
      </c>
      <c r="M1189" s="144">
        <f t="shared" ca="1" si="139"/>
        <v>98.407997038134027</v>
      </c>
      <c r="N1189" s="144">
        <f t="shared" ca="1" si="139"/>
        <v>5.9577934098482039</v>
      </c>
      <c r="O1189" s="144">
        <f t="shared" ca="1" si="139"/>
        <v>32.285671973343206</v>
      </c>
      <c r="P1189" s="144">
        <f t="shared" ca="1" si="139"/>
        <v>1</v>
      </c>
      <c r="Q1189" s="144">
        <f t="shared" ca="1" si="139"/>
        <v>0.74046649389115138</v>
      </c>
    </row>
    <row r="1190" spans="1:17" x14ac:dyDescent="0.25">
      <c r="A1190" s="145">
        <v>41580</v>
      </c>
      <c r="B1190" s="144">
        <v>1.3505</v>
      </c>
      <c r="C1190" s="144">
        <v>43.601799999999997</v>
      </c>
      <c r="D1190" s="144">
        <v>8.0459999999999994</v>
      </c>
      <c r="E1190" s="144">
        <v>132.9</v>
      </c>
      <c r="F1190" s="144">
        <v>0.84635000000000005</v>
      </c>
      <c r="G1190" s="144">
        <v>1.2310000000000001</v>
      </c>
      <c r="I1190" s="144">
        <v>1</v>
      </c>
      <c r="J1190" s="145">
        <f t="shared" si="136"/>
        <v>41580</v>
      </c>
      <c r="K1190" s="144">
        <f t="shared" ca="1" si="139"/>
        <v>0.91151425398000741</v>
      </c>
      <c r="L1190" s="144">
        <f t="shared" ca="1" si="139"/>
        <v>0.62669381710477601</v>
      </c>
      <c r="M1190" s="144">
        <f t="shared" ca="1" si="139"/>
        <v>98.407997038134027</v>
      </c>
      <c r="N1190" s="144">
        <f t="shared" ca="1" si="139"/>
        <v>5.9577934098482039</v>
      </c>
      <c r="O1190" s="144">
        <f t="shared" ca="1" si="139"/>
        <v>32.285671973343206</v>
      </c>
      <c r="P1190" s="144">
        <f t="shared" ca="1" si="139"/>
        <v>1</v>
      </c>
      <c r="Q1190" s="144">
        <f t="shared" ca="1" si="139"/>
        <v>0.74046649389115138</v>
      </c>
    </row>
    <row r="1191" spans="1:17" x14ac:dyDescent="0.25">
      <c r="A1191" s="145">
        <v>41579</v>
      </c>
      <c r="B1191" s="144">
        <v>1.3505</v>
      </c>
      <c r="C1191" s="144">
        <v>43.601799999999997</v>
      </c>
      <c r="D1191" s="144">
        <v>8.0459999999999994</v>
      </c>
      <c r="E1191" s="144">
        <v>132.9</v>
      </c>
      <c r="F1191" s="144">
        <v>0.84635000000000005</v>
      </c>
      <c r="G1191" s="144">
        <v>1.2310000000000001</v>
      </c>
      <c r="I1191" s="144">
        <v>1</v>
      </c>
      <c r="J1191" s="145">
        <f t="shared" si="136"/>
        <v>41579</v>
      </c>
      <c r="K1191" s="144">
        <f t="shared" ca="1" si="139"/>
        <v>0.91151425398000741</v>
      </c>
      <c r="L1191" s="144">
        <f t="shared" ca="1" si="139"/>
        <v>0.62669381710477601</v>
      </c>
      <c r="M1191" s="144">
        <f t="shared" ca="1" si="139"/>
        <v>98.407997038134027</v>
      </c>
      <c r="N1191" s="144">
        <f t="shared" ca="1" si="139"/>
        <v>5.9577934098482039</v>
      </c>
      <c r="O1191" s="144">
        <f t="shared" ca="1" si="139"/>
        <v>32.285671973343206</v>
      </c>
      <c r="P1191" s="144">
        <f t="shared" ca="1" si="139"/>
        <v>1</v>
      </c>
      <c r="Q1191" s="144">
        <f t="shared" ca="1" si="139"/>
        <v>0.74046649389115138</v>
      </c>
    </row>
    <row r="1192" spans="1:17" x14ac:dyDescent="0.25">
      <c r="A1192" s="145">
        <v>41578</v>
      </c>
      <c r="B1192" s="144">
        <v>1.3641000000000001</v>
      </c>
      <c r="C1192" s="144">
        <v>43.777700000000003</v>
      </c>
      <c r="D1192" s="144">
        <v>8.1039999999999992</v>
      </c>
      <c r="E1192" s="144">
        <v>133.99</v>
      </c>
      <c r="F1192" s="144">
        <v>0.85019999999999996</v>
      </c>
      <c r="G1192" s="144">
        <v>1.2333000000000001</v>
      </c>
      <c r="I1192" s="144">
        <v>1</v>
      </c>
      <c r="J1192" s="145">
        <f t="shared" si="136"/>
        <v>41578</v>
      </c>
      <c r="K1192" s="144">
        <f t="shared" ca="1" si="139"/>
        <v>0.90411260171541674</v>
      </c>
      <c r="L1192" s="144">
        <f t="shared" ca="1" si="139"/>
        <v>0.62326808884979101</v>
      </c>
      <c r="M1192" s="144">
        <f t="shared" ca="1" si="139"/>
        <v>98.22593651491826</v>
      </c>
      <c r="N1192" s="144">
        <f t="shared" ca="1" si="139"/>
        <v>5.940913422769591</v>
      </c>
      <c r="O1192" s="144">
        <f t="shared" ca="1" si="139"/>
        <v>32.092735136720179</v>
      </c>
      <c r="P1192" s="144">
        <f t="shared" ca="1" si="139"/>
        <v>1</v>
      </c>
      <c r="Q1192" s="144">
        <f t="shared" ca="1" si="139"/>
        <v>0.73308408474452014</v>
      </c>
    </row>
    <row r="1193" spans="1:17" x14ac:dyDescent="0.25">
      <c r="A1193" s="145">
        <v>41577</v>
      </c>
      <c r="B1193" s="144">
        <v>1.3754999999999999</v>
      </c>
      <c r="C1193" s="144">
        <v>44.008899999999997</v>
      </c>
      <c r="D1193" s="144">
        <v>8.08</v>
      </c>
      <c r="E1193" s="144">
        <v>135.11000000000001</v>
      </c>
      <c r="F1193" s="144">
        <v>0.85589999999999999</v>
      </c>
      <c r="G1193" s="144">
        <v>1.2346999999999999</v>
      </c>
      <c r="I1193" s="144">
        <v>1</v>
      </c>
      <c r="J1193" s="145">
        <f t="shared" si="136"/>
        <v>41577</v>
      </c>
      <c r="K1193" s="144">
        <f t="shared" ca="1" si="139"/>
        <v>0.89763722282806246</v>
      </c>
      <c r="L1193" s="144">
        <f t="shared" ca="1" si="139"/>
        <v>0.6222464558342421</v>
      </c>
      <c r="M1193" s="144">
        <f t="shared" ca="1" si="139"/>
        <v>98.226099600145417</v>
      </c>
      <c r="N1193" s="144">
        <f t="shared" ca="1" si="139"/>
        <v>5.8742275536168664</v>
      </c>
      <c r="O1193" s="144">
        <f t="shared" ca="1" si="139"/>
        <v>31.994838240639766</v>
      </c>
      <c r="P1193" s="144">
        <f t="shared" ca="1" si="139"/>
        <v>1</v>
      </c>
      <c r="Q1193" s="144">
        <f t="shared" ca="1" si="139"/>
        <v>0.72700836059614693</v>
      </c>
    </row>
    <row r="1194" spans="1:17" x14ac:dyDescent="0.25">
      <c r="A1194" s="145">
        <v>41576</v>
      </c>
      <c r="B1194" s="144">
        <v>1.3768</v>
      </c>
      <c r="C1194" s="144">
        <v>44.113999999999997</v>
      </c>
      <c r="D1194" s="144">
        <v>8.1195000000000004</v>
      </c>
      <c r="E1194" s="144">
        <v>134.88</v>
      </c>
      <c r="F1194" s="144">
        <v>0.85670000000000002</v>
      </c>
      <c r="G1194" s="144">
        <v>1.2358</v>
      </c>
      <c r="I1194" s="144">
        <v>1</v>
      </c>
      <c r="J1194" s="145">
        <f t="shared" si="136"/>
        <v>41576</v>
      </c>
      <c r="K1194" s="144">
        <f t="shared" ca="1" si="139"/>
        <v>0.89758861127251599</v>
      </c>
      <c r="L1194" s="144">
        <f t="shared" ca="1" si="139"/>
        <v>0.62223997675769904</v>
      </c>
      <c r="M1194" s="144">
        <f t="shared" ca="1" si="139"/>
        <v>97.966298663567684</v>
      </c>
      <c r="N1194" s="144">
        <f t="shared" ca="1" si="139"/>
        <v>5.8973707147007559</v>
      </c>
      <c r="O1194" s="144">
        <f t="shared" ca="1" si="139"/>
        <v>32.040964555490994</v>
      </c>
      <c r="P1194" s="144">
        <f t="shared" ca="1" si="139"/>
        <v>1</v>
      </c>
      <c r="Q1194" s="144">
        <f t="shared" ca="1" si="139"/>
        <v>0.72632190586868095</v>
      </c>
    </row>
    <row r="1195" spans="1:17" x14ac:dyDescent="0.25">
      <c r="A1195" s="145">
        <v>41575</v>
      </c>
      <c r="B1195" s="144">
        <v>1.3784000000000001</v>
      </c>
      <c r="C1195" s="144">
        <v>43.903500000000001</v>
      </c>
      <c r="D1195" s="144">
        <v>8.1300000000000008</v>
      </c>
      <c r="E1195" s="144">
        <v>134.65</v>
      </c>
      <c r="F1195" s="144">
        <v>0.85340000000000005</v>
      </c>
      <c r="G1195" s="144">
        <v>1.2343</v>
      </c>
      <c r="I1195" s="144">
        <v>1</v>
      </c>
      <c r="J1195" s="145">
        <f t="shared" si="136"/>
        <v>41575</v>
      </c>
      <c r="K1195" s="144">
        <f t="shared" ref="K1195:Q1204" ca="1" si="140">OFFSET($A1195,0,K$3)/OFFSET($A1195,0,$P$3)</f>
        <v>0.89545850261172366</v>
      </c>
      <c r="L1195" s="144">
        <f t="shared" ca="1" si="140"/>
        <v>0.61912362159024958</v>
      </c>
      <c r="M1195" s="144">
        <f t="shared" ca="1" si="140"/>
        <v>97.685722576900758</v>
      </c>
      <c r="N1195" s="144">
        <f t="shared" ca="1" si="140"/>
        <v>5.8981427742309931</v>
      </c>
      <c r="O1195" s="144">
        <f t="shared" ca="1" si="140"/>
        <v>31.851059199071386</v>
      </c>
      <c r="P1195" s="144">
        <f t="shared" ca="1" si="140"/>
        <v>1</v>
      </c>
      <c r="Q1195" s="144">
        <f t="shared" ca="1" si="140"/>
        <v>0.72547881601857223</v>
      </c>
    </row>
    <row r="1196" spans="1:17" x14ac:dyDescent="0.25">
      <c r="A1196" s="145">
        <v>41574</v>
      </c>
      <c r="B1196" s="144">
        <v>1.3776999999999999</v>
      </c>
      <c r="C1196" s="144">
        <v>43.8</v>
      </c>
      <c r="D1196" s="144">
        <v>8.1370000000000005</v>
      </c>
      <c r="E1196" s="144">
        <v>134.15</v>
      </c>
      <c r="F1196" s="144">
        <v>0.85189999999999999</v>
      </c>
      <c r="G1196" s="144">
        <v>1.2347999999999999</v>
      </c>
      <c r="I1196" s="144">
        <v>1</v>
      </c>
      <c r="J1196" s="145">
        <f t="shared" si="136"/>
        <v>41574</v>
      </c>
      <c r="K1196" s="144">
        <f t="shared" ca="1" si="140"/>
        <v>0.89627640270015241</v>
      </c>
      <c r="L1196" s="144">
        <f t="shared" ca="1" si="140"/>
        <v>0.61834942295129569</v>
      </c>
      <c r="M1196" s="144">
        <f t="shared" ca="1" si="140"/>
        <v>97.372432314727448</v>
      </c>
      <c r="N1196" s="144">
        <f t="shared" ca="1" si="140"/>
        <v>5.9062205124482841</v>
      </c>
      <c r="O1196" s="144">
        <f t="shared" ca="1" si="140"/>
        <v>31.792117296944181</v>
      </c>
      <c r="P1196" s="144">
        <f t="shared" ca="1" si="140"/>
        <v>1</v>
      </c>
      <c r="Q1196" s="144">
        <f t="shared" ca="1" si="140"/>
        <v>0.72584742687087178</v>
      </c>
    </row>
    <row r="1197" spans="1:17" x14ac:dyDescent="0.25">
      <c r="A1197" s="145">
        <v>41573</v>
      </c>
      <c r="B1197" s="144">
        <v>1.3776999999999999</v>
      </c>
      <c r="C1197" s="144">
        <v>43.8</v>
      </c>
      <c r="D1197" s="144">
        <v>8.1370000000000005</v>
      </c>
      <c r="E1197" s="144">
        <v>134.15</v>
      </c>
      <c r="F1197" s="144">
        <v>0.85189999999999999</v>
      </c>
      <c r="G1197" s="144">
        <v>1.2347999999999999</v>
      </c>
      <c r="I1197" s="144">
        <v>1</v>
      </c>
      <c r="J1197" s="145">
        <f t="shared" si="136"/>
        <v>41573</v>
      </c>
      <c r="K1197" s="144">
        <f t="shared" ca="1" si="140"/>
        <v>0.89627640270015241</v>
      </c>
      <c r="L1197" s="144">
        <f t="shared" ca="1" si="140"/>
        <v>0.61834942295129569</v>
      </c>
      <c r="M1197" s="144">
        <f t="shared" ca="1" si="140"/>
        <v>97.372432314727448</v>
      </c>
      <c r="N1197" s="144">
        <f t="shared" ca="1" si="140"/>
        <v>5.9062205124482841</v>
      </c>
      <c r="O1197" s="144">
        <f t="shared" ca="1" si="140"/>
        <v>31.792117296944181</v>
      </c>
      <c r="P1197" s="144">
        <f t="shared" ca="1" si="140"/>
        <v>1</v>
      </c>
      <c r="Q1197" s="144">
        <f t="shared" ca="1" si="140"/>
        <v>0.72584742687087178</v>
      </c>
    </row>
    <row r="1198" spans="1:17" x14ac:dyDescent="0.25">
      <c r="A1198" s="145">
        <v>41572</v>
      </c>
      <c r="B1198" s="144">
        <v>1.3776999999999999</v>
      </c>
      <c r="C1198" s="144">
        <v>43.8</v>
      </c>
      <c r="D1198" s="144">
        <v>8.1370000000000005</v>
      </c>
      <c r="E1198" s="144">
        <v>134.15</v>
      </c>
      <c r="F1198" s="144">
        <v>0.85189999999999999</v>
      </c>
      <c r="G1198" s="144">
        <v>1.2347999999999999</v>
      </c>
      <c r="I1198" s="144">
        <v>1</v>
      </c>
      <c r="J1198" s="145">
        <f t="shared" si="136"/>
        <v>41572</v>
      </c>
      <c r="K1198" s="144">
        <f t="shared" ca="1" si="140"/>
        <v>0.89627640270015241</v>
      </c>
      <c r="L1198" s="144">
        <f t="shared" ca="1" si="140"/>
        <v>0.61834942295129569</v>
      </c>
      <c r="M1198" s="144">
        <f t="shared" ca="1" si="140"/>
        <v>97.372432314727448</v>
      </c>
      <c r="N1198" s="144">
        <f t="shared" ca="1" si="140"/>
        <v>5.9062205124482841</v>
      </c>
      <c r="O1198" s="144">
        <f t="shared" ca="1" si="140"/>
        <v>31.792117296944181</v>
      </c>
      <c r="P1198" s="144">
        <f t="shared" ca="1" si="140"/>
        <v>1</v>
      </c>
      <c r="Q1198" s="144">
        <f t="shared" ca="1" si="140"/>
        <v>0.72584742687087178</v>
      </c>
    </row>
    <row r="1199" spans="1:17" x14ac:dyDescent="0.25">
      <c r="A1199" s="145">
        <v>41571</v>
      </c>
      <c r="B1199" s="144">
        <v>1.3805000000000001</v>
      </c>
      <c r="C1199" s="144">
        <v>43.754800000000003</v>
      </c>
      <c r="D1199" s="144">
        <v>8.1210000000000004</v>
      </c>
      <c r="E1199" s="144">
        <v>134.32</v>
      </c>
      <c r="F1199" s="144">
        <v>0.85370000000000001</v>
      </c>
      <c r="G1199" s="144">
        <v>1.2302999999999999</v>
      </c>
      <c r="I1199" s="144">
        <v>1</v>
      </c>
      <c r="J1199" s="145">
        <f t="shared" si="136"/>
        <v>41571</v>
      </c>
      <c r="K1199" s="144">
        <f t="shared" ca="1" si="140"/>
        <v>0.89119884099963775</v>
      </c>
      <c r="L1199" s="144">
        <f t="shared" ca="1" si="140"/>
        <v>0.6183991307497283</v>
      </c>
      <c r="M1199" s="144">
        <f t="shared" ca="1" si="140"/>
        <v>97.298080405650111</v>
      </c>
      <c r="N1199" s="144">
        <f t="shared" ca="1" si="140"/>
        <v>5.8826512133285043</v>
      </c>
      <c r="O1199" s="144">
        <f t="shared" ca="1" si="140"/>
        <v>31.69489315465411</v>
      </c>
      <c r="P1199" s="144">
        <f t="shared" ca="1" si="140"/>
        <v>1</v>
      </c>
      <c r="Q1199" s="144">
        <f t="shared" ca="1" si="140"/>
        <v>0.72437522636725826</v>
      </c>
    </row>
    <row r="1200" spans="1:17" x14ac:dyDescent="0.25">
      <c r="A1200" s="145">
        <v>41570</v>
      </c>
      <c r="B1200" s="144">
        <v>1.3752</v>
      </c>
      <c r="C1200" s="144">
        <v>43.706600000000002</v>
      </c>
      <c r="D1200" s="144">
        <v>8.1359999999999992</v>
      </c>
      <c r="E1200" s="144">
        <v>133.94999999999999</v>
      </c>
      <c r="F1200" s="144">
        <v>0.85160000000000002</v>
      </c>
      <c r="G1200" s="144">
        <v>1.2306999999999999</v>
      </c>
      <c r="I1200" s="144">
        <v>1</v>
      </c>
      <c r="J1200" s="145">
        <f t="shared" si="136"/>
        <v>41570</v>
      </c>
      <c r="K1200" s="144">
        <f t="shared" ca="1" si="140"/>
        <v>0.8949243746364165</v>
      </c>
      <c r="L1200" s="144">
        <f t="shared" ca="1" si="140"/>
        <v>0.61925538103548572</v>
      </c>
      <c r="M1200" s="144">
        <f t="shared" ca="1" si="140"/>
        <v>97.404013961605571</v>
      </c>
      <c r="N1200" s="144">
        <f t="shared" ca="1" si="140"/>
        <v>5.9162303664921465</v>
      </c>
      <c r="O1200" s="144">
        <f t="shared" ca="1" si="140"/>
        <v>31.781995346131474</v>
      </c>
      <c r="P1200" s="144">
        <f t="shared" ca="1" si="140"/>
        <v>1</v>
      </c>
      <c r="Q1200" s="144">
        <f t="shared" ca="1" si="140"/>
        <v>0.72716695753344973</v>
      </c>
    </row>
    <row r="1201" spans="1:17" x14ac:dyDescent="0.25">
      <c r="A1201" s="145">
        <v>41569</v>
      </c>
      <c r="B1201" s="144">
        <v>1.3673999999999999</v>
      </c>
      <c r="C1201" s="144">
        <v>43.645800000000001</v>
      </c>
      <c r="D1201" s="144">
        <v>8.1334999999999997</v>
      </c>
      <c r="E1201" s="144">
        <v>134.52000000000001</v>
      </c>
      <c r="F1201" s="144">
        <v>0.84760000000000002</v>
      </c>
      <c r="G1201" s="144">
        <v>1.2355</v>
      </c>
      <c r="I1201" s="144">
        <v>1</v>
      </c>
      <c r="J1201" s="145">
        <f t="shared" si="136"/>
        <v>41569</v>
      </c>
      <c r="K1201" s="144">
        <f t="shared" ca="1" si="140"/>
        <v>0.9035395641363172</v>
      </c>
      <c r="L1201" s="144">
        <f t="shared" ca="1" si="140"/>
        <v>0.61986251279801086</v>
      </c>
      <c r="M1201" s="144">
        <f t="shared" ca="1" si="140"/>
        <v>98.376480912681018</v>
      </c>
      <c r="N1201" s="144">
        <f t="shared" ca="1" si="140"/>
        <v>5.9481497732923794</v>
      </c>
      <c r="O1201" s="144">
        <f t="shared" ca="1" si="140"/>
        <v>31.918824045634054</v>
      </c>
      <c r="P1201" s="144">
        <f t="shared" ca="1" si="140"/>
        <v>1</v>
      </c>
      <c r="Q1201" s="144">
        <f t="shared" ca="1" si="140"/>
        <v>0.73131490419774758</v>
      </c>
    </row>
    <row r="1202" spans="1:17" x14ac:dyDescent="0.25">
      <c r="A1202" s="145">
        <v>41568</v>
      </c>
      <c r="B1202" s="144">
        <v>1.3667</v>
      </c>
      <c r="C1202" s="144">
        <v>43.622</v>
      </c>
      <c r="D1202" s="144">
        <v>8.0920000000000005</v>
      </c>
      <c r="E1202" s="144">
        <v>134.16999999999999</v>
      </c>
      <c r="F1202" s="144">
        <v>0.84650000000000003</v>
      </c>
      <c r="G1202" s="144">
        <v>1.2352000000000001</v>
      </c>
      <c r="I1202" s="144">
        <v>1</v>
      </c>
      <c r="J1202" s="145">
        <f t="shared" si="136"/>
        <v>41568</v>
      </c>
      <c r="K1202" s="144">
        <f t="shared" ca="1" si="140"/>
        <v>0.90378283456501063</v>
      </c>
      <c r="L1202" s="144">
        <f t="shared" ca="1" si="140"/>
        <v>0.61937513719177584</v>
      </c>
      <c r="M1202" s="144">
        <f t="shared" ca="1" si="140"/>
        <v>98.17077632252871</v>
      </c>
      <c r="N1202" s="144">
        <f t="shared" ca="1" si="140"/>
        <v>5.9208311992390437</v>
      </c>
      <c r="O1202" s="144">
        <f t="shared" ca="1" si="140"/>
        <v>31.917758103460891</v>
      </c>
      <c r="P1202" s="144">
        <f t="shared" ca="1" si="140"/>
        <v>1</v>
      </c>
      <c r="Q1202" s="144">
        <f t="shared" ca="1" si="140"/>
        <v>0.73168947098851245</v>
      </c>
    </row>
    <row r="1203" spans="1:17" x14ac:dyDescent="0.25">
      <c r="A1203" s="145">
        <v>41567</v>
      </c>
      <c r="B1203" s="144">
        <v>1.3684000000000001</v>
      </c>
      <c r="C1203" s="144">
        <v>43.582999999999998</v>
      </c>
      <c r="D1203" s="144">
        <v>8.0984999999999996</v>
      </c>
      <c r="E1203" s="144">
        <v>133.72999999999999</v>
      </c>
      <c r="F1203" s="144">
        <v>0.84514999999999996</v>
      </c>
      <c r="G1203" s="144">
        <v>1.2343</v>
      </c>
      <c r="I1203" s="144">
        <v>1</v>
      </c>
      <c r="J1203" s="145">
        <f t="shared" si="136"/>
        <v>41567</v>
      </c>
      <c r="K1203" s="144">
        <f t="shared" ca="1" si="140"/>
        <v>0.90200233849751532</v>
      </c>
      <c r="L1203" s="144">
        <f t="shared" ca="1" si="140"/>
        <v>0.61761911721718787</v>
      </c>
      <c r="M1203" s="144">
        <f t="shared" ca="1" si="140"/>
        <v>97.72727272727272</v>
      </c>
      <c r="N1203" s="144">
        <f t="shared" ca="1" si="140"/>
        <v>5.9182256650102305</v>
      </c>
      <c r="O1203" s="144">
        <f t="shared" ca="1" si="140"/>
        <v>31.849605378544283</v>
      </c>
      <c r="P1203" s="144">
        <f t="shared" ca="1" si="140"/>
        <v>1</v>
      </c>
      <c r="Q1203" s="144">
        <f t="shared" ca="1" si="140"/>
        <v>0.73078047354574682</v>
      </c>
    </row>
    <row r="1204" spans="1:17" x14ac:dyDescent="0.25">
      <c r="A1204" s="145">
        <v>41566</v>
      </c>
      <c r="B1204" s="144">
        <v>1.3684000000000001</v>
      </c>
      <c r="C1204" s="144">
        <v>43.582999999999998</v>
      </c>
      <c r="D1204" s="144">
        <v>8.0984999999999996</v>
      </c>
      <c r="E1204" s="144">
        <v>133.72999999999999</v>
      </c>
      <c r="F1204" s="144">
        <v>0.84514999999999996</v>
      </c>
      <c r="G1204" s="144">
        <v>1.2343</v>
      </c>
      <c r="I1204" s="144">
        <v>1</v>
      </c>
      <c r="J1204" s="145">
        <f t="shared" si="136"/>
        <v>41566</v>
      </c>
      <c r="K1204" s="144">
        <f t="shared" ca="1" si="140"/>
        <v>0.90200233849751532</v>
      </c>
      <c r="L1204" s="144">
        <f t="shared" ca="1" si="140"/>
        <v>0.61761911721718787</v>
      </c>
      <c r="M1204" s="144">
        <f t="shared" ca="1" si="140"/>
        <v>97.72727272727272</v>
      </c>
      <c r="N1204" s="144">
        <f t="shared" ca="1" si="140"/>
        <v>5.9182256650102305</v>
      </c>
      <c r="O1204" s="144">
        <f t="shared" ca="1" si="140"/>
        <v>31.849605378544283</v>
      </c>
      <c r="P1204" s="144">
        <f t="shared" ca="1" si="140"/>
        <v>1</v>
      </c>
      <c r="Q1204" s="144">
        <f t="shared" ca="1" si="140"/>
        <v>0.73078047354574682</v>
      </c>
    </row>
    <row r="1205" spans="1:17" x14ac:dyDescent="0.25">
      <c r="A1205" s="145">
        <v>41565</v>
      </c>
      <c r="B1205" s="144">
        <v>1.3684000000000001</v>
      </c>
      <c r="C1205" s="144">
        <v>43.582999999999998</v>
      </c>
      <c r="D1205" s="144">
        <v>8.0984999999999996</v>
      </c>
      <c r="E1205" s="144">
        <v>133.72999999999999</v>
      </c>
      <c r="F1205" s="144">
        <v>0.84514999999999996</v>
      </c>
      <c r="G1205" s="144">
        <v>1.2343</v>
      </c>
      <c r="I1205" s="144">
        <v>1</v>
      </c>
      <c r="J1205" s="145">
        <f t="shared" si="136"/>
        <v>41565</v>
      </c>
      <c r="K1205" s="144">
        <f t="shared" ref="K1205:Q1214" ca="1" si="141">OFFSET($A1205,0,K$3)/OFFSET($A1205,0,$P$3)</f>
        <v>0.90200233849751532</v>
      </c>
      <c r="L1205" s="144">
        <f t="shared" ca="1" si="141"/>
        <v>0.61761911721718787</v>
      </c>
      <c r="M1205" s="144">
        <f t="shared" ca="1" si="141"/>
        <v>97.72727272727272</v>
      </c>
      <c r="N1205" s="144">
        <f t="shared" ca="1" si="141"/>
        <v>5.9182256650102305</v>
      </c>
      <c r="O1205" s="144">
        <f t="shared" ca="1" si="141"/>
        <v>31.849605378544283</v>
      </c>
      <c r="P1205" s="144">
        <f t="shared" ca="1" si="141"/>
        <v>1</v>
      </c>
      <c r="Q1205" s="144">
        <f t="shared" ca="1" si="141"/>
        <v>0.73078047354574682</v>
      </c>
    </row>
    <row r="1206" spans="1:17" x14ac:dyDescent="0.25">
      <c r="A1206" s="145">
        <v>41564</v>
      </c>
      <c r="B1206" s="144">
        <v>1.3662000000000001</v>
      </c>
      <c r="C1206" s="144">
        <v>43.735999999999997</v>
      </c>
      <c r="D1206" s="144">
        <v>8.1150000000000002</v>
      </c>
      <c r="E1206" s="144">
        <v>133.63999999999999</v>
      </c>
      <c r="F1206" s="144">
        <v>0.84760000000000002</v>
      </c>
      <c r="G1206" s="144">
        <v>1.2326999999999999</v>
      </c>
      <c r="I1206" s="144">
        <v>1</v>
      </c>
      <c r="J1206" s="145">
        <f t="shared" si="136"/>
        <v>41564</v>
      </c>
      <c r="K1206" s="144">
        <f t="shared" ca="1" si="141"/>
        <v>0.90228370663153257</v>
      </c>
      <c r="L1206" s="144">
        <f t="shared" ca="1" si="141"/>
        <v>0.62040696823305519</v>
      </c>
      <c r="M1206" s="144">
        <f t="shared" ca="1" si="141"/>
        <v>97.818767383984763</v>
      </c>
      <c r="N1206" s="144">
        <f t="shared" ca="1" si="141"/>
        <v>5.9398331137461566</v>
      </c>
      <c r="O1206" s="144">
        <f t="shared" ca="1" si="141"/>
        <v>32.012882447665049</v>
      </c>
      <c r="P1206" s="144">
        <f t="shared" ca="1" si="141"/>
        <v>1</v>
      </c>
      <c r="Q1206" s="144">
        <f t="shared" ca="1" si="141"/>
        <v>0.73195725369638409</v>
      </c>
    </row>
    <row r="1207" spans="1:17" x14ac:dyDescent="0.25">
      <c r="A1207" s="145">
        <v>41563</v>
      </c>
      <c r="B1207" s="144">
        <v>1.3561000000000001</v>
      </c>
      <c r="C1207" s="144">
        <v>43.6995</v>
      </c>
      <c r="D1207" s="144">
        <v>8.1364999999999998</v>
      </c>
      <c r="E1207" s="144">
        <v>133.38</v>
      </c>
      <c r="F1207" s="144">
        <v>0.84589999999999999</v>
      </c>
      <c r="G1207" s="144">
        <v>1.2341</v>
      </c>
      <c r="I1207" s="144">
        <v>1</v>
      </c>
      <c r="J1207" s="145">
        <f t="shared" si="136"/>
        <v>41563</v>
      </c>
      <c r="K1207" s="144">
        <f t="shared" ca="1" si="141"/>
        <v>0.9100361330285377</v>
      </c>
      <c r="L1207" s="144">
        <f t="shared" ca="1" si="141"/>
        <v>0.62377405796032737</v>
      </c>
      <c r="M1207" s="144">
        <f t="shared" ca="1" si="141"/>
        <v>98.355578497160963</v>
      </c>
      <c r="N1207" s="144">
        <f t="shared" ca="1" si="141"/>
        <v>5.9999262591254325</v>
      </c>
      <c r="O1207" s="144">
        <f t="shared" ca="1" si="141"/>
        <v>32.224393481306684</v>
      </c>
      <c r="P1207" s="144">
        <f t="shared" ca="1" si="141"/>
        <v>1</v>
      </c>
      <c r="Q1207" s="144">
        <f t="shared" ca="1" si="141"/>
        <v>0.73740874566772352</v>
      </c>
    </row>
    <row r="1208" spans="1:17" x14ac:dyDescent="0.25">
      <c r="A1208" s="145">
        <v>41562</v>
      </c>
      <c r="B1208" s="144">
        <v>1.3492999999999999</v>
      </c>
      <c r="C1208" s="144">
        <v>43.564500000000002</v>
      </c>
      <c r="D1208" s="144">
        <v>8.1180000000000003</v>
      </c>
      <c r="E1208" s="144">
        <v>132.88999999999999</v>
      </c>
      <c r="F1208" s="144">
        <v>0.84635000000000005</v>
      </c>
      <c r="G1208" s="144">
        <v>1.2361</v>
      </c>
      <c r="I1208" s="144">
        <v>1</v>
      </c>
      <c r="J1208" s="145">
        <f t="shared" si="136"/>
        <v>41562</v>
      </c>
      <c r="K1208" s="144">
        <f t="shared" ca="1" si="141"/>
        <v>0.91610464685392423</v>
      </c>
      <c r="L1208" s="144">
        <f t="shared" ca="1" si="141"/>
        <v>0.62725116727191887</v>
      </c>
      <c r="M1208" s="144">
        <f t="shared" ca="1" si="141"/>
        <v>98.488104943303924</v>
      </c>
      <c r="N1208" s="144">
        <f t="shared" ca="1" si="141"/>
        <v>6.0164529756169873</v>
      </c>
      <c r="O1208" s="144">
        <f t="shared" ca="1" si="141"/>
        <v>32.286741273252801</v>
      </c>
      <c r="P1208" s="144">
        <f t="shared" ca="1" si="141"/>
        <v>1</v>
      </c>
      <c r="Q1208" s="144">
        <f t="shared" ca="1" si="141"/>
        <v>0.74112502779218858</v>
      </c>
    </row>
    <row r="1209" spans="1:17" x14ac:dyDescent="0.25">
      <c r="A1209" s="145">
        <v>41561</v>
      </c>
      <c r="B1209" s="144">
        <v>1.3564000000000001</v>
      </c>
      <c r="C1209" s="144">
        <v>43.787300000000002</v>
      </c>
      <c r="D1209" s="144">
        <v>8.1325000000000003</v>
      </c>
      <c r="E1209" s="144">
        <v>133.19</v>
      </c>
      <c r="F1209" s="144">
        <v>0.84830000000000005</v>
      </c>
      <c r="G1209" s="144">
        <v>1.2334000000000001</v>
      </c>
      <c r="I1209" s="144">
        <v>1</v>
      </c>
      <c r="J1209" s="145">
        <f t="shared" si="136"/>
        <v>41561</v>
      </c>
      <c r="K1209" s="144">
        <f t="shared" ca="1" si="141"/>
        <v>0.90931878501916841</v>
      </c>
      <c r="L1209" s="144">
        <f t="shared" ca="1" si="141"/>
        <v>0.62540548510763783</v>
      </c>
      <c r="M1209" s="144">
        <f t="shared" ca="1" si="141"/>
        <v>98.193748156885874</v>
      </c>
      <c r="N1209" s="144">
        <f t="shared" ca="1" si="141"/>
        <v>5.9956502506635214</v>
      </c>
      <c r="O1209" s="144">
        <f t="shared" ca="1" si="141"/>
        <v>32.281996461220878</v>
      </c>
      <c r="P1209" s="144">
        <f t="shared" ca="1" si="141"/>
        <v>1</v>
      </c>
      <c r="Q1209" s="144">
        <f t="shared" ca="1" si="141"/>
        <v>0.73724565025066346</v>
      </c>
    </row>
    <row r="1210" spans="1:17" x14ac:dyDescent="0.25">
      <c r="A1210" s="145">
        <v>41560</v>
      </c>
      <c r="B1210" s="144">
        <v>1.3566</v>
      </c>
      <c r="C1210" s="144">
        <v>43.727499999999999</v>
      </c>
      <c r="D1210" s="144">
        <v>8.1285000000000007</v>
      </c>
      <c r="E1210" s="144">
        <v>133.38</v>
      </c>
      <c r="F1210" s="144">
        <v>0.84899999999999998</v>
      </c>
      <c r="G1210" s="144">
        <v>1.2314000000000001</v>
      </c>
      <c r="I1210" s="144">
        <v>1</v>
      </c>
      <c r="J1210" s="145">
        <f t="shared" si="136"/>
        <v>41560</v>
      </c>
      <c r="K1210" s="144">
        <f t="shared" ca="1" si="141"/>
        <v>0.90771045260209349</v>
      </c>
      <c r="L1210" s="144">
        <f t="shared" ca="1" si="141"/>
        <v>0.62582927908005304</v>
      </c>
      <c r="M1210" s="144">
        <f t="shared" ca="1" si="141"/>
        <v>98.319327731092429</v>
      </c>
      <c r="N1210" s="144">
        <f t="shared" ca="1" si="141"/>
        <v>5.9918177797434771</v>
      </c>
      <c r="O1210" s="144">
        <f t="shared" ca="1" si="141"/>
        <v>32.233156420462919</v>
      </c>
      <c r="P1210" s="144">
        <f t="shared" ca="1" si="141"/>
        <v>1</v>
      </c>
      <c r="Q1210" s="144">
        <f t="shared" ca="1" si="141"/>
        <v>0.73713696004717677</v>
      </c>
    </row>
    <row r="1211" spans="1:17" x14ac:dyDescent="0.25">
      <c r="A1211" s="145">
        <v>41559</v>
      </c>
      <c r="B1211" s="144">
        <v>1.3566</v>
      </c>
      <c r="C1211" s="144">
        <v>43.727499999999999</v>
      </c>
      <c r="D1211" s="144">
        <v>8.1285000000000007</v>
      </c>
      <c r="E1211" s="144">
        <v>133.38</v>
      </c>
      <c r="F1211" s="144">
        <v>0.84899999999999998</v>
      </c>
      <c r="G1211" s="144">
        <v>1.2314000000000001</v>
      </c>
      <c r="I1211" s="144">
        <v>1</v>
      </c>
      <c r="J1211" s="145">
        <f t="shared" si="136"/>
        <v>41559</v>
      </c>
      <c r="K1211" s="144">
        <f t="shared" ca="1" si="141"/>
        <v>0.90771045260209349</v>
      </c>
      <c r="L1211" s="144">
        <f t="shared" ca="1" si="141"/>
        <v>0.62582927908005304</v>
      </c>
      <c r="M1211" s="144">
        <f t="shared" ca="1" si="141"/>
        <v>98.319327731092429</v>
      </c>
      <c r="N1211" s="144">
        <f t="shared" ca="1" si="141"/>
        <v>5.9918177797434771</v>
      </c>
      <c r="O1211" s="144">
        <f t="shared" ca="1" si="141"/>
        <v>32.233156420462919</v>
      </c>
      <c r="P1211" s="144">
        <f t="shared" ca="1" si="141"/>
        <v>1</v>
      </c>
      <c r="Q1211" s="144">
        <f t="shared" ca="1" si="141"/>
        <v>0.73713696004717677</v>
      </c>
    </row>
    <row r="1212" spans="1:17" x14ac:dyDescent="0.25">
      <c r="A1212" s="145">
        <v>41558</v>
      </c>
      <c r="B1212" s="144">
        <v>1.3566</v>
      </c>
      <c r="C1212" s="144">
        <v>43.727499999999999</v>
      </c>
      <c r="D1212" s="144">
        <v>8.1285000000000007</v>
      </c>
      <c r="E1212" s="144">
        <v>133.38</v>
      </c>
      <c r="F1212" s="144">
        <v>0.84899999999999998</v>
      </c>
      <c r="G1212" s="144">
        <v>1.2314000000000001</v>
      </c>
      <c r="I1212" s="144">
        <v>1</v>
      </c>
      <c r="J1212" s="145">
        <f t="shared" si="136"/>
        <v>41558</v>
      </c>
      <c r="K1212" s="144">
        <f t="shared" ca="1" si="141"/>
        <v>0.90771045260209349</v>
      </c>
      <c r="L1212" s="144">
        <f t="shared" ca="1" si="141"/>
        <v>0.62582927908005304</v>
      </c>
      <c r="M1212" s="144">
        <f t="shared" ca="1" si="141"/>
        <v>98.319327731092429</v>
      </c>
      <c r="N1212" s="144">
        <f t="shared" ca="1" si="141"/>
        <v>5.9918177797434771</v>
      </c>
      <c r="O1212" s="144">
        <f t="shared" ca="1" si="141"/>
        <v>32.233156420462919</v>
      </c>
      <c r="P1212" s="144">
        <f t="shared" ca="1" si="141"/>
        <v>1</v>
      </c>
      <c r="Q1212" s="144">
        <f t="shared" ca="1" si="141"/>
        <v>0.73713696004717677</v>
      </c>
    </row>
    <row r="1213" spans="1:17" x14ac:dyDescent="0.25">
      <c r="A1213" s="145">
        <v>41557</v>
      </c>
      <c r="B1213" s="144">
        <v>1.3532</v>
      </c>
      <c r="C1213" s="144">
        <v>43.686399999999999</v>
      </c>
      <c r="D1213" s="144">
        <v>8.19</v>
      </c>
      <c r="E1213" s="144">
        <v>132.37</v>
      </c>
      <c r="F1213" s="144">
        <v>0.84809999999999997</v>
      </c>
      <c r="G1213" s="144">
        <v>1.2311000000000001</v>
      </c>
      <c r="I1213" s="144">
        <v>1</v>
      </c>
      <c r="J1213" s="145">
        <f t="shared" si="136"/>
        <v>41557</v>
      </c>
      <c r="K1213" s="144">
        <f t="shared" ca="1" si="141"/>
        <v>0.909769435412356</v>
      </c>
      <c r="L1213" s="144">
        <f t="shared" ca="1" si="141"/>
        <v>0.6267366242979604</v>
      </c>
      <c r="M1213" s="144">
        <f t="shared" ca="1" si="141"/>
        <v>97.819982264262492</v>
      </c>
      <c r="N1213" s="144">
        <f t="shared" ca="1" si="141"/>
        <v>6.0523204256577001</v>
      </c>
      <c r="O1213" s="144">
        <f t="shared" ca="1" si="141"/>
        <v>32.283771800177355</v>
      </c>
      <c r="P1213" s="144">
        <f t="shared" ca="1" si="141"/>
        <v>1</v>
      </c>
      <c r="Q1213" s="144">
        <f t="shared" ca="1" si="141"/>
        <v>0.73898906296186817</v>
      </c>
    </row>
    <row r="1214" spans="1:17" x14ac:dyDescent="0.25">
      <c r="A1214" s="145">
        <v>41556</v>
      </c>
      <c r="B1214" s="144">
        <v>1.3514999999999999</v>
      </c>
      <c r="C1214" s="144">
        <v>43.73</v>
      </c>
      <c r="D1214" s="144">
        <v>8.11</v>
      </c>
      <c r="E1214" s="144">
        <v>131.55000000000001</v>
      </c>
      <c r="F1214" s="144">
        <v>0.84640000000000004</v>
      </c>
      <c r="G1214" s="144">
        <v>1.2313000000000001</v>
      </c>
      <c r="I1214" s="144">
        <v>1</v>
      </c>
      <c r="J1214" s="145">
        <f t="shared" si="136"/>
        <v>41556</v>
      </c>
      <c r="K1214" s="144">
        <f t="shared" ca="1" si="141"/>
        <v>0.91106178320384767</v>
      </c>
      <c r="L1214" s="144">
        <f t="shared" ca="1" si="141"/>
        <v>0.62626711061783213</v>
      </c>
      <c r="M1214" s="144">
        <f t="shared" ca="1" si="141"/>
        <v>97.336293007769157</v>
      </c>
      <c r="N1214" s="144">
        <f t="shared" ca="1" si="141"/>
        <v>6.0007399186089527</v>
      </c>
      <c r="O1214" s="144">
        <f t="shared" ca="1" si="141"/>
        <v>32.356640769515352</v>
      </c>
      <c r="P1214" s="144">
        <f t="shared" ca="1" si="141"/>
        <v>1</v>
      </c>
      <c r="Q1214" s="144">
        <f t="shared" ca="1" si="141"/>
        <v>0.7399186089530152</v>
      </c>
    </row>
    <row r="1215" spans="1:17" x14ac:dyDescent="0.25">
      <c r="A1215" s="145">
        <v>41555</v>
      </c>
      <c r="B1215" s="144">
        <v>1.3575999999999999</v>
      </c>
      <c r="C1215" s="144">
        <v>43.746200000000002</v>
      </c>
      <c r="D1215" s="144">
        <v>8.0820000000000007</v>
      </c>
      <c r="E1215" s="144">
        <v>131.94</v>
      </c>
      <c r="F1215" s="144">
        <v>0.84265000000000001</v>
      </c>
      <c r="G1215" s="144">
        <v>1.2283999999999999</v>
      </c>
      <c r="I1215" s="144">
        <v>1</v>
      </c>
      <c r="J1215" s="145">
        <f t="shared" si="136"/>
        <v>41555</v>
      </c>
      <c r="K1215" s="144">
        <f t="shared" ref="K1215:Q1224" ca="1" si="142">OFFSET($A1215,0,K$3)/OFFSET($A1215,0,$P$3)</f>
        <v>0.90483205657041843</v>
      </c>
      <c r="L1215" s="144">
        <f t="shared" ca="1" si="142"/>
        <v>0.62069092516205071</v>
      </c>
      <c r="M1215" s="144">
        <f t="shared" ca="1" si="142"/>
        <v>97.186210960518565</v>
      </c>
      <c r="N1215" s="144">
        <f t="shared" ca="1" si="142"/>
        <v>5.9531526222746027</v>
      </c>
      <c r="O1215" s="144">
        <f t="shared" ca="1" si="142"/>
        <v>32.223187978786093</v>
      </c>
      <c r="P1215" s="144">
        <f t="shared" ca="1" si="142"/>
        <v>1</v>
      </c>
      <c r="Q1215" s="144">
        <f t="shared" ca="1" si="142"/>
        <v>0.73659398939304654</v>
      </c>
    </row>
    <row r="1216" spans="1:17" x14ac:dyDescent="0.25">
      <c r="A1216" s="145">
        <v>41554</v>
      </c>
      <c r="B1216" s="144">
        <v>1.3572</v>
      </c>
      <c r="C1216" s="144">
        <v>43.810400000000001</v>
      </c>
      <c r="D1216" s="144">
        <v>8.1270000000000007</v>
      </c>
      <c r="E1216" s="144">
        <v>131.46</v>
      </c>
      <c r="F1216" s="144">
        <v>0.84370000000000001</v>
      </c>
      <c r="G1216" s="144">
        <v>1.2262</v>
      </c>
      <c r="I1216" s="144">
        <v>1</v>
      </c>
      <c r="J1216" s="145">
        <f t="shared" si="136"/>
        <v>41554</v>
      </c>
      <c r="K1216" s="144">
        <f t="shared" ca="1" si="142"/>
        <v>0.90347774830533456</v>
      </c>
      <c r="L1216" s="144">
        <f t="shared" ca="1" si="142"/>
        <v>0.62164750957854409</v>
      </c>
      <c r="M1216" s="144">
        <f t="shared" ca="1" si="142"/>
        <v>96.861184792219277</v>
      </c>
      <c r="N1216" s="144">
        <f t="shared" ca="1" si="142"/>
        <v>5.9880636604774544</v>
      </c>
      <c r="O1216" s="144">
        <f t="shared" ca="1" si="142"/>
        <v>32.279988211022697</v>
      </c>
      <c r="P1216" s="144">
        <f t="shared" ca="1" si="142"/>
        <v>1</v>
      </c>
      <c r="Q1216" s="144">
        <f t="shared" ca="1" si="142"/>
        <v>0.73681108163866782</v>
      </c>
    </row>
    <row r="1217" spans="1:17" x14ac:dyDescent="0.25">
      <c r="A1217" s="145">
        <v>41553</v>
      </c>
      <c r="B1217" s="144">
        <v>1.3593</v>
      </c>
      <c r="C1217" s="144">
        <v>43.731699999999996</v>
      </c>
      <c r="D1217" s="144">
        <v>8.1144999999999996</v>
      </c>
      <c r="E1217" s="144">
        <v>132.03</v>
      </c>
      <c r="F1217" s="144">
        <v>0.84689999999999999</v>
      </c>
      <c r="G1217" s="144">
        <v>1.2271000000000001</v>
      </c>
      <c r="I1217" s="144">
        <v>1</v>
      </c>
      <c r="J1217" s="145">
        <f t="shared" si="136"/>
        <v>41553</v>
      </c>
      <c r="K1217" s="144">
        <f t="shared" ca="1" si="142"/>
        <v>0.90274405944236014</v>
      </c>
      <c r="L1217" s="144">
        <f t="shared" ca="1" si="142"/>
        <v>0.62304127124255138</v>
      </c>
      <c r="M1217" s="144">
        <f t="shared" ca="1" si="142"/>
        <v>97.130876186272346</v>
      </c>
      <c r="N1217" s="144">
        <f t="shared" ca="1" si="142"/>
        <v>5.9696167144853964</v>
      </c>
      <c r="O1217" s="144">
        <f t="shared" ca="1" si="142"/>
        <v>32.172220996100933</v>
      </c>
      <c r="P1217" s="144">
        <f t="shared" ca="1" si="142"/>
        <v>1</v>
      </c>
      <c r="Q1217" s="144">
        <f t="shared" ca="1" si="142"/>
        <v>0.73567277275068055</v>
      </c>
    </row>
    <row r="1218" spans="1:17" x14ac:dyDescent="0.25">
      <c r="A1218" s="145">
        <v>41552</v>
      </c>
      <c r="B1218" s="144">
        <v>1.3593</v>
      </c>
      <c r="C1218" s="144">
        <v>43.731699999999996</v>
      </c>
      <c r="D1218" s="144">
        <v>8.1144999999999996</v>
      </c>
      <c r="E1218" s="144">
        <v>132.03</v>
      </c>
      <c r="F1218" s="144">
        <v>0.84689999999999999</v>
      </c>
      <c r="G1218" s="144">
        <v>1.2271000000000001</v>
      </c>
      <c r="I1218" s="144">
        <v>1</v>
      </c>
      <c r="J1218" s="145">
        <f t="shared" si="136"/>
        <v>41552</v>
      </c>
      <c r="K1218" s="144">
        <f t="shared" ca="1" si="142"/>
        <v>0.90274405944236014</v>
      </c>
      <c r="L1218" s="144">
        <f t="shared" ca="1" si="142"/>
        <v>0.62304127124255138</v>
      </c>
      <c r="M1218" s="144">
        <f t="shared" ca="1" si="142"/>
        <v>97.130876186272346</v>
      </c>
      <c r="N1218" s="144">
        <f t="shared" ca="1" si="142"/>
        <v>5.9696167144853964</v>
      </c>
      <c r="O1218" s="144">
        <f t="shared" ca="1" si="142"/>
        <v>32.172220996100933</v>
      </c>
      <c r="P1218" s="144">
        <f t="shared" ca="1" si="142"/>
        <v>1</v>
      </c>
      <c r="Q1218" s="144">
        <f t="shared" ca="1" si="142"/>
        <v>0.73567277275068055</v>
      </c>
    </row>
    <row r="1219" spans="1:17" x14ac:dyDescent="0.25">
      <c r="A1219" s="145">
        <v>41551</v>
      </c>
      <c r="B1219" s="144">
        <v>1.3593</v>
      </c>
      <c r="C1219" s="144">
        <v>43.731699999999996</v>
      </c>
      <c r="D1219" s="144">
        <v>8.1144999999999996</v>
      </c>
      <c r="E1219" s="144">
        <v>132.03</v>
      </c>
      <c r="F1219" s="144">
        <v>0.84689999999999999</v>
      </c>
      <c r="G1219" s="144">
        <v>1.2271000000000001</v>
      </c>
      <c r="I1219" s="144">
        <v>1</v>
      </c>
      <c r="J1219" s="145">
        <f t="shared" si="136"/>
        <v>41551</v>
      </c>
      <c r="K1219" s="144">
        <f t="shared" ca="1" si="142"/>
        <v>0.90274405944236014</v>
      </c>
      <c r="L1219" s="144">
        <f t="shared" ca="1" si="142"/>
        <v>0.62304127124255138</v>
      </c>
      <c r="M1219" s="144">
        <f t="shared" ca="1" si="142"/>
        <v>97.130876186272346</v>
      </c>
      <c r="N1219" s="144">
        <f t="shared" ca="1" si="142"/>
        <v>5.9696167144853964</v>
      </c>
      <c r="O1219" s="144">
        <f t="shared" ca="1" si="142"/>
        <v>32.172220996100933</v>
      </c>
      <c r="P1219" s="144">
        <f t="shared" ca="1" si="142"/>
        <v>1</v>
      </c>
      <c r="Q1219" s="144">
        <f t="shared" ca="1" si="142"/>
        <v>0.73567277275068055</v>
      </c>
    </row>
    <row r="1220" spans="1:17" x14ac:dyDescent="0.25">
      <c r="A1220" s="145">
        <v>41550</v>
      </c>
      <c r="B1220" s="144">
        <v>1.3593999999999999</v>
      </c>
      <c r="C1220" s="144">
        <v>43.691499999999998</v>
      </c>
      <c r="D1220" s="144">
        <v>8.109</v>
      </c>
      <c r="E1220" s="144">
        <v>132.81</v>
      </c>
      <c r="F1220" s="144">
        <v>0.83940000000000003</v>
      </c>
      <c r="G1220" s="144">
        <v>1.2276</v>
      </c>
      <c r="I1220" s="144">
        <v>1</v>
      </c>
      <c r="J1220" s="145">
        <f t="shared" si="136"/>
        <v>41550</v>
      </c>
      <c r="K1220" s="144">
        <f t="shared" ca="1" si="142"/>
        <v>0.90304546123289697</v>
      </c>
      <c r="L1220" s="144">
        <f t="shared" ca="1" si="142"/>
        <v>0.61747829924966902</v>
      </c>
      <c r="M1220" s="144">
        <f t="shared" ca="1" si="142"/>
        <v>97.69751360894513</v>
      </c>
      <c r="N1220" s="144">
        <f t="shared" ca="1" si="142"/>
        <v>5.9651316757392969</v>
      </c>
      <c r="O1220" s="144">
        <f t="shared" ca="1" si="142"/>
        <v>32.14028247756363</v>
      </c>
      <c r="P1220" s="144">
        <f t="shared" ca="1" si="142"/>
        <v>1</v>
      </c>
      <c r="Q1220" s="144">
        <f t="shared" ca="1" si="142"/>
        <v>0.7356186552890982</v>
      </c>
    </row>
    <row r="1221" spans="1:17" x14ac:dyDescent="0.25">
      <c r="A1221" s="145">
        <v>41549</v>
      </c>
      <c r="B1221" s="144">
        <v>1.3514999999999999</v>
      </c>
      <c r="C1221" s="144">
        <v>43.631799999999998</v>
      </c>
      <c r="D1221" s="144">
        <v>8.1319999999999997</v>
      </c>
      <c r="E1221" s="144">
        <v>131.76</v>
      </c>
      <c r="F1221" s="144">
        <v>0.83409999999999995</v>
      </c>
      <c r="G1221" s="144">
        <v>1.2241</v>
      </c>
      <c r="I1221" s="144">
        <v>1</v>
      </c>
      <c r="J1221" s="145">
        <f t="shared" ref="J1221:J1284" si="143">A1221</f>
        <v>41549</v>
      </c>
      <c r="K1221" s="144">
        <f t="shared" ca="1" si="142"/>
        <v>0.90573436921938588</v>
      </c>
      <c r="L1221" s="144">
        <f t="shared" ca="1" si="142"/>
        <v>0.61716611172770997</v>
      </c>
      <c r="M1221" s="144">
        <f t="shared" ca="1" si="142"/>
        <v>97.491675915649282</v>
      </c>
      <c r="N1221" s="144">
        <f t="shared" ca="1" si="142"/>
        <v>6.0170181280059198</v>
      </c>
      <c r="O1221" s="144">
        <f t="shared" ca="1" si="142"/>
        <v>32.283980762116165</v>
      </c>
      <c r="P1221" s="144">
        <f t="shared" ca="1" si="142"/>
        <v>1</v>
      </c>
      <c r="Q1221" s="144">
        <f t="shared" ca="1" si="142"/>
        <v>0.7399186089530152</v>
      </c>
    </row>
    <row r="1222" spans="1:17" x14ac:dyDescent="0.25">
      <c r="A1222" s="145">
        <v>41548</v>
      </c>
      <c r="B1222" s="144">
        <v>1.3553999999999999</v>
      </c>
      <c r="C1222" s="144">
        <v>43.654000000000003</v>
      </c>
      <c r="D1222" s="144">
        <v>8.1310000000000002</v>
      </c>
      <c r="E1222" s="144">
        <v>132.6</v>
      </c>
      <c r="F1222" s="144">
        <v>0.83450000000000002</v>
      </c>
      <c r="G1222" s="144">
        <v>1.2253000000000001</v>
      </c>
      <c r="I1222" s="144">
        <v>1</v>
      </c>
      <c r="J1222" s="145">
        <f t="shared" si="143"/>
        <v>41548</v>
      </c>
      <c r="K1222" s="144">
        <f t="shared" ca="1" si="142"/>
        <v>0.9040135753283165</v>
      </c>
      <c r="L1222" s="144">
        <f t="shared" ca="1" si="142"/>
        <v>0.61568540652205994</v>
      </c>
      <c r="M1222" s="144">
        <f t="shared" ca="1" si="142"/>
        <v>97.830898627711377</v>
      </c>
      <c r="N1222" s="144">
        <f t="shared" ca="1" si="142"/>
        <v>5.998967094584625</v>
      </c>
      <c r="O1222" s="144">
        <f t="shared" ca="1" si="142"/>
        <v>32.207466430574001</v>
      </c>
      <c r="P1222" s="144">
        <f t="shared" ca="1" si="142"/>
        <v>1</v>
      </c>
      <c r="Q1222" s="144">
        <f t="shared" ca="1" si="142"/>
        <v>0.73778958241109638</v>
      </c>
    </row>
    <row r="1223" spans="1:17" x14ac:dyDescent="0.25">
      <c r="A1223" s="145">
        <v>41547</v>
      </c>
      <c r="B1223" s="144">
        <v>1.3505</v>
      </c>
      <c r="C1223" s="144">
        <v>43.823999999999998</v>
      </c>
      <c r="D1223" s="144">
        <v>8.1140000000000008</v>
      </c>
      <c r="E1223" s="144">
        <v>131.78</v>
      </c>
      <c r="F1223" s="144">
        <v>0.83604999999999996</v>
      </c>
      <c r="G1223" s="144">
        <v>1.2224999999999999</v>
      </c>
      <c r="I1223" s="144">
        <v>1</v>
      </c>
      <c r="J1223" s="145">
        <f t="shared" si="143"/>
        <v>41547</v>
      </c>
      <c r="K1223" s="144">
        <f t="shared" ca="1" si="142"/>
        <v>0.9052202887819325</v>
      </c>
      <c r="L1223" s="144">
        <f t="shared" ca="1" si="142"/>
        <v>0.61906701221769711</v>
      </c>
      <c r="M1223" s="144">
        <f t="shared" ca="1" si="142"/>
        <v>97.578674564975927</v>
      </c>
      <c r="N1223" s="144">
        <f t="shared" ca="1" si="142"/>
        <v>6.0081451314328032</v>
      </c>
      <c r="O1223" s="144">
        <f t="shared" ca="1" si="142"/>
        <v>32.45020362828582</v>
      </c>
      <c r="P1223" s="144">
        <f t="shared" ca="1" si="142"/>
        <v>1</v>
      </c>
      <c r="Q1223" s="144">
        <f t="shared" ca="1" si="142"/>
        <v>0.74046649389115138</v>
      </c>
    </row>
    <row r="1224" spans="1:17" x14ac:dyDescent="0.25">
      <c r="A1224" s="145">
        <v>41546</v>
      </c>
      <c r="B1224" s="144">
        <v>1.3536999999999999</v>
      </c>
      <c r="C1224" s="144">
        <v>43.874000000000002</v>
      </c>
      <c r="D1224" s="144">
        <v>8.1029999999999998</v>
      </c>
      <c r="E1224" s="144">
        <v>133.28</v>
      </c>
      <c r="F1224" s="144">
        <v>0.84</v>
      </c>
      <c r="G1224" s="144">
        <v>1.2248000000000001</v>
      </c>
      <c r="I1224" s="144">
        <v>1</v>
      </c>
      <c r="J1224" s="145">
        <f t="shared" si="143"/>
        <v>41546</v>
      </c>
      <c r="K1224" s="144">
        <f t="shared" ca="1" si="142"/>
        <v>0.90477949324074769</v>
      </c>
      <c r="L1224" s="144">
        <f t="shared" ca="1" si="142"/>
        <v>0.62052153357464723</v>
      </c>
      <c r="M1224" s="144">
        <f t="shared" ca="1" si="142"/>
        <v>98.456083327177367</v>
      </c>
      <c r="N1224" s="144">
        <f t="shared" ca="1" si="142"/>
        <v>5.9858166506611514</v>
      </c>
      <c r="O1224" s="144">
        <f t="shared" ca="1" si="142"/>
        <v>32.410430671492946</v>
      </c>
      <c r="P1224" s="144">
        <f t="shared" ca="1" si="142"/>
        <v>1</v>
      </c>
      <c r="Q1224" s="144">
        <f t="shared" ca="1" si="142"/>
        <v>0.73871611139838966</v>
      </c>
    </row>
    <row r="1225" spans="1:17" x14ac:dyDescent="0.25">
      <c r="A1225" s="145">
        <v>41545</v>
      </c>
      <c r="B1225" s="144">
        <v>1.3536999999999999</v>
      </c>
      <c r="C1225" s="144">
        <v>43.874000000000002</v>
      </c>
      <c r="D1225" s="144">
        <v>8.1029999999999998</v>
      </c>
      <c r="E1225" s="144">
        <v>133.28</v>
      </c>
      <c r="F1225" s="144">
        <v>0.84</v>
      </c>
      <c r="G1225" s="144">
        <v>1.2248000000000001</v>
      </c>
      <c r="I1225" s="144">
        <v>1</v>
      </c>
      <c r="J1225" s="145">
        <f t="shared" si="143"/>
        <v>41545</v>
      </c>
      <c r="K1225" s="144">
        <f t="shared" ref="K1225:Q1234" ca="1" si="144">OFFSET($A1225,0,K$3)/OFFSET($A1225,0,$P$3)</f>
        <v>0.90477949324074769</v>
      </c>
      <c r="L1225" s="144">
        <f t="shared" ca="1" si="144"/>
        <v>0.62052153357464723</v>
      </c>
      <c r="M1225" s="144">
        <f t="shared" ca="1" si="144"/>
        <v>98.456083327177367</v>
      </c>
      <c r="N1225" s="144">
        <f t="shared" ca="1" si="144"/>
        <v>5.9858166506611514</v>
      </c>
      <c r="O1225" s="144">
        <f t="shared" ca="1" si="144"/>
        <v>32.410430671492946</v>
      </c>
      <c r="P1225" s="144">
        <f t="shared" ca="1" si="144"/>
        <v>1</v>
      </c>
      <c r="Q1225" s="144">
        <f t="shared" ca="1" si="144"/>
        <v>0.73871611139838966</v>
      </c>
    </row>
    <row r="1226" spans="1:17" x14ac:dyDescent="0.25">
      <c r="A1226" s="145">
        <v>41544</v>
      </c>
      <c r="B1226" s="144">
        <v>1.3536999999999999</v>
      </c>
      <c r="C1226" s="144">
        <v>43.874000000000002</v>
      </c>
      <c r="D1226" s="144">
        <v>8.1029999999999998</v>
      </c>
      <c r="E1226" s="144">
        <v>133.28</v>
      </c>
      <c r="F1226" s="144">
        <v>0.84</v>
      </c>
      <c r="G1226" s="144">
        <v>1.2248000000000001</v>
      </c>
      <c r="I1226" s="144">
        <v>1</v>
      </c>
      <c r="J1226" s="145">
        <f t="shared" si="143"/>
        <v>41544</v>
      </c>
      <c r="K1226" s="144">
        <f t="shared" ca="1" si="144"/>
        <v>0.90477949324074769</v>
      </c>
      <c r="L1226" s="144">
        <f t="shared" ca="1" si="144"/>
        <v>0.62052153357464723</v>
      </c>
      <c r="M1226" s="144">
        <f t="shared" ca="1" si="144"/>
        <v>98.456083327177367</v>
      </c>
      <c r="N1226" s="144">
        <f t="shared" ca="1" si="144"/>
        <v>5.9858166506611514</v>
      </c>
      <c r="O1226" s="144">
        <f t="shared" ca="1" si="144"/>
        <v>32.410430671492946</v>
      </c>
      <c r="P1226" s="144">
        <f t="shared" ca="1" si="144"/>
        <v>1</v>
      </c>
      <c r="Q1226" s="144">
        <f t="shared" ca="1" si="144"/>
        <v>0.73871611139838966</v>
      </c>
    </row>
    <row r="1227" spans="1:17" x14ac:dyDescent="0.25">
      <c r="A1227" s="145">
        <v>41543</v>
      </c>
      <c r="B1227" s="144">
        <v>1.3499000000000001</v>
      </c>
      <c r="C1227" s="144">
        <v>43.450200000000002</v>
      </c>
      <c r="D1227" s="144">
        <v>8.0625</v>
      </c>
      <c r="E1227" s="144">
        <v>133.41</v>
      </c>
      <c r="F1227" s="144">
        <v>0.84179999999999999</v>
      </c>
      <c r="G1227" s="144">
        <v>1.2287999999999999</v>
      </c>
      <c r="I1227" s="144">
        <v>1</v>
      </c>
      <c r="J1227" s="145">
        <f t="shared" si="143"/>
        <v>41543</v>
      </c>
      <c r="K1227" s="144">
        <f t="shared" ca="1" si="144"/>
        <v>0.91028965108526538</v>
      </c>
      <c r="L1227" s="144">
        <f t="shared" ca="1" si="144"/>
        <v>0.62360174827765014</v>
      </c>
      <c r="M1227" s="144">
        <f t="shared" ca="1" si="144"/>
        <v>98.829542929105855</v>
      </c>
      <c r="N1227" s="144">
        <f t="shared" ca="1" si="144"/>
        <v>5.97266464182532</v>
      </c>
      <c r="O1227" s="144">
        <f t="shared" ca="1" si="144"/>
        <v>32.187717608711758</v>
      </c>
      <c r="P1227" s="144">
        <f t="shared" ca="1" si="144"/>
        <v>1</v>
      </c>
      <c r="Q1227" s="144">
        <f t="shared" ca="1" si="144"/>
        <v>0.74079561448996212</v>
      </c>
    </row>
    <row r="1228" spans="1:17" x14ac:dyDescent="0.25">
      <c r="A1228" s="145">
        <v>41542</v>
      </c>
      <c r="B1228" s="144">
        <v>1.3504</v>
      </c>
      <c r="C1228" s="144">
        <v>43.262500000000003</v>
      </c>
      <c r="D1228" s="144">
        <v>8.1329999999999991</v>
      </c>
      <c r="E1228" s="144">
        <v>133.13999999999999</v>
      </c>
      <c r="F1228" s="144">
        <v>0.84165000000000001</v>
      </c>
      <c r="G1228" s="144">
        <v>1.2303999999999999</v>
      </c>
      <c r="I1228" s="144">
        <v>1</v>
      </c>
      <c r="J1228" s="145">
        <f t="shared" si="143"/>
        <v>41542</v>
      </c>
      <c r="K1228" s="144">
        <f t="shared" ca="1" si="144"/>
        <v>0.91113744075829373</v>
      </c>
      <c r="L1228" s="144">
        <f t="shared" ca="1" si="144"/>
        <v>0.62325977488151663</v>
      </c>
      <c r="M1228" s="144">
        <f t="shared" ca="1" si="144"/>
        <v>98.593009478672968</v>
      </c>
      <c r="N1228" s="144">
        <f t="shared" ca="1" si="144"/>
        <v>6.0226599526066344</v>
      </c>
      <c r="O1228" s="144">
        <f t="shared" ca="1" si="144"/>
        <v>32.03680390995261</v>
      </c>
      <c r="P1228" s="144">
        <f t="shared" ca="1" si="144"/>
        <v>1</v>
      </c>
      <c r="Q1228" s="144">
        <f t="shared" ca="1" si="144"/>
        <v>0.74052132701421802</v>
      </c>
    </row>
    <row r="1229" spans="1:17" x14ac:dyDescent="0.25">
      <c r="A1229" s="145">
        <v>41541</v>
      </c>
      <c r="B1229" s="144">
        <v>1.3472999999999999</v>
      </c>
      <c r="C1229" s="144">
        <v>43.009799999999998</v>
      </c>
      <c r="D1229" s="144">
        <v>8.02</v>
      </c>
      <c r="E1229" s="144">
        <v>132.91999999999999</v>
      </c>
      <c r="F1229" s="144">
        <v>0.84431</v>
      </c>
      <c r="G1229" s="144">
        <v>1.2295</v>
      </c>
      <c r="I1229" s="144">
        <v>1</v>
      </c>
      <c r="J1229" s="145">
        <f t="shared" si="143"/>
        <v>41541</v>
      </c>
      <c r="K1229" s="144">
        <f t="shared" ca="1" si="144"/>
        <v>0.91256587248571219</v>
      </c>
      <c r="L1229" s="144">
        <f t="shared" ca="1" si="144"/>
        <v>0.62666815111704899</v>
      </c>
      <c r="M1229" s="144">
        <f t="shared" ca="1" si="144"/>
        <v>98.65657240406739</v>
      </c>
      <c r="N1229" s="144">
        <f t="shared" ca="1" si="144"/>
        <v>5.9526460328063537</v>
      </c>
      <c r="O1229" s="144">
        <f t="shared" ca="1" si="144"/>
        <v>31.922957025161434</v>
      </c>
      <c r="P1229" s="144">
        <f t="shared" ca="1" si="144"/>
        <v>1</v>
      </c>
      <c r="Q1229" s="144">
        <f t="shared" ca="1" si="144"/>
        <v>0.74222519112298679</v>
      </c>
    </row>
    <row r="1230" spans="1:17" x14ac:dyDescent="0.25">
      <c r="A1230" s="145">
        <v>41540</v>
      </c>
      <c r="B1230" s="144">
        <v>1.3508</v>
      </c>
      <c r="C1230" s="144">
        <v>43.02</v>
      </c>
      <c r="D1230" s="144">
        <v>7.9710000000000001</v>
      </c>
      <c r="E1230" s="144">
        <v>133.59</v>
      </c>
      <c r="F1230" s="144">
        <v>0.84114999999999995</v>
      </c>
      <c r="G1230" s="144">
        <v>1.2323</v>
      </c>
      <c r="I1230" s="144">
        <v>1</v>
      </c>
      <c r="J1230" s="145">
        <f t="shared" si="143"/>
        <v>41540</v>
      </c>
      <c r="K1230" s="144">
        <f t="shared" ca="1" si="144"/>
        <v>0.91227420787681368</v>
      </c>
      <c r="L1230" s="144">
        <f t="shared" ca="1" si="144"/>
        <v>0.62270506366597567</v>
      </c>
      <c r="M1230" s="144">
        <f t="shared" ca="1" si="144"/>
        <v>98.896949955581874</v>
      </c>
      <c r="N1230" s="144">
        <f t="shared" ca="1" si="144"/>
        <v>5.9009475866153389</v>
      </c>
      <c r="O1230" s="144">
        <f t="shared" ca="1" si="144"/>
        <v>31.847793899911167</v>
      </c>
      <c r="P1230" s="144">
        <f t="shared" ca="1" si="144"/>
        <v>1</v>
      </c>
      <c r="Q1230" s="144">
        <f t="shared" ca="1" si="144"/>
        <v>0.74030204323363935</v>
      </c>
    </row>
    <row r="1231" spans="1:17" x14ac:dyDescent="0.25">
      <c r="A1231" s="145">
        <v>41539</v>
      </c>
      <c r="B1231" s="144">
        <v>1.3513999999999999</v>
      </c>
      <c r="C1231" s="144">
        <v>43.113999999999997</v>
      </c>
      <c r="D1231" s="144">
        <v>8.0065000000000008</v>
      </c>
      <c r="E1231" s="144">
        <v>134.57</v>
      </c>
      <c r="F1231" s="144">
        <v>0.84360000000000002</v>
      </c>
      <c r="G1231" s="144">
        <v>1.2330000000000001</v>
      </c>
      <c r="I1231" s="144">
        <v>1</v>
      </c>
      <c r="J1231" s="145">
        <f t="shared" si="143"/>
        <v>41539</v>
      </c>
      <c r="K1231" s="144">
        <f t="shared" ca="1" si="144"/>
        <v>0.91238715406245385</v>
      </c>
      <c r="L1231" s="144">
        <f t="shared" ca="1" si="144"/>
        <v>0.62424152730501703</v>
      </c>
      <c r="M1231" s="144">
        <f t="shared" ca="1" si="144"/>
        <v>99.578215184253366</v>
      </c>
      <c r="N1231" s="144">
        <f t="shared" ca="1" si="144"/>
        <v>5.9245967145182785</v>
      </c>
      <c r="O1231" s="144">
        <f t="shared" ca="1" si="144"/>
        <v>31.90321148438656</v>
      </c>
      <c r="P1231" s="144">
        <f t="shared" ca="1" si="144"/>
        <v>1</v>
      </c>
      <c r="Q1231" s="144">
        <f t="shared" ca="1" si="144"/>
        <v>0.73997336095900557</v>
      </c>
    </row>
    <row r="1232" spans="1:17" x14ac:dyDescent="0.25">
      <c r="A1232" s="145">
        <v>41538</v>
      </c>
      <c r="B1232" s="144">
        <v>1.3513999999999999</v>
      </c>
      <c r="C1232" s="144">
        <v>43.113999999999997</v>
      </c>
      <c r="D1232" s="144">
        <v>8.0065000000000008</v>
      </c>
      <c r="E1232" s="144">
        <v>134.57</v>
      </c>
      <c r="F1232" s="144">
        <v>0.84360000000000002</v>
      </c>
      <c r="G1232" s="144">
        <v>1.2330000000000001</v>
      </c>
      <c r="I1232" s="144">
        <v>1</v>
      </c>
      <c r="J1232" s="145">
        <f t="shared" si="143"/>
        <v>41538</v>
      </c>
      <c r="K1232" s="144">
        <f t="shared" ca="1" si="144"/>
        <v>0.91238715406245385</v>
      </c>
      <c r="L1232" s="144">
        <f t="shared" ca="1" si="144"/>
        <v>0.62424152730501703</v>
      </c>
      <c r="M1232" s="144">
        <f t="shared" ca="1" si="144"/>
        <v>99.578215184253366</v>
      </c>
      <c r="N1232" s="144">
        <f t="shared" ca="1" si="144"/>
        <v>5.9245967145182785</v>
      </c>
      <c r="O1232" s="144">
        <f t="shared" ca="1" si="144"/>
        <v>31.90321148438656</v>
      </c>
      <c r="P1232" s="144">
        <f t="shared" ca="1" si="144"/>
        <v>1</v>
      </c>
      <c r="Q1232" s="144">
        <f t="shared" ca="1" si="144"/>
        <v>0.73997336095900557</v>
      </c>
    </row>
    <row r="1233" spans="1:17" x14ac:dyDescent="0.25">
      <c r="A1233" s="145">
        <v>41537</v>
      </c>
      <c r="B1233" s="144">
        <v>1.3513999999999999</v>
      </c>
      <c r="C1233" s="144">
        <v>43.113999999999997</v>
      </c>
      <c r="D1233" s="144">
        <v>8.0065000000000008</v>
      </c>
      <c r="E1233" s="144">
        <v>134.57</v>
      </c>
      <c r="F1233" s="144">
        <v>0.84360000000000002</v>
      </c>
      <c r="G1233" s="144">
        <v>1.2330000000000001</v>
      </c>
      <c r="I1233" s="144">
        <v>1</v>
      </c>
      <c r="J1233" s="145">
        <f t="shared" si="143"/>
        <v>41537</v>
      </c>
      <c r="K1233" s="144">
        <f t="shared" ca="1" si="144"/>
        <v>0.91238715406245385</v>
      </c>
      <c r="L1233" s="144">
        <f t="shared" ca="1" si="144"/>
        <v>0.62424152730501703</v>
      </c>
      <c r="M1233" s="144">
        <f t="shared" ca="1" si="144"/>
        <v>99.578215184253366</v>
      </c>
      <c r="N1233" s="144">
        <f t="shared" ca="1" si="144"/>
        <v>5.9245967145182785</v>
      </c>
      <c r="O1233" s="144">
        <f t="shared" ca="1" si="144"/>
        <v>31.90321148438656</v>
      </c>
      <c r="P1233" s="144">
        <f t="shared" ca="1" si="144"/>
        <v>1</v>
      </c>
      <c r="Q1233" s="144">
        <f t="shared" ca="1" si="144"/>
        <v>0.73997336095900557</v>
      </c>
    </row>
    <row r="1234" spans="1:17" x14ac:dyDescent="0.25">
      <c r="A1234" s="145">
        <v>41536</v>
      </c>
      <c r="B1234" s="144">
        <v>1.3545</v>
      </c>
      <c r="C1234" s="144">
        <v>42.84</v>
      </c>
      <c r="D1234" s="144">
        <v>7.8419999999999996</v>
      </c>
      <c r="E1234" s="144">
        <v>134.09</v>
      </c>
      <c r="F1234" s="144">
        <v>0.84199999999999997</v>
      </c>
      <c r="G1234" s="144">
        <v>1.2333000000000001</v>
      </c>
      <c r="I1234" s="144">
        <v>1</v>
      </c>
      <c r="J1234" s="145">
        <f t="shared" si="143"/>
        <v>41536</v>
      </c>
      <c r="K1234" s="144">
        <f t="shared" ca="1" si="144"/>
        <v>0.91052048726467338</v>
      </c>
      <c r="L1234" s="144">
        <f t="shared" ca="1" si="144"/>
        <v>0.62163159837578441</v>
      </c>
      <c r="M1234" s="144">
        <f t="shared" ca="1" si="144"/>
        <v>98.995939461055741</v>
      </c>
      <c r="N1234" s="144">
        <f t="shared" ca="1" si="144"/>
        <v>5.7895902547065337</v>
      </c>
      <c r="O1234" s="144">
        <f t="shared" ca="1" si="144"/>
        <v>31.627906976744189</v>
      </c>
      <c r="P1234" s="144">
        <f t="shared" ca="1" si="144"/>
        <v>1</v>
      </c>
      <c r="Q1234" s="144">
        <f t="shared" ca="1" si="144"/>
        <v>0.73827980804724991</v>
      </c>
    </row>
    <row r="1235" spans="1:17" x14ac:dyDescent="0.25">
      <c r="A1235" s="145">
        <v>41535</v>
      </c>
      <c r="B1235" s="144">
        <v>1.3351999999999999</v>
      </c>
      <c r="C1235" s="144">
        <v>43.137999999999998</v>
      </c>
      <c r="D1235" s="144">
        <v>7.8914999999999997</v>
      </c>
      <c r="E1235" s="144">
        <v>132.18</v>
      </c>
      <c r="F1235" s="144">
        <v>0.83579999999999999</v>
      </c>
      <c r="G1235" s="144">
        <v>1.2370000000000001</v>
      </c>
      <c r="I1235" s="144">
        <v>1</v>
      </c>
      <c r="J1235" s="145">
        <f t="shared" si="143"/>
        <v>41535</v>
      </c>
      <c r="K1235" s="144">
        <f t="shared" ref="K1235:Q1244" ca="1" si="145">OFFSET($A1235,0,K$3)/OFFSET($A1235,0,$P$3)</f>
        <v>0.92645296584781323</v>
      </c>
      <c r="L1235" s="144">
        <f t="shared" ca="1" si="145"/>
        <v>0.62597363690832841</v>
      </c>
      <c r="M1235" s="144">
        <f t="shared" ca="1" si="145"/>
        <v>98.996405032953874</v>
      </c>
      <c r="N1235" s="144">
        <f t="shared" ca="1" si="145"/>
        <v>5.9103505092869986</v>
      </c>
      <c r="O1235" s="144">
        <f t="shared" ca="1" si="145"/>
        <v>32.308268424206112</v>
      </c>
      <c r="P1235" s="144">
        <f t="shared" ca="1" si="145"/>
        <v>1</v>
      </c>
      <c r="Q1235" s="144">
        <f t="shared" ca="1" si="145"/>
        <v>0.74895146794487721</v>
      </c>
    </row>
    <row r="1236" spans="1:17" x14ac:dyDescent="0.25">
      <c r="A1236" s="145">
        <v>41534</v>
      </c>
      <c r="B1236" s="144">
        <v>1.3355999999999999</v>
      </c>
      <c r="C1236" s="144">
        <v>43.15</v>
      </c>
      <c r="D1236" s="144">
        <v>7.8654999999999999</v>
      </c>
      <c r="E1236" s="144">
        <v>132.44</v>
      </c>
      <c r="F1236" s="144">
        <v>0.8397</v>
      </c>
      <c r="G1236" s="144">
        <v>1.2375</v>
      </c>
      <c r="I1236" s="144">
        <v>1</v>
      </c>
      <c r="J1236" s="145">
        <f t="shared" si="143"/>
        <v>41534</v>
      </c>
      <c r="K1236" s="144">
        <f t="shared" ca="1" si="145"/>
        <v>0.92654986522911065</v>
      </c>
      <c r="L1236" s="144">
        <f t="shared" ca="1" si="145"/>
        <v>0.62870619946091644</v>
      </c>
      <c r="M1236" s="144">
        <f t="shared" ca="1" si="145"/>
        <v>99.161425576519918</v>
      </c>
      <c r="N1236" s="144">
        <f t="shared" ca="1" si="145"/>
        <v>5.8891135070380356</v>
      </c>
      <c r="O1236" s="144">
        <f t="shared" ca="1" si="145"/>
        <v>32.307577118897875</v>
      </c>
      <c r="P1236" s="144">
        <f t="shared" ca="1" si="145"/>
        <v>1</v>
      </c>
      <c r="Q1236" s="144">
        <f t="shared" ca="1" si="145"/>
        <v>0.74872716382150351</v>
      </c>
    </row>
    <row r="1237" spans="1:17" x14ac:dyDescent="0.25">
      <c r="A1237" s="145">
        <v>41533</v>
      </c>
      <c r="B1237" s="144">
        <v>1.3357000000000001</v>
      </c>
      <c r="C1237" s="144">
        <v>43.0625</v>
      </c>
      <c r="D1237" s="144">
        <v>7.8920000000000003</v>
      </c>
      <c r="E1237" s="144">
        <v>132.05000000000001</v>
      </c>
      <c r="F1237" s="144">
        <v>0.83850000000000002</v>
      </c>
      <c r="G1237" s="144">
        <v>1.2374000000000001</v>
      </c>
      <c r="I1237" s="144">
        <v>1</v>
      </c>
      <c r="J1237" s="145">
        <f t="shared" si="143"/>
        <v>41533</v>
      </c>
      <c r="K1237" s="144">
        <f t="shared" ca="1" si="145"/>
        <v>0.92640563000673803</v>
      </c>
      <c r="L1237" s="144">
        <f t="shared" ca="1" si="145"/>
        <v>0.62776072471363331</v>
      </c>
      <c r="M1237" s="144">
        <f t="shared" ca="1" si="145"/>
        <v>98.862019914651498</v>
      </c>
      <c r="N1237" s="144">
        <f t="shared" ca="1" si="145"/>
        <v>5.90851239050685</v>
      </c>
      <c r="O1237" s="144">
        <f t="shared" ca="1" si="145"/>
        <v>32.239649621921089</v>
      </c>
      <c r="P1237" s="144">
        <f t="shared" ca="1" si="145"/>
        <v>1</v>
      </c>
      <c r="Q1237" s="144">
        <f t="shared" ca="1" si="145"/>
        <v>0.74867110878191201</v>
      </c>
    </row>
    <row r="1238" spans="1:17" x14ac:dyDescent="0.25">
      <c r="A1238" s="145">
        <v>41532</v>
      </c>
      <c r="B1238" s="144">
        <v>1.3294999999999999</v>
      </c>
      <c r="C1238" s="144">
        <v>43.344499999999996</v>
      </c>
      <c r="D1238" s="144">
        <v>7.8695000000000004</v>
      </c>
      <c r="E1238" s="144">
        <v>132.43</v>
      </c>
      <c r="F1238" s="144">
        <v>0.83989999999999998</v>
      </c>
      <c r="G1238" s="144">
        <v>1.2376</v>
      </c>
      <c r="I1238" s="144">
        <v>1</v>
      </c>
      <c r="J1238" s="145">
        <f t="shared" si="143"/>
        <v>41532</v>
      </c>
      <c r="K1238" s="144">
        <f t="shared" ca="1" si="145"/>
        <v>0.93087626927416334</v>
      </c>
      <c r="L1238" s="144">
        <f t="shared" ca="1" si="145"/>
        <v>0.63174125611132004</v>
      </c>
      <c r="M1238" s="144">
        <f t="shared" ca="1" si="145"/>
        <v>99.608875517111713</v>
      </c>
      <c r="N1238" s="144">
        <f t="shared" ca="1" si="145"/>
        <v>5.9191425347875146</v>
      </c>
      <c r="O1238" s="144">
        <f t="shared" ca="1" si="145"/>
        <v>32.602106054907857</v>
      </c>
      <c r="P1238" s="144">
        <f t="shared" ca="1" si="145"/>
        <v>1</v>
      </c>
      <c r="Q1238" s="144">
        <f t="shared" ca="1" si="145"/>
        <v>0.75216246709289214</v>
      </c>
    </row>
    <row r="1239" spans="1:17" x14ac:dyDescent="0.25">
      <c r="A1239" s="145">
        <v>41531</v>
      </c>
      <c r="B1239" s="144">
        <v>1.3294999999999999</v>
      </c>
      <c r="C1239" s="144">
        <v>43.344499999999996</v>
      </c>
      <c r="D1239" s="144">
        <v>7.8695000000000004</v>
      </c>
      <c r="E1239" s="144">
        <v>132.43</v>
      </c>
      <c r="F1239" s="144">
        <v>0.83989999999999998</v>
      </c>
      <c r="G1239" s="144">
        <v>1.2376</v>
      </c>
      <c r="I1239" s="144">
        <v>1</v>
      </c>
      <c r="J1239" s="145">
        <f t="shared" si="143"/>
        <v>41531</v>
      </c>
      <c r="K1239" s="144">
        <f t="shared" ca="1" si="145"/>
        <v>0.93087626927416334</v>
      </c>
      <c r="L1239" s="144">
        <f t="shared" ca="1" si="145"/>
        <v>0.63174125611132004</v>
      </c>
      <c r="M1239" s="144">
        <f t="shared" ca="1" si="145"/>
        <v>99.608875517111713</v>
      </c>
      <c r="N1239" s="144">
        <f t="shared" ca="1" si="145"/>
        <v>5.9191425347875146</v>
      </c>
      <c r="O1239" s="144">
        <f t="shared" ca="1" si="145"/>
        <v>32.602106054907857</v>
      </c>
      <c r="P1239" s="144">
        <f t="shared" ca="1" si="145"/>
        <v>1</v>
      </c>
      <c r="Q1239" s="144">
        <f t="shared" ca="1" si="145"/>
        <v>0.75216246709289214</v>
      </c>
    </row>
    <row r="1240" spans="1:17" x14ac:dyDescent="0.25">
      <c r="A1240" s="145">
        <v>41530</v>
      </c>
      <c r="B1240" s="144">
        <v>1.3294999999999999</v>
      </c>
      <c r="C1240" s="144">
        <v>43.344499999999996</v>
      </c>
      <c r="D1240" s="144">
        <v>7.8695000000000004</v>
      </c>
      <c r="E1240" s="144">
        <v>132.43</v>
      </c>
      <c r="F1240" s="144">
        <v>0.83989999999999998</v>
      </c>
      <c r="G1240" s="144">
        <v>1.2376</v>
      </c>
      <c r="I1240" s="144">
        <v>1</v>
      </c>
      <c r="J1240" s="145">
        <f t="shared" si="143"/>
        <v>41530</v>
      </c>
      <c r="K1240" s="144">
        <f t="shared" ca="1" si="145"/>
        <v>0.93087626927416334</v>
      </c>
      <c r="L1240" s="144">
        <f t="shared" ca="1" si="145"/>
        <v>0.63174125611132004</v>
      </c>
      <c r="M1240" s="144">
        <f t="shared" ca="1" si="145"/>
        <v>99.608875517111713</v>
      </c>
      <c r="N1240" s="144">
        <f t="shared" ca="1" si="145"/>
        <v>5.9191425347875146</v>
      </c>
      <c r="O1240" s="144">
        <f t="shared" ca="1" si="145"/>
        <v>32.602106054907857</v>
      </c>
      <c r="P1240" s="144">
        <f t="shared" ca="1" si="145"/>
        <v>1</v>
      </c>
      <c r="Q1240" s="144">
        <f t="shared" ca="1" si="145"/>
        <v>0.75216246709289214</v>
      </c>
    </row>
    <row r="1241" spans="1:17" x14ac:dyDescent="0.25">
      <c r="A1241" s="145">
        <v>41529</v>
      </c>
      <c r="B1241" s="144">
        <v>1.329</v>
      </c>
      <c r="C1241" s="144">
        <v>43.488</v>
      </c>
      <c r="D1241" s="144">
        <v>7.8555000000000001</v>
      </c>
      <c r="E1241" s="144">
        <v>132.18</v>
      </c>
      <c r="F1241" s="144">
        <v>0.84099999999999997</v>
      </c>
      <c r="G1241" s="144">
        <v>1.2367999999999999</v>
      </c>
      <c r="I1241" s="144">
        <v>1</v>
      </c>
      <c r="J1241" s="145">
        <f t="shared" si="143"/>
        <v>41529</v>
      </c>
      <c r="K1241" s="144">
        <f t="shared" ca="1" si="145"/>
        <v>0.93062452972159515</v>
      </c>
      <c r="L1241" s="144">
        <f t="shared" ca="1" si="145"/>
        <v>0.63280662151993983</v>
      </c>
      <c r="M1241" s="144">
        <f t="shared" ca="1" si="145"/>
        <v>99.458239277652382</v>
      </c>
      <c r="N1241" s="144">
        <f t="shared" ca="1" si="145"/>
        <v>5.9108352144469531</v>
      </c>
      <c r="O1241" s="144">
        <f t="shared" ca="1" si="145"/>
        <v>32.722347629796843</v>
      </c>
      <c r="P1241" s="144">
        <f t="shared" ca="1" si="145"/>
        <v>1</v>
      </c>
      <c r="Q1241" s="144">
        <f t="shared" ca="1" si="145"/>
        <v>0.7524454477050414</v>
      </c>
    </row>
    <row r="1242" spans="1:17" x14ac:dyDescent="0.25">
      <c r="A1242" s="145">
        <v>41528</v>
      </c>
      <c r="B1242" s="144">
        <v>1.3268</v>
      </c>
      <c r="C1242" s="144">
        <v>43.537300000000002</v>
      </c>
      <c r="D1242" s="144">
        <v>7.85</v>
      </c>
      <c r="E1242" s="144">
        <v>132.96</v>
      </c>
      <c r="F1242" s="144">
        <v>0.84140000000000004</v>
      </c>
      <c r="G1242" s="144">
        <v>1.2395</v>
      </c>
      <c r="I1242" s="144">
        <v>1</v>
      </c>
      <c r="J1242" s="145">
        <f t="shared" si="143"/>
        <v>41528</v>
      </c>
      <c r="K1242" s="144">
        <f t="shared" ca="1" si="145"/>
        <v>0.93420259270425088</v>
      </c>
      <c r="L1242" s="144">
        <f t="shared" ca="1" si="145"/>
        <v>0.63415737111848058</v>
      </c>
      <c r="M1242" s="144">
        <f t="shared" ca="1" si="145"/>
        <v>100.21103406692795</v>
      </c>
      <c r="N1242" s="144">
        <f t="shared" ca="1" si="145"/>
        <v>5.9164908049442264</v>
      </c>
      <c r="O1242" s="144">
        <f t="shared" ca="1" si="145"/>
        <v>32.813762435936091</v>
      </c>
      <c r="P1242" s="144">
        <f t="shared" ca="1" si="145"/>
        <v>1</v>
      </c>
      <c r="Q1242" s="144">
        <f t="shared" ca="1" si="145"/>
        <v>0.75369309617123903</v>
      </c>
    </row>
    <row r="1243" spans="1:17" x14ac:dyDescent="0.25">
      <c r="A1243" s="145">
        <v>41527</v>
      </c>
      <c r="B1243" s="144">
        <v>1.3240000000000001</v>
      </c>
      <c r="C1243" s="144">
        <v>43.773200000000003</v>
      </c>
      <c r="D1243" s="144">
        <v>7.8609999999999998</v>
      </c>
      <c r="E1243" s="144">
        <v>132.80000000000001</v>
      </c>
      <c r="F1243" s="144">
        <v>0.84379999999999999</v>
      </c>
      <c r="G1243" s="144">
        <v>1.2392000000000001</v>
      </c>
      <c r="I1243" s="144">
        <v>1</v>
      </c>
      <c r="J1243" s="145">
        <f t="shared" si="143"/>
        <v>41527</v>
      </c>
      <c r="K1243" s="144">
        <f t="shared" ca="1" si="145"/>
        <v>0.93595166163141996</v>
      </c>
      <c r="L1243" s="144">
        <f t="shared" ca="1" si="145"/>
        <v>0.63731117824773409</v>
      </c>
      <c r="M1243" s="144">
        <f t="shared" ca="1" si="145"/>
        <v>100.30211480362539</v>
      </c>
      <c r="N1243" s="144">
        <f t="shared" ca="1" si="145"/>
        <v>5.9373111782477332</v>
      </c>
      <c r="O1243" s="144">
        <f t="shared" ca="1" si="145"/>
        <v>33.061329305135949</v>
      </c>
      <c r="P1243" s="144">
        <f t="shared" ca="1" si="145"/>
        <v>1</v>
      </c>
      <c r="Q1243" s="144">
        <f t="shared" ca="1" si="145"/>
        <v>0.75528700906344404</v>
      </c>
    </row>
    <row r="1244" spans="1:17" x14ac:dyDescent="0.25">
      <c r="A1244" s="145">
        <v>41526</v>
      </c>
      <c r="B1244" s="144">
        <v>1.3193999999999999</v>
      </c>
      <c r="C1244" s="144">
        <v>43.904600000000002</v>
      </c>
      <c r="D1244" s="144">
        <v>8.0220000000000002</v>
      </c>
      <c r="E1244" s="144">
        <v>131.30000000000001</v>
      </c>
      <c r="F1244" s="144">
        <v>0.84130000000000005</v>
      </c>
      <c r="G1244" s="144">
        <v>1.2350000000000001</v>
      </c>
      <c r="I1244" s="144">
        <v>1</v>
      </c>
      <c r="J1244" s="145">
        <f t="shared" si="143"/>
        <v>41526</v>
      </c>
      <c r="K1244" s="144">
        <f t="shared" ca="1" si="145"/>
        <v>0.93603152948309853</v>
      </c>
      <c r="L1244" s="144">
        <f t="shared" ca="1" si="145"/>
        <v>0.63763832044868884</v>
      </c>
      <c r="M1244" s="144">
        <f t="shared" ca="1" si="145"/>
        <v>99.514931029255735</v>
      </c>
      <c r="N1244" s="144">
        <f t="shared" ca="1" si="145"/>
        <v>6.0800363801728068</v>
      </c>
      <c r="O1244" s="144">
        <f t="shared" ca="1" si="145"/>
        <v>33.27618614521753</v>
      </c>
      <c r="P1244" s="144">
        <f t="shared" ca="1" si="145"/>
        <v>1</v>
      </c>
      <c r="Q1244" s="144">
        <f t="shared" ca="1" si="145"/>
        <v>0.757920266787934</v>
      </c>
    </row>
    <row r="1245" spans="1:17" x14ac:dyDescent="0.25">
      <c r="A1245" s="145">
        <v>41525</v>
      </c>
      <c r="B1245" s="144">
        <v>1.3117000000000001</v>
      </c>
      <c r="C1245" s="144">
        <v>43.826000000000001</v>
      </c>
      <c r="D1245" s="144">
        <v>8.0020000000000007</v>
      </c>
      <c r="E1245" s="144">
        <v>130.71</v>
      </c>
      <c r="F1245" s="144">
        <v>0.84199999999999997</v>
      </c>
      <c r="G1245" s="144">
        <v>1.2382</v>
      </c>
      <c r="I1245" s="144">
        <v>1</v>
      </c>
      <c r="J1245" s="145">
        <f t="shared" si="143"/>
        <v>41525</v>
      </c>
      <c r="K1245" s="144">
        <f t="shared" ref="K1245:Q1254" ca="1" si="146">OFFSET($A1245,0,K$3)/OFFSET($A1245,0,$P$3)</f>
        <v>0.94396584584889831</v>
      </c>
      <c r="L1245" s="144">
        <f t="shared" ca="1" si="146"/>
        <v>0.6419150720439124</v>
      </c>
      <c r="M1245" s="144">
        <f t="shared" ca="1" si="146"/>
        <v>99.649310055652975</v>
      </c>
      <c r="N1245" s="144">
        <f t="shared" ca="1" si="146"/>
        <v>6.1004802927498663</v>
      </c>
      <c r="O1245" s="144">
        <f t="shared" ca="1" si="146"/>
        <v>33.41160326294122</v>
      </c>
      <c r="P1245" s="144">
        <f t="shared" ca="1" si="146"/>
        <v>1</v>
      </c>
      <c r="Q1245" s="144">
        <f t="shared" ca="1" si="146"/>
        <v>0.76236944423267505</v>
      </c>
    </row>
    <row r="1246" spans="1:17" x14ac:dyDescent="0.25">
      <c r="A1246" s="145">
        <v>41524</v>
      </c>
      <c r="B1246" s="144">
        <v>1.3117000000000001</v>
      </c>
      <c r="C1246" s="144">
        <v>43.826000000000001</v>
      </c>
      <c r="D1246" s="144">
        <v>8.0020000000000007</v>
      </c>
      <c r="E1246" s="144">
        <v>130.71</v>
      </c>
      <c r="F1246" s="144">
        <v>0.84199999999999997</v>
      </c>
      <c r="G1246" s="144">
        <v>1.2382</v>
      </c>
      <c r="I1246" s="144">
        <v>1</v>
      </c>
      <c r="J1246" s="145">
        <f t="shared" si="143"/>
        <v>41524</v>
      </c>
      <c r="K1246" s="144">
        <f t="shared" ca="1" si="146"/>
        <v>0.94396584584889831</v>
      </c>
      <c r="L1246" s="144">
        <f t="shared" ca="1" si="146"/>
        <v>0.6419150720439124</v>
      </c>
      <c r="M1246" s="144">
        <f t="shared" ca="1" si="146"/>
        <v>99.649310055652975</v>
      </c>
      <c r="N1246" s="144">
        <f t="shared" ca="1" si="146"/>
        <v>6.1004802927498663</v>
      </c>
      <c r="O1246" s="144">
        <f t="shared" ca="1" si="146"/>
        <v>33.41160326294122</v>
      </c>
      <c r="P1246" s="144">
        <f t="shared" ca="1" si="146"/>
        <v>1</v>
      </c>
      <c r="Q1246" s="144">
        <f t="shared" ca="1" si="146"/>
        <v>0.76236944423267505</v>
      </c>
    </row>
    <row r="1247" spans="1:17" x14ac:dyDescent="0.25">
      <c r="A1247" s="145">
        <v>41523</v>
      </c>
      <c r="B1247" s="144">
        <v>1.3117000000000001</v>
      </c>
      <c r="C1247" s="144">
        <v>43.826000000000001</v>
      </c>
      <c r="D1247" s="144">
        <v>8.0020000000000007</v>
      </c>
      <c r="E1247" s="144">
        <v>130.71</v>
      </c>
      <c r="F1247" s="144">
        <v>0.84199999999999997</v>
      </c>
      <c r="G1247" s="144">
        <v>1.2382</v>
      </c>
      <c r="I1247" s="144">
        <v>1</v>
      </c>
      <c r="J1247" s="145">
        <f t="shared" si="143"/>
        <v>41523</v>
      </c>
      <c r="K1247" s="144">
        <f t="shared" ca="1" si="146"/>
        <v>0.94396584584889831</v>
      </c>
      <c r="L1247" s="144">
        <f t="shared" ca="1" si="146"/>
        <v>0.6419150720439124</v>
      </c>
      <c r="M1247" s="144">
        <f t="shared" ca="1" si="146"/>
        <v>99.649310055652975</v>
      </c>
      <c r="N1247" s="144">
        <f t="shared" ca="1" si="146"/>
        <v>6.1004802927498663</v>
      </c>
      <c r="O1247" s="144">
        <f t="shared" ca="1" si="146"/>
        <v>33.41160326294122</v>
      </c>
      <c r="P1247" s="144">
        <f t="shared" ca="1" si="146"/>
        <v>1</v>
      </c>
      <c r="Q1247" s="144">
        <f t="shared" ca="1" si="146"/>
        <v>0.76236944423267505</v>
      </c>
    </row>
    <row r="1248" spans="1:17" x14ac:dyDescent="0.25">
      <c r="A1248" s="145">
        <v>41522</v>
      </c>
      <c r="B1248" s="144">
        <v>1.3202</v>
      </c>
      <c r="C1248" s="144">
        <v>44.122500000000002</v>
      </c>
      <c r="D1248" s="144">
        <v>8.048</v>
      </c>
      <c r="E1248" s="144">
        <v>131.63999999999999</v>
      </c>
      <c r="F1248" s="144">
        <v>0.84309999999999996</v>
      </c>
      <c r="G1248" s="144">
        <v>1.2390000000000001</v>
      </c>
      <c r="I1248" s="144">
        <v>1</v>
      </c>
      <c r="J1248" s="145">
        <f t="shared" si="143"/>
        <v>41522</v>
      </c>
      <c r="K1248" s="144">
        <f t="shared" ca="1" si="146"/>
        <v>0.93849416755037118</v>
      </c>
      <c r="L1248" s="144">
        <f t="shared" ca="1" si="146"/>
        <v>0.63861536130889252</v>
      </c>
      <c r="M1248" s="144">
        <f t="shared" ca="1" si="146"/>
        <v>99.712164823511571</v>
      </c>
      <c r="N1248" s="144">
        <f t="shared" ca="1" si="146"/>
        <v>6.0960460536282381</v>
      </c>
      <c r="O1248" s="144">
        <f t="shared" ca="1" si="146"/>
        <v>33.421072564762916</v>
      </c>
      <c r="P1248" s="144">
        <f t="shared" ca="1" si="146"/>
        <v>1</v>
      </c>
      <c r="Q1248" s="144">
        <f t="shared" ca="1" si="146"/>
        <v>0.75746099075897588</v>
      </c>
    </row>
    <row r="1249" spans="1:17" x14ac:dyDescent="0.25">
      <c r="A1249" s="145">
        <v>41521</v>
      </c>
      <c r="B1249" s="144">
        <v>1.3170999999999999</v>
      </c>
      <c r="C1249" s="144">
        <v>44</v>
      </c>
      <c r="D1249" s="144">
        <v>8.0035000000000007</v>
      </c>
      <c r="E1249" s="144">
        <v>131.06</v>
      </c>
      <c r="F1249" s="144">
        <v>0.84379999999999999</v>
      </c>
      <c r="G1249" s="144">
        <v>1.2344999999999999</v>
      </c>
      <c r="I1249" s="144">
        <v>1</v>
      </c>
      <c r="J1249" s="145">
        <f t="shared" si="143"/>
        <v>41521</v>
      </c>
      <c r="K1249" s="144">
        <f t="shared" ca="1" si="146"/>
        <v>0.93728646268316751</v>
      </c>
      <c r="L1249" s="144">
        <f t="shared" ca="1" si="146"/>
        <v>0.64064991268696381</v>
      </c>
      <c r="M1249" s="144">
        <f t="shared" ca="1" si="146"/>
        <v>99.506491534431717</v>
      </c>
      <c r="N1249" s="144">
        <f t="shared" ca="1" si="146"/>
        <v>6.0766076987320634</v>
      </c>
      <c r="O1249" s="144">
        <f t="shared" ca="1" si="146"/>
        <v>33.406726900007591</v>
      </c>
      <c r="P1249" s="144">
        <f t="shared" ca="1" si="146"/>
        <v>1</v>
      </c>
      <c r="Q1249" s="144">
        <f t="shared" ca="1" si="146"/>
        <v>0.75924379318199076</v>
      </c>
    </row>
    <row r="1250" spans="1:17" x14ac:dyDescent="0.25">
      <c r="A1250" s="145">
        <v>41520</v>
      </c>
      <c r="B1250" s="144">
        <v>1.3171999999999999</v>
      </c>
      <c r="C1250" s="144">
        <v>44.086300000000001</v>
      </c>
      <c r="D1250" s="144">
        <v>8.0009999999999994</v>
      </c>
      <c r="E1250" s="144">
        <v>130.97999999999999</v>
      </c>
      <c r="F1250" s="144">
        <v>0.84730000000000005</v>
      </c>
      <c r="G1250" s="144">
        <v>1.2324999999999999</v>
      </c>
      <c r="I1250" s="144">
        <v>1</v>
      </c>
      <c r="J1250" s="145">
        <f t="shared" si="143"/>
        <v>41520</v>
      </c>
      <c r="K1250" s="144">
        <f t="shared" ca="1" si="146"/>
        <v>0.93569693288794409</v>
      </c>
      <c r="L1250" s="144">
        <f t="shared" ca="1" si="146"/>
        <v>0.64325842696629221</v>
      </c>
      <c r="M1250" s="144">
        <f t="shared" ca="1" si="146"/>
        <v>99.438202247191015</v>
      </c>
      <c r="N1250" s="144">
        <f t="shared" ca="1" si="146"/>
        <v>6.0742484057090795</v>
      </c>
      <c r="O1250" s="144">
        <f t="shared" ca="1" si="146"/>
        <v>33.469708472517468</v>
      </c>
      <c r="P1250" s="144">
        <f t="shared" ca="1" si="146"/>
        <v>1</v>
      </c>
      <c r="Q1250" s="144">
        <f t="shared" ca="1" si="146"/>
        <v>0.75918615244457943</v>
      </c>
    </row>
    <row r="1251" spans="1:17" x14ac:dyDescent="0.25">
      <c r="A1251" s="145">
        <v>41519</v>
      </c>
      <c r="B1251" s="144">
        <v>1.3207</v>
      </c>
      <c r="C1251" s="144">
        <v>43.974499999999999</v>
      </c>
      <c r="D1251" s="144">
        <v>8.0094999999999992</v>
      </c>
      <c r="E1251" s="144">
        <v>131.09</v>
      </c>
      <c r="F1251" s="144">
        <v>0.84775</v>
      </c>
      <c r="G1251" s="144">
        <v>1.2317</v>
      </c>
      <c r="I1251" s="144">
        <v>1</v>
      </c>
      <c r="J1251" s="145">
        <f t="shared" si="143"/>
        <v>41519</v>
      </c>
      <c r="K1251" s="144">
        <f t="shared" ca="1" si="146"/>
        <v>0.93261149390474751</v>
      </c>
      <c r="L1251" s="144">
        <f t="shared" ca="1" si="146"/>
        <v>0.64189444991292499</v>
      </c>
      <c r="M1251" s="144">
        <f t="shared" ca="1" si="146"/>
        <v>99.257969258726433</v>
      </c>
      <c r="N1251" s="144">
        <f t="shared" ca="1" si="146"/>
        <v>6.0645869614598311</v>
      </c>
      <c r="O1251" s="144">
        <f t="shared" ca="1" si="146"/>
        <v>33.296357991973956</v>
      </c>
      <c r="P1251" s="144">
        <f t="shared" ca="1" si="146"/>
        <v>1</v>
      </c>
      <c r="Q1251" s="144">
        <f t="shared" ca="1" si="146"/>
        <v>0.75717422578935412</v>
      </c>
    </row>
    <row r="1252" spans="1:17" x14ac:dyDescent="0.25">
      <c r="A1252" s="145">
        <v>41518</v>
      </c>
      <c r="B1252" s="144">
        <v>1.3234999999999999</v>
      </c>
      <c r="C1252" s="144">
        <v>44.005000000000003</v>
      </c>
      <c r="D1252" s="144">
        <v>8.0905000000000005</v>
      </c>
      <c r="E1252" s="144">
        <v>130.01</v>
      </c>
      <c r="F1252" s="144">
        <v>0.85394999999999999</v>
      </c>
      <c r="G1252" s="144">
        <v>1.2310000000000001</v>
      </c>
      <c r="I1252" s="144">
        <v>1</v>
      </c>
      <c r="J1252" s="145">
        <f t="shared" si="143"/>
        <v>41518</v>
      </c>
      <c r="K1252" s="144">
        <f t="shared" ca="1" si="146"/>
        <v>0.93010955799017769</v>
      </c>
      <c r="L1252" s="144">
        <f t="shared" ca="1" si="146"/>
        <v>0.64522100491122025</v>
      </c>
      <c r="M1252" s="144">
        <f t="shared" ca="1" si="146"/>
        <v>98.231960710237999</v>
      </c>
      <c r="N1252" s="144">
        <f t="shared" ca="1" si="146"/>
        <v>6.1129580657347953</v>
      </c>
      <c r="O1252" s="144">
        <f t="shared" ca="1" si="146"/>
        <v>33.248961088024181</v>
      </c>
      <c r="P1252" s="144">
        <f t="shared" ca="1" si="146"/>
        <v>1</v>
      </c>
      <c r="Q1252" s="144">
        <f t="shared" ca="1" si="146"/>
        <v>0.75557234605213452</v>
      </c>
    </row>
    <row r="1253" spans="1:17" x14ac:dyDescent="0.25">
      <c r="A1253" s="145">
        <v>41517</v>
      </c>
      <c r="B1253" s="144">
        <v>1.3234999999999999</v>
      </c>
      <c r="C1253" s="144">
        <v>44.005000000000003</v>
      </c>
      <c r="D1253" s="144">
        <v>8.0905000000000005</v>
      </c>
      <c r="E1253" s="144">
        <v>130.01</v>
      </c>
      <c r="F1253" s="144">
        <v>0.85394999999999999</v>
      </c>
      <c r="G1253" s="144">
        <v>1.2310000000000001</v>
      </c>
      <c r="I1253" s="144">
        <v>1</v>
      </c>
      <c r="J1253" s="145">
        <f t="shared" si="143"/>
        <v>41517</v>
      </c>
      <c r="K1253" s="144">
        <f t="shared" ca="1" si="146"/>
        <v>0.93010955799017769</v>
      </c>
      <c r="L1253" s="144">
        <f t="shared" ca="1" si="146"/>
        <v>0.64522100491122025</v>
      </c>
      <c r="M1253" s="144">
        <f t="shared" ca="1" si="146"/>
        <v>98.231960710237999</v>
      </c>
      <c r="N1253" s="144">
        <f t="shared" ca="1" si="146"/>
        <v>6.1129580657347953</v>
      </c>
      <c r="O1253" s="144">
        <f t="shared" ca="1" si="146"/>
        <v>33.248961088024181</v>
      </c>
      <c r="P1253" s="144">
        <f t="shared" ca="1" si="146"/>
        <v>1</v>
      </c>
      <c r="Q1253" s="144">
        <f t="shared" ca="1" si="146"/>
        <v>0.75557234605213452</v>
      </c>
    </row>
    <row r="1254" spans="1:17" x14ac:dyDescent="0.25">
      <c r="A1254" s="145">
        <v>41516</v>
      </c>
      <c r="B1254" s="144">
        <v>1.3234999999999999</v>
      </c>
      <c r="C1254" s="144">
        <v>44.005000000000003</v>
      </c>
      <c r="D1254" s="144">
        <v>8.0905000000000005</v>
      </c>
      <c r="E1254" s="144">
        <v>130.01</v>
      </c>
      <c r="F1254" s="144">
        <v>0.85394999999999999</v>
      </c>
      <c r="G1254" s="144">
        <v>1.2310000000000001</v>
      </c>
      <c r="I1254" s="144">
        <v>1</v>
      </c>
      <c r="J1254" s="145">
        <f t="shared" si="143"/>
        <v>41516</v>
      </c>
      <c r="K1254" s="144">
        <f t="shared" ca="1" si="146"/>
        <v>0.93010955799017769</v>
      </c>
      <c r="L1254" s="144">
        <f t="shared" ca="1" si="146"/>
        <v>0.64522100491122025</v>
      </c>
      <c r="M1254" s="144">
        <f t="shared" ca="1" si="146"/>
        <v>98.231960710237999</v>
      </c>
      <c r="N1254" s="144">
        <f t="shared" ca="1" si="146"/>
        <v>6.1129580657347953</v>
      </c>
      <c r="O1254" s="144">
        <f t="shared" ca="1" si="146"/>
        <v>33.248961088024181</v>
      </c>
      <c r="P1254" s="144">
        <f t="shared" ca="1" si="146"/>
        <v>1</v>
      </c>
      <c r="Q1254" s="144">
        <f t="shared" ca="1" si="146"/>
        <v>0.75557234605213452</v>
      </c>
    </row>
    <row r="1255" spans="1:17" x14ac:dyDescent="0.25">
      <c r="A1255" s="145">
        <v>41515</v>
      </c>
      <c r="B1255" s="144">
        <v>1.3266</v>
      </c>
      <c r="C1255" s="144">
        <v>44.015000000000001</v>
      </c>
      <c r="D1255" s="144">
        <v>8.0489999999999995</v>
      </c>
      <c r="E1255" s="144">
        <v>130.34</v>
      </c>
      <c r="F1255" s="144">
        <v>0.85489999999999999</v>
      </c>
      <c r="G1255" s="144">
        <v>1.2307999999999999</v>
      </c>
      <c r="I1255" s="144">
        <v>1</v>
      </c>
      <c r="J1255" s="145">
        <f t="shared" si="143"/>
        <v>41515</v>
      </c>
      <c r="K1255" s="144">
        <f t="shared" ref="K1255:Q1264" ca="1" si="147">OFFSET($A1255,0,K$3)/OFFSET($A1255,0,$P$3)</f>
        <v>0.92778531584501722</v>
      </c>
      <c r="L1255" s="144">
        <f t="shared" ca="1" si="147"/>
        <v>0.64442936830996533</v>
      </c>
      <c r="M1255" s="144">
        <f t="shared" ca="1" si="147"/>
        <v>98.251168400422131</v>
      </c>
      <c r="N1255" s="144">
        <f t="shared" ca="1" si="147"/>
        <v>6.067390321121664</v>
      </c>
      <c r="O1255" s="144">
        <f t="shared" ca="1" si="147"/>
        <v>33.178802954922361</v>
      </c>
      <c r="P1255" s="144">
        <f t="shared" ca="1" si="147"/>
        <v>1</v>
      </c>
      <c r="Q1255" s="144">
        <f t="shared" ca="1" si="147"/>
        <v>0.7538067239559777</v>
      </c>
    </row>
    <row r="1256" spans="1:17" x14ac:dyDescent="0.25">
      <c r="A1256" s="145">
        <v>41514</v>
      </c>
      <c r="B1256" s="144">
        <v>1.3347</v>
      </c>
      <c r="C1256" s="144">
        <v>44.366500000000002</v>
      </c>
      <c r="D1256" s="144">
        <v>8.0589999999999993</v>
      </c>
      <c r="E1256" s="144">
        <v>130.1</v>
      </c>
      <c r="F1256" s="144">
        <v>0.86319999999999997</v>
      </c>
      <c r="G1256" s="144">
        <v>1.2290000000000001</v>
      </c>
      <c r="I1256" s="144">
        <v>1</v>
      </c>
      <c r="J1256" s="145">
        <f t="shared" si="143"/>
        <v>41514</v>
      </c>
      <c r="K1256" s="144">
        <f t="shared" ca="1" si="147"/>
        <v>0.92080617367198625</v>
      </c>
      <c r="L1256" s="144">
        <f t="shared" ca="1" si="147"/>
        <v>0.64673709447815986</v>
      </c>
      <c r="M1256" s="144">
        <f t="shared" ca="1" si="147"/>
        <v>97.475088034764369</v>
      </c>
      <c r="N1256" s="144">
        <f t="shared" ca="1" si="147"/>
        <v>6.0380609874878246</v>
      </c>
      <c r="O1256" s="144">
        <f t="shared" ca="1" si="147"/>
        <v>33.240803176743839</v>
      </c>
      <c r="P1256" s="144">
        <f t="shared" ca="1" si="147"/>
        <v>1</v>
      </c>
      <c r="Q1256" s="144">
        <f t="shared" ca="1" si="147"/>
        <v>0.749232037161909</v>
      </c>
    </row>
    <row r="1257" spans="1:17" x14ac:dyDescent="0.25">
      <c r="A1257" s="145">
        <v>41513</v>
      </c>
      <c r="B1257" s="144">
        <v>1.3338000000000001</v>
      </c>
      <c r="C1257" s="144">
        <v>44.274299999999997</v>
      </c>
      <c r="D1257" s="144">
        <v>8.0289999999999999</v>
      </c>
      <c r="E1257" s="144">
        <v>130.07</v>
      </c>
      <c r="F1257" s="144">
        <v>0.8609</v>
      </c>
      <c r="G1257" s="144">
        <v>1.2293000000000001</v>
      </c>
      <c r="I1257" s="144">
        <v>1</v>
      </c>
      <c r="J1257" s="145">
        <f t="shared" si="143"/>
        <v>41513</v>
      </c>
      <c r="K1257" s="144">
        <f t="shared" ca="1" si="147"/>
        <v>0.92165242165242167</v>
      </c>
      <c r="L1257" s="144">
        <f t="shared" ca="1" si="147"/>
        <v>0.64544909281751384</v>
      </c>
      <c r="M1257" s="144">
        <f t="shared" ca="1" si="147"/>
        <v>97.518368571000138</v>
      </c>
      <c r="N1257" s="144">
        <f t="shared" ca="1" si="147"/>
        <v>6.0196431249062821</v>
      </c>
      <c r="O1257" s="144">
        <f t="shared" ca="1" si="147"/>
        <v>33.194107062528111</v>
      </c>
      <c r="P1257" s="144">
        <f t="shared" ca="1" si="147"/>
        <v>1</v>
      </c>
      <c r="Q1257" s="144">
        <f t="shared" ca="1" si="147"/>
        <v>0.74973759184285493</v>
      </c>
    </row>
    <row r="1258" spans="1:17" x14ac:dyDescent="0.25">
      <c r="A1258" s="145">
        <v>41512</v>
      </c>
      <c r="B1258" s="144">
        <v>1.3361000000000001</v>
      </c>
      <c r="C1258" s="144">
        <v>44.1</v>
      </c>
      <c r="D1258" s="144">
        <v>8.0830000000000002</v>
      </c>
      <c r="E1258" s="144">
        <v>131.74</v>
      </c>
      <c r="F1258" s="144">
        <v>0.85850000000000004</v>
      </c>
      <c r="G1258" s="144">
        <v>1.2352000000000001</v>
      </c>
      <c r="I1258" s="144">
        <v>1</v>
      </c>
      <c r="J1258" s="145">
        <f t="shared" si="143"/>
        <v>41512</v>
      </c>
      <c r="K1258" s="144">
        <f t="shared" ca="1" si="147"/>
        <v>0.92448170047152156</v>
      </c>
      <c r="L1258" s="144">
        <f t="shared" ca="1" si="147"/>
        <v>0.64254172591871861</v>
      </c>
      <c r="M1258" s="144">
        <f t="shared" ca="1" si="147"/>
        <v>98.600404161365162</v>
      </c>
      <c r="N1258" s="144">
        <f t="shared" ca="1" si="147"/>
        <v>6.0496968789761247</v>
      </c>
      <c r="O1258" s="144">
        <f t="shared" ca="1" si="147"/>
        <v>33.006511488661026</v>
      </c>
      <c r="P1258" s="144">
        <f t="shared" ca="1" si="147"/>
        <v>1</v>
      </c>
      <c r="Q1258" s="144">
        <f t="shared" ca="1" si="147"/>
        <v>0.7484469725319961</v>
      </c>
    </row>
    <row r="1259" spans="1:17" x14ac:dyDescent="0.25">
      <c r="A1259" s="145">
        <v>41511</v>
      </c>
      <c r="B1259" s="144">
        <v>1.3354999999999999</v>
      </c>
      <c r="C1259" s="144">
        <v>44.137500000000003</v>
      </c>
      <c r="D1259" s="144">
        <v>8.0939999999999994</v>
      </c>
      <c r="E1259" s="144">
        <v>132.35</v>
      </c>
      <c r="F1259" s="144">
        <v>0.85909999999999997</v>
      </c>
      <c r="G1259" s="144">
        <v>1.2358</v>
      </c>
      <c r="I1259" s="144">
        <v>1</v>
      </c>
      <c r="J1259" s="145">
        <f t="shared" si="143"/>
        <v>41511</v>
      </c>
      <c r="K1259" s="144">
        <f t="shared" ca="1" si="147"/>
        <v>0.92534631224260588</v>
      </c>
      <c r="L1259" s="144">
        <f t="shared" ca="1" si="147"/>
        <v>0.64327967053538004</v>
      </c>
      <c r="M1259" s="144">
        <f t="shared" ca="1" si="147"/>
        <v>99.101460127293151</v>
      </c>
      <c r="N1259" s="144">
        <f t="shared" ca="1" si="147"/>
        <v>6.0606514414077122</v>
      </c>
      <c r="O1259" s="144">
        <f t="shared" ca="1" si="147"/>
        <v>33.049419692998882</v>
      </c>
      <c r="P1259" s="144">
        <f t="shared" ca="1" si="147"/>
        <v>1</v>
      </c>
      <c r="Q1259" s="144">
        <f t="shared" ca="1" si="147"/>
        <v>0.74878322725570956</v>
      </c>
    </row>
    <row r="1260" spans="1:17" x14ac:dyDescent="0.25">
      <c r="A1260" s="145">
        <v>41510</v>
      </c>
      <c r="B1260" s="144">
        <v>1.3354999999999999</v>
      </c>
      <c r="C1260" s="144">
        <v>44.137500000000003</v>
      </c>
      <c r="D1260" s="144">
        <v>8.0939999999999994</v>
      </c>
      <c r="E1260" s="144">
        <v>132.35</v>
      </c>
      <c r="F1260" s="144">
        <v>0.85909999999999997</v>
      </c>
      <c r="G1260" s="144">
        <v>1.2358</v>
      </c>
      <c r="I1260" s="144">
        <v>1</v>
      </c>
      <c r="J1260" s="145">
        <f t="shared" si="143"/>
        <v>41510</v>
      </c>
      <c r="K1260" s="144">
        <f t="shared" ca="1" si="147"/>
        <v>0.92534631224260588</v>
      </c>
      <c r="L1260" s="144">
        <f t="shared" ca="1" si="147"/>
        <v>0.64327967053538004</v>
      </c>
      <c r="M1260" s="144">
        <f t="shared" ca="1" si="147"/>
        <v>99.101460127293151</v>
      </c>
      <c r="N1260" s="144">
        <f t="shared" ca="1" si="147"/>
        <v>6.0606514414077122</v>
      </c>
      <c r="O1260" s="144">
        <f t="shared" ca="1" si="147"/>
        <v>33.049419692998882</v>
      </c>
      <c r="P1260" s="144">
        <f t="shared" ca="1" si="147"/>
        <v>1</v>
      </c>
      <c r="Q1260" s="144">
        <f t="shared" ca="1" si="147"/>
        <v>0.74878322725570956</v>
      </c>
    </row>
    <row r="1261" spans="1:17" x14ac:dyDescent="0.25">
      <c r="A1261" s="145">
        <v>41509</v>
      </c>
      <c r="B1261" s="144">
        <v>1.3354999999999999</v>
      </c>
      <c r="C1261" s="144">
        <v>44.137500000000003</v>
      </c>
      <c r="D1261" s="144">
        <v>8.0939999999999994</v>
      </c>
      <c r="E1261" s="144">
        <v>132.35</v>
      </c>
      <c r="F1261" s="144">
        <v>0.85909999999999997</v>
      </c>
      <c r="G1261" s="144">
        <v>1.2358</v>
      </c>
      <c r="I1261" s="144">
        <v>1</v>
      </c>
      <c r="J1261" s="145">
        <f t="shared" si="143"/>
        <v>41509</v>
      </c>
      <c r="K1261" s="144">
        <f t="shared" ca="1" si="147"/>
        <v>0.92534631224260588</v>
      </c>
      <c r="L1261" s="144">
        <f t="shared" ca="1" si="147"/>
        <v>0.64327967053538004</v>
      </c>
      <c r="M1261" s="144">
        <f t="shared" ca="1" si="147"/>
        <v>99.101460127293151</v>
      </c>
      <c r="N1261" s="144">
        <f t="shared" ca="1" si="147"/>
        <v>6.0606514414077122</v>
      </c>
      <c r="O1261" s="144">
        <f t="shared" ca="1" si="147"/>
        <v>33.049419692998882</v>
      </c>
      <c r="P1261" s="144">
        <f t="shared" ca="1" si="147"/>
        <v>1</v>
      </c>
      <c r="Q1261" s="144">
        <f t="shared" ca="1" si="147"/>
        <v>0.74878322725570956</v>
      </c>
    </row>
    <row r="1262" spans="1:17" x14ac:dyDescent="0.25">
      <c r="A1262" s="145">
        <v>41508</v>
      </c>
      <c r="B1262" s="144">
        <v>1.3323</v>
      </c>
      <c r="C1262" s="144">
        <v>44.174999999999997</v>
      </c>
      <c r="D1262" s="144">
        <v>8.1225000000000005</v>
      </c>
      <c r="E1262" s="144">
        <v>131.44999999999999</v>
      </c>
      <c r="F1262" s="144">
        <v>0.85504999999999998</v>
      </c>
      <c r="G1262" s="144">
        <v>1.2349000000000001</v>
      </c>
      <c r="I1262" s="144">
        <v>1</v>
      </c>
      <c r="J1262" s="145">
        <f t="shared" si="143"/>
        <v>41508</v>
      </c>
      <c r="K1262" s="144">
        <f t="shared" ca="1" si="147"/>
        <v>0.92689334234031384</v>
      </c>
      <c r="L1262" s="144">
        <f t="shared" ca="1" si="147"/>
        <v>0.64178488328454553</v>
      </c>
      <c r="M1262" s="144">
        <f t="shared" ca="1" si="147"/>
        <v>98.663964572543705</v>
      </c>
      <c r="N1262" s="144">
        <f t="shared" ca="1" si="147"/>
        <v>6.0965998648952944</v>
      </c>
      <c r="O1262" s="144">
        <f t="shared" ca="1" si="147"/>
        <v>33.15694663364107</v>
      </c>
      <c r="P1262" s="144">
        <f t="shared" ca="1" si="147"/>
        <v>1</v>
      </c>
      <c r="Q1262" s="144">
        <f t="shared" ca="1" si="147"/>
        <v>0.75058170081813402</v>
      </c>
    </row>
    <row r="1263" spans="1:17" x14ac:dyDescent="0.25">
      <c r="A1263" s="145">
        <v>41507</v>
      </c>
      <c r="B1263" s="144">
        <v>1.3384</v>
      </c>
      <c r="C1263" s="144">
        <v>44.200699999999998</v>
      </c>
      <c r="D1263" s="144">
        <v>8.0534999999999997</v>
      </c>
      <c r="E1263" s="144">
        <v>130.52000000000001</v>
      </c>
      <c r="F1263" s="144">
        <v>0.85294999999999999</v>
      </c>
      <c r="G1263" s="144">
        <v>1.2310000000000001</v>
      </c>
      <c r="I1263" s="144">
        <v>1</v>
      </c>
      <c r="J1263" s="145">
        <f t="shared" si="143"/>
        <v>41507</v>
      </c>
      <c r="K1263" s="144">
        <f t="shared" ca="1" si="147"/>
        <v>0.91975493126120744</v>
      </c>
      <c r="L1263" s="144">
        <f t="shared" ca="1" si="147"/>
        <v>0.63729079497907948</v>
      </c>
      <c r="M1263" s="144">
        <f t="shared" ca="1" si="147"/>
        <v>97.519426180514046</v>
      </c>
      <c r="N1263" s="144">
        <f t="shared" ca="1" si="147"/>
        <v>6.0172594142259408</v>
      </c>
      <c r="O1263" s="144">
        <f t="shared" ca="1" si="147"/>
        <v>33.025029886431561</v>
      </c>
      <c r="P1263" s="144">
        <f t="shared" ca="1" si="147"/>
        <v>1</v>
      </c>
      <c r="Q1263" s="144">
        <f t="shared" ca="1" si="147"/>
        <v>0.74716078900179317</v>
      </c>
    </row>
    <row r="1264" spans="1:17" x14ac:dyDescent="0.25">
      <c r="A1264" s="145">
        <v>41506</v>
      </c>
      <c r="B1264" s="144">
        <v>1.3391999999999999</v>
      </c>
      <c r="C1264" s="144">
        <v>44.1511</v>
      </c>
      <c r="D1264" s="144">
        <v>7.9859999999999998</v>
      </c>
      <c r="E1264" s="144">
        <v>130.33000000000001</v>
      </c>
      <c r="F1264" s="144">
        <v>0.85489999999999999</v>
      </c>
      <c r="G1264" s="144">
        <v>1.2323</v>
      </c>
      <c r="I1264" s="144">
        <v>1</v>
      </c>
      <c r="J1264" s="145">
        <f t="shared" si="143"/>
        <v>41506</v>
      </c>
      <c r="K1264" s="144">
        <f t="shared" ca="1" si="147"/>
        <v>0.92017622461170845</v>
      </c>
      <c r="L1264" s="144">
        <f t="shared" ca="1" si="147"/>
        <v>0.63836618876941464</v>
      </c>
      <c r="M1264" s="144">
        <f t="shared" ca="1" si="147"/>
        <v>97.31929510155318</v>
      </c>
      <c r="N1264" s="144">
        <f t="shared" ca="1" si="147"/>
        <v>5.9632616487455197</v>
      </c>
      <c r="O1264" s="144">
        <f t="shared" ca="1" si="147"/>
        <v>32.968264635603347</v>
      </c>
      <c r="P1264" s="144">
        <f t="shared" ca="1" si="147"/>
        <v>1</v>
      </c>
      <c r="Q1264" s="144">
        <f t="shared" ca="1" si="147"/>
        <v>0.74671445639187572</v>
      </c>
    </row>
    <row r="1265" spans="1:17" x14ac:dyDescent="0.25">
      <c r="A1265" s="145">
        <v>41505</v>
      </c>
      <c r="B1265" s="144">
        <v>1.3344</v>
      </c>
      <c r="C1265" s="144">
        <v>43.98</v>
      </c>
      <c r="D1265" s="144">
        <v>7.9039999999999999</v>
      </c>
      <c r="E1265" s="144">
        <v>130.72</v>
      </c>
      <c r="F1265" s="144">
        <v>0.85289999999999999</v>
      </c>
      <c r="G1265" s="144">
        <v>1.2352000000000001</v>
      </c>
      <c r="I1265" s="144">
        <v>1</v>
      </c>
      <c r="J1265" s="145">
        <f t="shared" si="143"/>
        <v>41505</v>
      </c>
      <c r="K1265" s="144">
        <f t="shared" ref="K1265:Q1274" ca="1" si="148">OFFSET($A1265,0,K$3)/OFFSET($A1265,0,$P$3)</f>
        <v>0.92565947242206237</v>
      </c>
      <c r="L1265" s="144">
        <f t="shared" ca="1" si="148"/>
        <v>0.6391636690647482</v>
      </c>
      <c r="M1265" s="144">
        <f t="shared" ca="1" si="148"/>
        <v>97.961630695443645</v>
      </c>
      <c r="N1265" s="144">
        <f t="shared" ca="1" si="148"/>
        <v>5.9232613908872898</v>
      </c>
      <c r="O1265" s="144">
        <f t="shared" ca="1" si="148"/>
        <v>32.958633093525179</v>
      </c>
      <c r="P1265" s="144">
        <f t="shared" ca="1" si="148"/>
        <v>1</v>
      </c>
      <c r="Q1265" s="144">
        <f t="shared" ca="1" si="148"/>
        <v>0.74940047961630696</v>
      </c>
    </row>
    <row r="1266" spans="1:17" x14ac:dyDescent="0.25">
      <c r="A1266" s="145">
        <v>41504</v>
      </c>
      <c r="B1266" s="144">
        <v>1.3340000000000001</v>
      </c>
      <c r="C1266" s="144">
        <v>43.886000000000003</v>
      </c>
      <c r="D1266" s="144">
        <v>7.9015000000000004</v>
      </c>
      <c r="E1266" s="144">
        <v>130.03</v>
      </c>
      <c r="F1266" s="144">
        <v>0.85324999999999995</v>
      </c>
      <c r="G1266" s="144">
        <v>1.2354000000000001</v>
      </c>
      <c r="I1266" s="144">
        <v>1</v>
      </c>
      <c r="J1266" s="145">
        <f t="shared" si="143"/>
        <v>41504</v>
      </c>
      <c r="K1266" s="144">
        <f t="shared" ca="1" si="148"/>
        <v>0.92608695652173911</v>
      </c>
      <c r="L1266" s="144">
        <f t="shared" ca="1" si="148"/>
        <v>0.63961769115442269</v>
      </c>
      <c r="M1266" s="144">
        <f t="shared" ca="1" si="148"/>
        <v>97.473763118440772</v>
      </c>
      <c r="N1266" s="144">
        <f t="shared" ca="1" si="148"/>
        <v>5.9231634182908541</v>
      </c>
      <c r="O1266" s="144">
        <f t="shared" ca="1" si="148"/>
        <v>32.898050974512742</v>
      </c>
      <c r="P1266" s="144">
        <f t="shared" ca="1" si="148"/>
        <v>1</v>
      </c>
      <c r="Q1266" s="144">
        <f t="shared" ca="1" si="148"/>
        <v>0.7496251874062968</v>
      </c>
    </row>
    <row r="1267" spans="1:17" x14ac:dyDescent="0.25">
      <c r="A1267" s="145">
        <v>41503</v>
      </c>
      <c r="B1267" s="144">
        <v>1.3340000000000001</v>
      </c>
      <c r="C1267" s="144">
        <v>43.886000000000003</v>
      </c>
      <c r="D1267" s="144">
        <v>7.9015000000000004</v>
      </c>
      <c r="E1267" s="144">
        <v>130.03</v>
      </c>
      <c r="F1267" s="144">
        <v>0.85324999999999995</v>
      </c>
      <c r="G1267" s="144">
        <v>1.2354000000000001</v>
      </c>
      <c r="I1267" s="144">
        <v>1</v>
      </c>
      <c r="J1267" s="145">
        <f t="shared" si="143"/>
        <v>41503</v>
      </c>
      <c r="K1267" s="144">
        <f t="shared" ca="1" si="148"/>
        <v>0.92608695652173911</v>
      </c>
      <c r="L1267" s="144">
        <f t="shared" ca="1" si="148"/>
        <v>0.63961769115442269</v>
      </c>
      <c r="M1267" s="144">
        <f t="shared" ca="1" si="148"/>
        <v>97.473763118440772</v>
      </c>
      <c r="N1267" s="144">
        <f t="shared" ca="1" si="148"/>
        <v>5.9231634182908541</v>
      </c>
      <c r="O1267" s="144">
        <f t="shared" ca="1" si="148"/>
        <v>32.898050974512742</v>
      </c>
      <c r="P1267" s="144">
        <f t="shared" ca="1" si="148"/>
        <v>1</v>
      </c>
      <c r="Q1267" s="144">
        <f t="shared" ca="1" si="148"/>
        <v>0.7496251874062968</v>
      </c>
    </row>
    <row r="1268" spans="1:17" x14ac:dyDescent="0.25">
      <c r="A1268" s="145">
        <v>41502</v>
      </c>
      <c r="B1268" s="144">
        <v>1.3340000000000001</v>
      </c>
      <c r="C1268" s="144">
        <v>43.886000000000003</v>
      </c>
      <c r="D1268" s="144">
        <v>7.9015000000000004</v>
      </c>
      <c r="E1268" s="144">
        <v>130.03</v>
      </c>
      <c r="F1268" s="144">
        <v>0.85324999999999995</v>
      </c>
      <c r="G1268" s="144">
        <v>1.2354000000000001</v>
      </c>
      <c r="I1268" s="144">
        <v>1</v>
      </c>
      <c r="J1268" s="145">
        <f t="shared" si="143"/>
        <v>41502</v>
      </c>
      <c r="K1268" s="144">
        <f t="shared" ca="1" si="148"/>
        <v>0.92608695652173911</v>
      </c>
      <c r="L1268" s="144">
        <f t="shared" ca="1" si="148"/>
        <v>0.63961769115442269</v>
      </c>
      <c r="M1268" s="144">
        <f t="shared" ca="1" si="148"/>
        <v>97.473763118440772</v>
      </c>
      <c r="N1268" s="144">
        <f t="shared" ca="1" si="148"/>
        <v>5.9231634182908541</v>
      </c>
      <c r="O1268" s="144">
        <f t="shared" ca="1" si="148"/>
        <v>32.898050974512742</v>
      </c>
      <c r="P1268" s="144">
        <f t="shared" ca="1" si="148"/>
        <v>1</v>
      </c>
      <c r="Q1268" s="144">
        <f t="shared" ca="1" si="148"/>
        <v>0.7496251874062968</v>
      </c>
    </row>
    <row r="1269" spans="1:17" x14ac:dyDescent="0.25">
      <c r="A1269" s="145">
        <v>41501</v>
      </c>
      <c r="B1269" s="144">
        <v>1.3297000000000001</v>
      </c>
      <c r="C1269" s="144">
        <v>43.822499999999998</v>
      </c>
      <c r="D1269" s="144">
        <v>7.8434999999999997</v>
      </c>
      <c r="E1269" s="144">
        <v>130.47999999999999</v>
      </c>
      <c r="F1269" s="144">
        <v>0.85329999999999995</v>
      </c>
      <c r="G1269" s="144">
        <v>1.2426999999999999</v>
      </c>
      <c r="I1269" s="144">
        <v>1</v>
      </c>
      <c r="J1269" s="145">
        <f t="shared" si="143"/>
        <v>41501</v>
      </c>
      <c r="K1269" s="144">
        <f t="shared" ca="1" si="148"/>
        <v>0.93457170790403832</v>
      </c>
      <c r="L1269" s="144">
        <f t="shared" ca="1" si="148"/>
        <v>0.64172369707452803</v>
      </c>
      <c r="M1269" s="144">
        <f t="shared" ca="1" si="148"/>
        <v>98.127397157253498</v>
      </c>
      <c r="N1269" s="144">
        <f t="shared" ca="1" si="148"/>
        <v>5.8986989546514241</v>
      </c>
      <c r="O1269" s="144">
        <f t="shared" ca="1" si="148"/>
        <v>32.956681958336461</v>
      </c>
      <c r="P1269" s="144">
        <f t="shared" ca="1" si="148"/>
        <v>1</v>
      </c>
      <c r="Q1269" s="144">
        <f t="shared" ca="1" si="148"/>
        <v>0.75204933443633892</v>
      </c>
    </row>
    <row r="1270" spans="1:17" x14ac:dyDescent="0.25">
      <c r="A1270" s="145">
        <v>41500</v>
      </c>
      <c r="B1270" s="144">
        <v>1.3243</v>
      </c>
      <c r="C1270" s="144">
        <v>43.899500000000003</v>
      </c>
      <c r="D1270" s="144">
        <v>7.8129999999999997</v>
      </c>
      <c r="E1270" s="144">
        <v>130.16999999999999</v>
      </c>
      <c r="F1270" s="144">
        <v>0.85440000000000005</v>
      </c>
      <c r="G1270" s="144">
        <v>1.2415</v>
      </c>
      <c r="I1270" s="144">
        <v>1</v>
      </c>
      <c r="J1270" s="145">
        <f t="shared" si="143"/>
        <v>41500</v>
      </c>
      <c r="K1270" s="144">
        <f t="shared" ca="1" si="148"/>
        <v>0.93747640262780341</v>
      </c>
      <c r="L1270" s="144">
        <f t="shared" ca="1" si="148"/>
        <v>0.64517103375368123</v>
      </c>
      <c r="M1270" s="144">
        <f t="shared" ca="1" si="148"/>
        <v>98.293438042739552</v>
      </c>
      <c r="N1270" s="144">
        <f t="shared" ca="1" si="148"/>
        <v>5.8997206071131911</v>
      </c>
      <c r="O1270" s="144">
        <f t="shared" ca="1" si="148"/>
        <v>33.149210903873744</v>
      </c>
      <c r="P1270" s="144">
        <f t="shared" ca="1" si="148"/>
        <v>1</v>
      </c>
      <c r="Q1270" s="144">
        <f t="shared" ca="1" si="148"/>
        <v>0.7551159102922298</v>
      </c>
    </row>
    <row r="1271" spans="1:17" x14ac:dyDescent="0.25">
      <c r="A1271" s="145">
        <v>41499</v>
      </c>
      <c r="B1271" s="144">
        <v>1.329</v>
      </c>
      <c r="C1271" s="144">
        <v>43.946800000000003</v>
      </c>
      <c r="D1271" s="144">
        <v>7.7960000000000003</v>
      </c>
      <c r="E1271" s="144">
        <v>130.27000000000001</v>
      </c>
      <c r="F1271" s="144">
        <v>0.85955000000000004</v>
      </c>
      <c r="G1271" s="144">
        <v>1.2358</v>
      </c>
      <c r="I1271" s="144">
        <v>1</v>
      </c>
      <c r="J1271" s="145">
        <f t="shared" si="143"/>
        <v>41499</v>
      </c>
      <c r="K1271" s="144">
        <f t="shared" ca="1" si="148"/>
        <v>0.92987208427389023</v>
      </c>
      <c r="L1271" s="144">
        <f t="shared" ca="1" si="148"/>
        <v>0.64676448457486835</v>
      </c>
      <c r="M1271" s="144">
        <f t="shared" ca="1" si="148"/>
        <v>98.021068472535745</v>
      </c>
      <c r="N1271" s="144">
        <f t="shared" ca="1" si="148"/>
        <v>5.8660647103085033</v>
      </c>
      <c r="O1271" s="144">
        <f t="shared" ca="1" si="148"/>
        <v>33.067569601203914</v>
      </c>
      <c r="P1271" s="144">
        <f t="shared" ca="1" si="148"/>
        <v>1</v>
      </c>
      <c r="Q1271" s="144">
        <f t="shared" ca="1" si="148"/>
        <v>0.7524454477050414</v>
      </c>
    </row>
    <row r="1272" spans="1:17" x14ac:dyDescent="0.25">
      <c r="A1272" s="145">
        <v>41498</v>
      </c>
      <c r="B1272" s="144">
        <v>1.3280000000000001</v>
      </c>
      <c r="C1272" s="144">
        <v>43.804600000000001</v>
      </c>
      <c r="D1272" s="144">
        <v>7.8085000000000004</v>
      </c>
      <c r="E1272" s="144">
        <v>128.66</v>
      </c>
      <c r="F1272" s="144">
        <v>0.85860000000000003</v>
      </c>
      <c r="G1272" s="144">
        <v>1.2326999999999999</v>
      </c>
      <c r="I1272" s="144">
        <v>1</v>
      </c>
      <c r="J1272" s="145">
        <f t="shared" si="143"/>
        <v>41498</v>
      </c>
      <c r="K1272" s="144">
        <f t="shared" ca="1" si="148"/>
        <v>0.92823795180722879</v>
      </c>
      <c r="L1272" s="144">
        <f t="shared" ca="1" si="148"/>
        <v>0.64653614457831321</v>
      </c>
      <c r="M1272" s="144">
        <f t="shared" ca="1" si="148"/>
        <v>96.882530120481917</v>
      </c>
      <c r="N1272" s="144">
        <f t="shared" ca="1" si="148"/>
        <v>5.8798945783132535</v>
      </c>
      <c r="O1272" s="144">
        <f t="shared" ca="1" si="148"/>
        <v>32.985391566265058</v>
      </c>
      <c r="P1272" s="144">
        <f t="shared" ca="1" si="148"/>
        <v>1</v>
      </c>
      <c r="Q1272" s="144">
        <f t="shared" ca="1" si="148"/>
        <v>0.75301204819277101</v>
      </c>
    </row>
    <row r="1273" spans="1:17" x14ac:dyDescent="0.25">
      <c r="A1273" s="145">
        <v>41497</v>
      </c>
      <c r="B1273" s="144">
        <v>1.3372999999999999</v>
      </c>
      <c r="C1273" s="144">
        <v>44</v>
      </c>
      <c r="D1273" s="144">
        <v>7.8170000000000002</v>
      </c>
      <c r="E1273" s="144">
        <v>128.96</v>
      </c>
      <c r="F1273" s="144">
        <v>0.86134999999999995</v>
      </c>
      <c r="G1273" s="144">
        <v>1.2310000000000001</v>
      </c>
      <c r="I1273" s="144">
        <v>1</v>
      </c>
      <c r="J1273" s="145">
        <f t="shared" si="143"/>
        <v>41497</v>
      </c>
      <c r="K1273" s="144">
        <f t="shared" ca="1" si="148"/>
        <v>0.92051147835190317</v>
      </c>
      <c r="L1273" s="144">
        <f t="shared" ca="1" si="148"/>
        <v>0.64409631346743434</v>
      </c>
      <c r="M1273" s="144">
        <f t="shared" ca="1" si="148"/>
        <v>96.433111493307422</v>
      </c>
      <c r="N1273" s="144">
        <f t="shared" ca="1" si="148"/>
        <v>5.8453600538398272</v>
      </c>
      <c r="O1273" s="144">
        <f t="shared" ca="1" si="148"/>
        <v>32.902116204292234</v>
      </c>
      <c r="P1273" s="144">
        <f t="shared" ca="1" si="148"/>
        <v>1</v>
      </c>
      <c r="Q1273" s="144">
        <f t="shared" ca="1" si="148"/>
        <v>0.74777536827936897</v>
      </c>
    </row>
    <row r="1274" spans="1:17" x14ac:dyDescent="0.25">
      <c r="A1274" s="145">
        <v>41496</v>
      </c>
      <c r="B1274" s="144">
        <v>1.3372999999999999</v>
      </c>
      <c r="C1274" s="144">
        <v>44</v>
      </c>
      <c r="D1274" s="144">
        <v>7.8170000000000002</v>
      </c>
      <c r="E1274" s="144">
        <v>128.96</v>
      </c>
      <c r="F1274" s="144">
        <v>0.86134999999999995</v>
      </c>
      <c r="G1274" s="144">
        <v>1.2310000000000001</v>
      </c>
      <c r="I1274" s="144">
        <v>1</v>
      </c>
      <c r="J1274" s="145">
        <f t="shared" si="143"/>
        <v>41496</v>
      </c>
      <c r="K1274" s="144">
        <f t="shared" ca="1" si="148"/>
        <v>0.92051147835190317</v>
      </c>
      <c r="L1274" s="144">
        <f t="shared" ca="1" si="148"/>
        <v>0.64409631346743434</v>
      </c>
      <c r="M1274" s="144">
        <f t="shared" ca="1" si="148"/>
        <v>96.433111493307422</v>
      </c>
      <c r="N1274" s="144">
        <f t="shared" ca="1" si="148"/>
        <v>5.8453600538398272</v>
      </c>
      <c r="O1274" s="144">
        <f t="shared" ca="1" si="148"/>
        <v>32.902116204292234</v>
      </c>
      <c r="P1274" s="144">
        <f t="shared" ca="1" si="148"/>
        <v>1</v>
      </c>
      <c r="Q1274" s="144">
        <f t="shared" ca="1" si="148"/>
        <v>0.74777536827936897</v>
      </c>
    </row>
    <row r="1275" spans="1:17" x14ac:dyDescent="0.25">
      <c r="A1275" s="145">
        <v>41495</v>
      </c>
      <c r="B1275" s="144">
        <v>1.3372999999999999</v>
      </c>
      <c r="C1275" s="144">
        <v>44</v>
      </c>
      <c r="D1275" s="144">
        <v>7.8170000000000002</v>
      </c>
      <c r="E1275" s="144">
        <v>128.96</v>
      </c>
      <c r="F1275" s="144">
        <v>0.86134999999999995</v>
      </c>
      <c r="G1275" s="144">
        <v>1.2310000000000001</v>
      </c>
      <c r="I1275" s="144">
        <v>1</v>
      </c>
      <c r="J1275" s="145">
        <f t="shared" si="143"/>
        <v>41495</v>
      </c>
      <c r="K1275" s="144">
        <f t="shared" ref="K1275:Q1284" ca="1" si="149">OFFSET($A1275,0,K$3)/OFFSET($A1275,0,$P$3)</f>
        <v>0.92051147835190317</v>
      </c>
      <c r="L1275" s="144">
        <f t="shared" ca="1" si="149"/>
        <v>0.64409631346743434</v>
      </c>
      <c r="M1275" s="144">
        <f t="shared" ca="1" si="149"/>
        <v>96.433111493307422</v>
      </c>
      <c r="N1275" s="144">
        <f t="shared" ca="1" si="149"/>
        <v>5.8453600538398272</v>
      </c>
      <c r="O1275" s="144">
        <f t="shared" ca="1" si="149"/>
        <v>32.902116204292234</v>
      </c>
      <c r="P1275" s="144">
        <f t="shared" ca="1" si="149"/>
        <v>1</v>
      </c>
      <c r="Q1275" s="144">
        <f t="shared" ca="1" si="149"/>
        <v>0.74777536827936897</v>
      </c>
    </row>
    <row r="1276" spans="1:17" x14ac:dyDescent="0.25">
      <c r="A1276" s="145">
        <v>41494</v>
      </c>
      <c r="B1276" s="144">
        <v>1.3360000000000001</v>
      </c>
      <c r="C1276" s="144">
        <v>44.008600000000001</v>
      </c>
      <c r="D1276" s="144">
        <v>7.8840000000000003</v>
      </c>
      <c r="E1276" s="144">
        <v>128.68</v>
      </c>
      <c r="F1276" s="144">
        <v>0.86199999999999999</v>
      </c>
      <c r="G1276" s="144">
        <v>1.2306999999999999</v>
      </c>
      <c r="I1276" s="144">
        <v>1</v>
      </c>
      <c r="J1276" s="145">
        <f t="shared" si="143"/>
        <v>41494</v>
      </c>
      <c r="K1276" s="144">
        <f t="shared" ca="1" si="149"/>
        <v>0.92118263473053885</v>
      </c>
      <c r="L1276" s="144">
        <f t="shared" ca="1" si="149"/>
        <v>0.64520958083832336</v>
      </c>
      <c r="M1276" s="144">
        <f t="shared" ca="1" si="149"/>
        <v>96.317365269461078</v>
      </c>
      <c r="N1276" s="144">
        <f t="shared" ca="1" si="149"/>
        <v>5.9011976047904193</v>
      </c>
      <c r="O1276" s="144">
        <f t="shared" ca="1" si="149"/>
        <v>32.940568862275448</v>
      </c>
      <c r="P1276" s="144">
        <f t="shared" ca="1" si="149"/>
        <v>1</v>
      </c>
      <c r="Q1276" s="144">
        <f t="shared" ca="1" si="149"/>
        <v>0.74850299401197595</v>
      </c>
    </row>
    <row r="1277" spans="1:17" x14ac:dyDescent="0.25">
      <c r="A1277" s="145">
        <v>41493</v>
      </c>
      <c r="B1277" s="144">
        <v>1.3305</v>
      </c>
      <c r="C1277" s="144">
        <v>43.948</v>
      </c>
      <c r="D1277" s="144">
        <v>7.8994999999999997</v>
      </c>
      <c r="E1277" s="144">
        <v>129.21</v>
      </c>
      <c r="F1277" s="144">
        <v>0.85955000000000004</v>
      </c>
      <c r="G1277" s="144">
        <v>1.2321</v>
      </c>
      <c r="I1277" s="144">
        <v>1</v>
      </c>
      <c r="J1277" s="145">
        <f t="shared" si="143"/>
        <v>41493</v>
      </c>
      <c r="K1277" s="144">
        <f t="shared" ca="1" si="149"/>
        <v>0.92604284103720402</v>
      </c>
      <c r="L1277" s="144">
        <f t="shared" ca="1" si="149"/>
        <v>0.64603532506576478</v>
      </c>
      <c r="M1277" s="144">
        <f t="shared" ca="1" si="149"/>
        <v>97.113866967305526</v>
      </c>
      <c r="N1277" s="144">
        <f t="shared" ca="1" si="149"/>
        <v>5.9372416384817734</v>
      </c>
      <c r="O1277" s="144">
        <f t="shared" ca="1" si="149"/>
        <v>33.031191281473127</v>
      </c>
      <c r="P1277" s="144">
        <f t="shared" ca="1" si="149"/>
        <v>1</v>
      </c>
      <c r="Q1277" s="144">
        <f t="shared" ca="1" si="149"/>
        <v>0.75159714393085308</v>
      </c>
    </row>
    <row r="1278" spans="1:17" x14ac:dyDescent="0.25">
      <c r="A1278" s="145">
        <v>41492</v>
      </c>
      <c r="B1278" s="144">
        <v>1.3280000000000001</v>
      </c>
      <c r="C1278" s="144">
        <v>43.694499999999998</v>
      </c>
      <c r="D1278" s="144">
        <v>7.8609999999999998</v>
      </c>
      <c r="E1278" s="144">
        <v>130.27000000000001</v>
      </c>
      <c r="F1278" s="144">
        <v>0.86575000000000002</v>
      </c>
      <c r="G1278" s="144">
        <v>1.2313000000000001</v>
      </c>
      <c r="I1278" s="144">
        <v>1</v>
      </c>
      <c r="J1278" s="145">
        <f t="shared" si="143"/>
        <v>41492</v>
      </c>
      <c r="K1278" s="144">
        <f t="shared" ca="1" si="149"/>
        <v>0.92718373493975903</v>
      </c>
      <c r="L1278" s="144">
        <f t="shared" ca="1" si="149"/>
        <v>0.6519201807228916</v>
      </c>
      <c r="M1278" s="144">
        <f t="shared" ca="1" si="149"/>
        <v>98.09487951807229</v>
      </c>
      <c r="N1278" s="144">
        <f t="shared" ca="1" si="149"/>
        <v>5.9194277108433733</v>
      </c>
      <c r="O1278" s="144">
        <f t="shared" ca="1" si="149"/>
        <v>32.902484939759034</v>
      </c>
      <c r="P1278" s="144">
        <f t="shared" ca="1" si="149"/>
        <v>1</v>
      </c>
      <c r="Q1278" s="144">
        <f t="shared" ca="1" si="149"/>
        <v>0.75301204819277101</v>
      </c>
    </row>
    <row r="1279" spans="1:17" x14ac:dyDescent="0.25">
      <c r="A1279" s="145">
        <v>41491</v>
      </c>
      <c r="B1279" s="144">
        <v>1.3257000000000001</v>
      </c>
      <c r="C1279" s="144">
        <v>43.608499999999999</v>
      </c>
      <c r="D1279" s="144">
        <v>7.8550000000000004</v>
      </c>
      <c r="E1279" s="144">
        <v>130.62</v>
      </c>
      <c r="F1279" s="144">
        <v>0.86424999999999996</v>
      </c>
      <c r="G1279" s="144">
        <v>1.2352000000000001</v>
      </c>
      <c r="I1279" s="144">
        <v>1</v>
      </c>
      <c r="J1279" s="145">
        <f t="shared" si="143"/>
        <v>41491</v>
      </c>
      <c r="K1279" s="144">
        <f t="shared" ca="1" si="149"/>
        <v>0.93173417817002335</v>
      </c>
      <c r="L1279" s="144">
        <f t="shared" ca="1" si="149"/>
        <v>0.65191974051444512</v>
      </c>
      <c r="M1279" s="144">
        <f t="shared" ca="1" si="149"/>
        <v>98.529078977144152</v>
      </c>
      <c r="N1279" s="144">
        <f t="shared" ca="1" si="149"/>
        <v>5.9251716074526666</v>
      </c>
      <c r="O1279" s="144">
        <f t="shared" ca="1" si="149"/>
        <v>32.894697141132987</v>
      </c>
      <c r="P1279" s="144">
        <f t="shared" ca="1" si="149"/>
        <v>1</v>
      </c>
      <c r="Q1279" s="144">
        <f t="shared" ca="1" si="149"/>
        <v>0.75431847325941004</v>
      </c>
    </row>
    <row r="1280" spans="1:17" x14ac:dyDescent="0.25">
      <c r="A1280" s="145">
        <v>41490</v>
      </c>
      <c r="B1280" s="144">
        <v>1.3203</v>
      </c>
      <c r="C1280" s="144">
        <v>43.7059</v>
      </c>
      <c r="D1280" s="144">
        <v>7.8654999999999999</v>
      </c>
      <c r="E1280" s="144">
        <v>131.78</v>
      </c>
      <c r="F1280" s="144">
        <v>0.87134999999999996</v>
      </c>
      <c r="G1280" s="144">
        <v>1.2383</v>
      </c>
      <c r="I1280" s="144">
        <v>1</v>
      </c>
      <c r="J1280" s="145">
        <f t="shared" si="143"/>
        <v>41490</v>
      </c>
      <c r="K1280" s="144">
        <f t="shared" ca="1" si="149"/>
        <v>0.93789290312807694</v>
      </c>
      <c r="L1280" s="144">
        <f t="shared" ca="1" si="149"/>
        <v>0.65996364462622126</v>
      </c>
      <c r="M1280" s="144">
        <f t="shared" ca="1" si="149"/>
        <v>99.810649094902672</v>
      </c>
      <c r="N1280" s="144">
        <f t="shared" ca="1" si="149"/>
        <v>5.9573581761720815</v>
      </c>
      <c r="O1280" s="144">
        <f t="shared" ca="1" si="149"/>
        <v>33.103006892372946</v>
      </c>
      <c r="P1280" s="144">
        <f t="shared" ca="1" si="149"/>
        <v>1</v>
      </c>
      <c r="Q1280" s="144">
        <f t="shared" ca="1" si="149"/>
        <v>0.75740362038930542</v>
      </c>
    </row>
    <row r="1281" spans="1:17" x14ac:dyDescent="0.25">
      <c r="A1281" s="145">
        <v>41489</v>
      </c>
      <c r="B1281" s="144">
        <v>1.3203</v>
      </c>
      <c r="C1281" s="144">
        <v>43.7059</v>
      </c>
      <c r="D1281" s="144">
        <v>7.8654999999999999</v>
      </c>
      <c r="E1281" s="144">
        <v>131.78</v>
      </c>
      <c r="F1281" s="144">
        <v>0.87134999999999996</v>
      </c>
      <c r="G1281" s="144">
        <v>1.2383</v>
      </c>
      <c r="I1281" s="144">
        <v>1</v>
      </c>
      <c r="J1281" s="145">
        <f t="shared" si="143"/>
        <v>41489</v>
      </c>
      <c r="K1281" s="144">
        <f t="shared" ca="1" si="149"/>
        <v>0.93789290312807694</v>
      </c>
      <c r="L1281" s="144">
        <f t="shared" ca="1" si="149"/>
        <v>0.65996364462622126</v>
      </c>
      <c r="M1281" s="144">
        <f t="shared" ca="1" si="149"/>
        <v>99.810649094902672</v>
      </c>
      <c r="N1281" s="144">
        <f t="shared" ca="1" si="149"/>
        <v>5.9573581761720815</v>
      </c>
      <c r="O1281" s="144">
        <f t="shared" ca="1" si="149"/>
        <v>33.103006892372946</v>
      </c>
      <c r="P1281" s="144">
        <f t="shared" ca="1" si="149"/>
        <v>1</v>
      </c>
      <c r="Q1281" s="144">
        <f t="shared" ca="1" si="149"/>
        <v>0.75740362038930542</v>
      </c>
    </row>
    <row r="1282" spans="1:17" x14ac:dyDescent="0.25">
      <c r="A1282" s="145">
        <v>41488</v>
      </c>
      <c r="B1282" s="144">
        <v>1.3203</v>
      </c>
      <c r="C1282" s="144">
        <v>43.7059</v>
      </c>
      <c r="D1282" s="144">
        <v>7.8654999999999999</v>
      </c>
      <c r="E1282" s="144">
        <v>131.78</v>
      </c>
      <c r="F1282" s="144">
        <v>0.87134999999999996</v>
      </c>
      <c r="G1282" s="144">
        <v>1.2383</v>
      </c>
      <c r="I1282" s="144">
        <v>1</v>
      </c>
      <c r="J1282" s="145">
        <f t="shared" si="143"/>
        <v>41488</v>
      </c>
      <c r="K1282" s="144">
        <f t="shared" ca="1" si="149"/>
        <v>0.93789290312807694</v>
      </c>
      <c r="L1282" s="144">
        <f t="shared" ca="1" si="149"/>
        <v>0.65996364462622126</v>
      </c>
      <c r="M1282" s="144">
        <f t="shared" ca="1" si="149"/>
        <v>99.810649094902672</v>
      </c>
      <c r="N1282" s="144">
        <f t="shared" ca="1" si="149"/>
        <v>5.9573581761720815</v>
      </c>
      <c r="O1282" s="144">
        <f t="shared" ca="1" si="149"/>
        <v>33.103006892372946</v>
      </c>
      <c r="P1282" s="144">
        <f t="shared" ca="1" si="149"/>
        <v>1</v>
      </c>
      <c r="Q1282" s="144">
        <f t="shared" ca="1" si="149"/>
        <v>0.75740362038930542</v>
      </c>
    </row>
    <row r="1283" spans="1:17" x14ac:dyDescent="0.25">
      <c r="A1283" s="145">
        <v>41487</v>
      </c>
      <c r="B1283" s="144">
        <v>1.3236000000000001</v>
      </c>
      <c r="C1283" s="144">
        <v>43.715000000000003</v>
      </c>
      <c r="D1283" s="144">
        <v>7.8345000000000002</v>
      </c>
      <c r="E1283" s="144">
        <v>130.69</v>
      </c>
      <c r="F1283" s="144">
        <v>0.86919999999999997</v>
      </c>
      <c r="G1283" s="144">
        <v>1.2317</v>
      </c>
      <c r="I1283" s="144">
        <v>1</v>
      </c>
      <c r="J1283" s="145">
        <f t="shared" si="143"/>
        <v>41487</v>
      </c>
      <c r="K1283" s="144">
        <f t="shared" ca="1" si="149"/>
        <v>0.93056814747657901</v>
      </c>
      <c r="L1283" s="144">
        <f t="shared" ca="1" si="149"/>
        <v>0.65669386521607731</v>
      </c>
      <c r="M1283" s="144">
        <f t="shared" ca="1" si="149"/>
        <v>98.738289513448166</v>
      </c>
      <c r="N1283" s="144">
        <f t="shared" ca="1" si="149"/>
        <v>5.9190843155031727</v>
      </c>
      <c r="O1283" s="144">
        <f t="shared" ca="1" si="149"/>
        <v>33.027349652462981</v>
      </c>
      <c r="P1283" s="144">
        <f t="shared" ca="1" si="149"/>
        <v>1</v>
      </c>
      <c r="Q1283" s="144">
        <f t="shared" ca="1" si="149"/>
        <v>0.7555152614082804</v>
      </c>
    </row>
    <row r="1284" spans="1:17" x14ac:dyDescent="0.25">
      <c r="A1284" s="145">
        <v>41486</v>
      </c>
      <c r="B1284" s="144">
        <v>1.3274999999999999</v>
      </c>
      <c r="C1284" s="144">
        <v>43.759099999999997</v>
      </c>
      <c r="D1284" s="144">
        <v>7.8654999999999999</v>
      </c>
      <c r="E1284" s="144">
        <v>130</v>
      </c>
      <c r="F1284" s="144">
        <v>0.87350000000000005</v>
      </c>
      <c r="G1284" s="144">
        <v>1.2317</v>
      </c>
      <c r="I1284" s="144">
        <v>1</v>
      </c>
      <c r="J1284" s="145">
        <f t="shared" si="143"/>
        <v>41486</v>
      </c>
      <c r="K1284" s="144">
        <f t="shared" ca="1" si="149"/>
        <v>0.92783427495291915</v>
      </c>
      <c r="L1284" s="144">
        <f t="shared" ca="1" si="149"/>
        <v>0.6580037664783428</v>
      </c>
      <c r="M1284" s="144">
        <f t="shared" ca="1" si="149"/>
        <v>97.928436911487765</v>
      </c>
      <c r="N1284" s="144">
        <f t="shared" ca="1" si="149"/>
        <v>5.9250470809792848</v>
      </c>
      <c r="O1284" s="144">
        <f t="shared" ca="1" si="149"/>
        <v>32.963540489642185</v>
      </c>
      <c r="P1284" s="144">
        <f t="shared" ca="1" si="149"/>
        <v>1</v>
      </c>
      <c r="Q1284" s="144">
        <f t="shared" ca="1" si="149"/>
        <v>0.75329566854990593</v>
      </c>
    </row>
    <row r="1285" spans="1:17" x14ac:dyDescent="0.25">
      <c r="A1285" s="145">
        <v>41485</v>
      </c>
      <c r="B1285" s="144">
        <v>1.3284</v>
      </c>
      <c r="C1285" s="144">
        <v>43.743000000000002</v>
      </c>
      <c r="D1285" s="144">
        <v>7.8719999999999999</v>
      </c>
      <c r="E1285" s="144">
        <v>129.99</v>
      </c>
      <c r="F1285" s="144">
        <v>0.86734999999999995</v>
      </c>
      <c r="G1285" s="144">
        <v>1.2335</v>
      </c>
      <c r="I1285" s="144">
        <v>1</v>
      </c>
      <c r="J1285" s="145">
        <f t="shared" ref="J1285:J1348" si="150">A1285</f>
        <v>41485</v>
      </c>
      <c r="K1285" s="144">
        <f t="shared" ref="K1285:Q1294" ca="1" si="151">OFFSET($A1285,0,K$3)/OFFSET($A1285,0,$P$3)</f>
        <v>0.92856067449563384</v>
      </c>
      <c r="L1285" s="144">
        <f t="shared" ca="1" si="151"/>
        <v>0.65292833483890389</v>
      </c>
      <c r="M1285" s="144">
        <f t="shared" ca="1" si="151"/>
        <v>97.854561878952126</v>
      </c>
      <c r="N1285" s="144">
        <f t="shared" ca="1" si="151"/>
        <v>5.9259259259259256</v>
      </c>
      <c r="O1285" s="144">
        <f t="shared" ca="1" si="151"/>
        <v>32.929087624209579</v>
      </c>
      <c r="P1285" s="144">
        <f t="shared" ca="1" si="151"/>
        <v>1</v>
      </c>
      <c r="Q1285" s="144">
        <f t="shared" ca="1" si="151"/>
        <v>0.75278530563083412</v>
      </c>
    </row>
    <row r="1286" spans="1:17" x14ac:dyDescent="0.25">
      <c r="A1286" s="145">
        <v>41484</v>
      </c>
      <c r="B1286" s="144">
        <v>1.327</v>
      </c>
      <c r="C1286" s="144">
        <v>43.555999999999997</v>
      </c>
      <c r="D1286" s="144">
        <v>7.8605</v>
      </c>
      <c r="E1286" s="144">
        <v>129.91</v>
      </c>
      <c r="F1286" s="144">
        <v>0.86339999999999995</v>
      </c>
      <c r="G1286" s="144">
        <v>1.2330000000000001</v>
      </c>
      <c r="I1286" s="144">
        <v>1</v>
      </c>
      <c r="J1286" s="145">
        <f t="shared" si="150"/>
        <v>41484</v>
      </c>
      <c r="K1286" s="144">
        <f t="shared" ca="1" si="151"/>
        <v>0.92916352675207248</v>
      </c>
      <c r="L1286" s="144">
        <f t="shared" ca="1" si="151"/>
        <v>0.65064054257724191</v>
      </c>
      <c r="M1286" s="144">
        <f t="shared" ca="1" si="151"/>
        <v>97.897513187641295</v>
      </c>
      <c r="N1286" s="144">
        <f t="shared" ca="1" si="151"/>
        <v>5.9235116804822914</v>
      </c>
      <c r="O1286" s="144">
        <f t="shared" ca="1" si="151"/>
        <v>32.822908816880179</v>
      </c>
      <c r="P1286" s="144">
        <f t="shared" ca="1" si="151"/>
        <v>1</v>
      </c>
      <c r="Q1286" s="144">
        <f t="shared" ca="1" si="151"/>
        <v>0.75357950263752826</v>
      </c>
    </row>
    <row r="1287" spans="1:17" x14ac:dyDescent="0.25">
      <c r="A1287" s="145">
        <v>41483</v>
      </c>
      <c r="B1287" s="144">
        <v>1.3260000000000001</v>
      </c>
      <c r="C1287" s="144">
        <v>43.353999999999999</v>
      </c>
      <c r="D1287" s="144">
        <v>7.8639999999999999</v>
      </c>
      <c r="E1287" s="144">
        <v>130.84</v>
      </c>
      <c r="F1287" s="144">
        <v>0.86104999999999998</v>
      </c>
      <c r="G1287" s="144">
        <v>1.2334000000000001</v>
      </c>
      <c r="I1287" s="144">
        <v>1</v>
      </c>
      <c r="J1287" s="145">
        <f t="shared" si="150"/>
        <v>41483</v>
      </c>
      <c r="K1287" s="144">
        <f t="shared" ca="1" si="151"/>
        <v>0.93016591251885372</v>
      </c>
      <c r="L1287" s="144">
        <f t="shared" ca="1" si="151"/>
        <v>0.64935897435897427</v>
      </c>
      <c r="M1287" s="144">
        <f t="shared" ca="1" si="151"/>
        <v>98.672699849170428</v>
      </c>
      <c r="N1287" s="144">
        <f t="shared" ca="1" si="151"/>
        <v>5.9306184012066359</v>
      </c>
      <c r="O1287" s="144">
        <f t="shared" ca="1" si="151"/>
        <v>32.695324283559579</v>
      </c>
      <c r="P1287" s="144">
        <f t="shared" ca="1" si="151"/>
        <v>1</v>
      </c>
      <c r="Q1287" s="144">
        <f t="shared" ca="1" si="151"/>
        <v>0.75414781297134237</v>
      </c>
    </row>
    <row r="1288" spans="1:17" x14ac:dyDescent="0.25">
      <c r="A1288" s="145">
        <v>41482</v>
      </c>
      <c r="B1288" s="144">
        <v>1.3260000000000001</v>
      </c>
      <c r="C1288" s="144">
        <v>43.353999999999999</v>
      </c>
      <c r="D1288" s="144">
        <v>7.8639999999999999</v>
      </c>
      <c r="E1288" s="144">
        <v>130.84</v>
      </c>
      <c r="F1288" s="144">
        <v>0.86104999999999998</v>
      </c>
      <c r="G1288" s="144">
        <v>1.2334000000000001</v>
      </c>
      <c r="I1288" s="144">
        <v>1</v>
      </c>
      <c r="J1288" s="145">
        <f t="shared" si="150"/>
        <v>41482</v>
      </c>
      <c r="K1288" s="144">
        <f t="shared" ca="1" si="151"/>
        <v>0.93016591251885372</v>
      </c>
      <c r="L1288" s="144">
        <f t="shared" ca="1" si="151"/>
        <v>0.64935897435897427</v>
      </c>
      <c r="M1288" s="144">
        <f t="shared" ca="1" si="151"/>
        <v>98.672699849170428</v>
      </c>
      <c r="N1288" s="144">
        <f t="shared" ca="1" si="151"/>
        <v>5.9306184012066359</v>
      </c>
      <c r="O1288" s="144">
        <f t="shared" ca="1" si="151"/>
        <v>32.695324283559579</v>
      </c>
      <c r="P1288" s="144">
        <f t="shared" ca="1" si="151"/>
        <v>1</v>
      </c>
      <c r="Q1288" s="144">
        <f t="shared" ca="1" si="151"/>
        <v>0.75414781297134237</v>
      </c>
    </row>
    <row r="1289" spans="1:17" x14ac:dyDescent="0.25">
      <c r="A1289" s="145">
        <v>41481</v>
      </c>
      <c r="B1289" s="144">
        <v>1.3260000000000001</v>
      </c>
      <c r="C1289" s="144">
        <v>43.353999999999999</v>
      </c>
      <c r="D1289" s="144">
        <v>7.8639999999999999</v>
      </c>
      <c r="E1289" s="144">
        <v>130.84</v>
      </c>
      <c r="F1289" s="144">
        <v>0.86104999999999998</v>
      </c>
      <c r="G1289" s="144">
        <v>1.2334000000000001</v>
      </c>
      <c r="I1289" s="144">
        <v>1</v>
      </c>
      <c r="J1289" s="145">
        <f t="shared" si="150"/>
        <v>41481</v>
      </c>
      <c r="K1289" s="144">
        <f t="shared" ca="1" si="151"/>
        <v>0.93016591251885372</v>
      </c>
      <c r="L1289" s="144">
        <f t="shared" ca="1" si="151"/>
        <v>0.64935897435897427</v>
      </c>
      <c r="M1289" s="144">
        <f t="shared" ca="1" si="151"/>
        <v>98.672699849170428</v>
      </c>
      <c r="N1289" s="144">
        <f t="shared" ca="1" si="151"/>
        <v>5.9306184012066359</v>
      </c>
      <c r="O1289" s="144">
        <f t="shared" ca="1" si="151"/>
        <v>32.695324283559579</v>
      </c>
      <c r="P1289" s="144">
        <f t="shared" ca="1" si="151"/>
        <v>1</v>
      </c>
      <c r="Q1289" s="144">
        <f t="shared" ca="1" si="151"/>
        <v>0.75414781297134237</v>
      </c>
    </row>
    <row r="1290" spans="1:17" x14ac:dyDescent="0.25">
      <c r="A1290" s="145">
        <v>41480</v>
      </c>
      <c r="B1290" s="144">
        <v>1.3202</v>
      </c>
      <c r="C1290" s="144">
        <v>43.01</v>
      </c>
      <c r="D1290" s="144">
        <v>7.8254999999999999</v>
      </c>
      <c r="E1290" s="144">
        <v>131.81</v>
      </c>
      <c r="F1290" s="144">
        <v>0.86370000000000002</v>
      </c>
      <c r="G1290" s="144">
        <v>1.2364999999999999</v>
      </c>
      <c r="I1290" s="144">
        <v>1</v>
      </c>
      <c r="J1290" s="145">
        <f t="shared" si="150"/>
        <v>41480</v>
      </c>
      <c r="K1290" s="144">
        <f t="shared" ca="1" si="151"/>
        <v>0.93660051507347364</v>
      </c>
      <c r="L1290" s="144">
        <f t="shared" ca="1" si="151"/>
        <v>0.65421905771852751</v>
      </c>
      <c r="M1290" s="144">
        <f t="shared" ca="1" si="151"/>
        <v>99.840933191940607</v>
      </c>
      <c r="N1290" s="144">
        <f t="shared" ca="1" si="151"/>
        <v>5.9275109831843658</v>
      </c>
      <c r="O1290" s="144">
        <f t="shared" ca="1" si="151"/>
        <v>32.57839721254355</v>
      </c>
      <c r="P1290" s="144">
        <f t="shared" ca="1" si="151"/>
        <v>1</v>
      </c>
      <c r="Q1290" s="144">
        <f t="shared" ca="1" si="151"/>
        <v>0.75746099075897588</v>
      </c>
    </row>
    <row r="1291" spans="1:17" x14ac:dyDescent="0.25">
      <c r="A1291" s="145">
        <v>41479</v>
      </c>
      <c r="B1291" s="144">
        <v>1.3246</v>
      </c>
      <c r="C1291" s="144">
        <v>42.8003</v>
      </c>
      <c r="D1291" s="144">
        <v>7.7845000000000004</v>
      </c>
      <c r="E1291" s="144">
        <v>132.6</v>
      </c>
      <c r="F1291" s="144">
        <v>0.86260000000000003</v>
      </c>
      <c r="G1291" s="144">
        <v>1.2387999999999999</v>
      </c>
      <c r="I1291" s="144">
        <v>1</v>
      </c>
      <c r="J1291" s="145">
        <f t="shared" si="150"/>
        <v>41479</v>
      </c>
      <c r="K1291" s="144">
        <f t="shared" ca="1" si="151"/>
        <v>0.93522572852181785</v>
      </c>
      <c r="L1291" s="144">
        <f t="shared" ca="1" si="151"/>
        <v>0.65121546127132723</v>
      </c>
      <c r="M1291" s="144">
        <f t="shared" ca="1" si="151"/>
        <v>100.10569228446323</v>
      </c>
      <c r="N1291" s="144">
        <f t="shared" ca="1" si="151"/>
        <v>5.8768684886003326</v>
      </c>
      <c r="O1291" s="144">
        <f t="shared" ca="1" si="151"/>
        <v>32.31186773365544</v>
      </c>
      <c r="P1291" s="144">
        <f t="shared" ca="1" si="151"/>
        <v>1</v>
      </c>
      <c r="Q1291" s="144">
        <f t="shared" ca="1" si="151"/>
        <v>0.75494488902310131</v>
      </c>
    </row>
    <row r="1292" spans="1:17" x14ac:dyDescent="0.25">
      <c r="A1292" s="145">
        <v>41478</v>
      </c>
      <c r="B1292" s="144">
        <v>1.3180000000000001</v>
      </c>
      <c r="C1292" s="144">
        <v>42.700200000000002</v>
      </c>
      <c r="D1292" s="144">
        <v>7.8159999999999998</v>
      </c>
      <c r="E1292" s="144">
        <v>131.91</v>
      </c>
      <c r="F1292" s="144">
        <v>0.85955000000000004</v>
      </c>
      <c r="G1292" s="144">
        <v>1.2386999999999999</v>
      </c>
      <c r="I1292" s="144">
        <v>1</v>
      </c>
      <c r="J1292" s="145">
        <f t="shared" si="150"/>
        <v>41478</v>
      </c>
      <c r="K1292" s="144">
        <f t="shared" ca="1" si="151"/>
        <v>0.93983308042488611</v>
      </c>
      <c r="L1292" s="144">
        <f t="shared" ca="1" si="151"/>
        <v>0.6521623672230652</v>
      </c>
      <c r="M1292" s="144">
        <f t="shared" ca="1" si="151"/>
        <v>100.08345978755689</v>
      </c>
      <c r="N1292" s="144">
        <f t="shared" ca="1" si="151"/>
        <v>5.9301972685887705</v>
      </c>
      <c r="O1292" s="144">
        <f t="shared" ca="1" si="151"/>
        <v>32.397723823975724</v>
      </c>
      <c r="P1292" s="144">
        <f t="shared" ca="1" si="151"/>
        <v>1</v>
      </c>
      <c r="Q1292" s="144">
        <f t="shared" ca="1" si="151"/>
        <v>0.75872534142640358</v>
      </c>
    </row>
    <row r="1293" spans="1:17" x14ac:dyDescent="0.25">
      <c r="A1293" s="145">
        <v>41477</v>
      </c>
      <c r="B1293" s="144">
        <v>1.3166</v>
      </c>
      <c r="C1293" s="144">
        <v>42.542999999999999</v>
      </c>
      <c r="D1293" s="144">
        <v>7.8230000000000004</v>
      </c>
      <c r="E1293" s="144">
        <v>131.47</v>
      </c>
      <c r="F1293" s="144">
        <v>0.85899999999999999</v>
      </c>
      <c r="G1293" s="144">
        <v>1.2370000000000001</v>
      </c>
      <c r="I1293" s="144">
        <v>1</v>
      </c>
      <c r="J1293" s="145">
        <f t="shared" si="150"/>
        <v>41477</v>
      </c>
      <c r="K1293" s="144">
        <f t="shared" ca="1" si="151"/>
        <v>0.93954124259456184</v>
      </c>
      <c r="L1293" s="144">
        <f t="shared" ca="1" si="151"/>
        <v>0.65243809813155096</v>
      </c>
      <c r="M1293" s="144">
        <f t="shared" ca="1" si="151"/>
        <v>99.855688895640284</v>
      </c>
      <c r="N1293" s="144">
        <f t="shared" ca="1" si="151"/>
        <v>5.941819838979189</v>
      </c>
      <c r="O1293" s="144">
        <f t="shared" ca="1" si="151"/>
        <v>32.312775330396477</v>
      </c>
      <c r="P1293" s="144">
        <f t="shared" ca="1" si="151"/>
        <v>1</v>
      </c>
      <c r="Q1293" s="144">
        <f t="shared" ca="1" si="151"/>
        <v>0.75953212820902327</v>
      </c>
    </row>
    <row r="1294" spans="1:17" x14ac:dyDescent="0.25">
      <c r="A1294" s="145">
        <v>41476</v>
      </c>
      <c r="B1294" s="144">
        <v>1.3123</v>
      </c>
      <c r="C1294" s="144">
        <v>42.457999999999998</v>
      </c>
      <c r="D1294" s="144">
        <v>7.8559999999999999</v>
      </c>
      <c r="E1294" s="144">
        <v>131.66999999999999</v>
      </c>
      <c r="F1294" s="144">
        <v>0.85994999999999999</v>
      </c>
      <c r="G1294" s="144">
        <v>1.2361</v>
      </c>
      <c r="I1294" s="144">
        <v>1</v>
      </c>
      <c r="J1294" s="145">
        <f t="shared" si="150"/>
        <v>41476</v>
      </c>
      <c r="K1294" s="144">
        <f t="shared" ca="1" si="151"/>
        <v>0.94193400899184632</v>
      </c>
      <c r="L1294" s="144">
        <f t="shared" ca="1" si="151"/>
        <v>0.65529985521603296</v>
      </c>
      <c r="M1294" s="144">
        <f t="shared" ca="1" si="151"/>
        <v>100.33528918692372</v>
      </c>
      <c r="N1294" s="144">
        <f t="shared" ca="1" si="151"/>
        <v>5.9864360283471765</v>
      </c>
      <c r="O1294" s="144">
        <f t="shared" ca="1" si="151"/>
        <v>32.3538824963804</v>
      </c>
      <c r="P1294" s="144">
        <f t="shared" ca="1" si="151"/>
        <v>1</v>
      </c>
      <c r="Q1294" s="144">
        <f t="shared" ca="1" si="151"/>
        <v>0.76202087937209473</v>
      </c>
    </row>
    <row r="1295" spans="1:17" x14ac:dyDescent="0.25">
      <c r="A1295" s="145">
        <v>41475</v>
      </c>
      <c r="B1295" s="144">
        <v>1.3123</v>
      </c>
      <c r="C1295" s="144">
        <v>42.457999999999998</v>
      </c>
      <c r="D1295" s="144">
        <v>7.8559999999999999</v>
      </c>
      <c r="E1295" s="144">
        <v>131.66999999999999</v>
      </c>
      <c r="F1295" s="144">
        <v>0.85994999999999999</v>
      </c>
      <c r="G1295" s="144">
        <v>1.2361</v>
      </c>
      <c r="I1295" s="144">
        <v>1</v>
      </c>
      <c r="J1295" s="145">
        <f t="shared" si="150"/>
        <v>41475</v>
      </c>
      <c r="K1295" s="144">
        <f t="shared" ref="K1295:Q1304" ca="1" si="152">OFFSET($A1295,0,K$3)/OFFSET($A1295,0,$P$3)</f>
        <v>0.94193400899184632</v>
      </c>
      <c r="L1295" s="144">
        <f t="shared" ca="1" si="152"/>
        <v>0.65529985521603296</v>
      </c>
      <c r="M1295" s="144">
        <f t="shared" ca="1" si="152"/>
        <v>100.33528918692372</v>
      </c>
      <c r="N1295" s="144">
        <f t="shared" ca="1" si="152"/>
        <v>5.9864360283471765</v>
      </c>
      <c r="O1295" s="144">
        <f t="shared" ca="1" si="152"/>
        <v>32.3538824963804</v>
      </c>
      <c r="P1295" s="144">
        <f t="shared" ca="1" si="152"/>
        <v>1</v>
      </c>
      <c r="Q1295" s="144">
        <f t="shared" ca="1" si="152"/>
        <v>0.76202087937209473</v>
      </c>
    </row>
    <row r="1296" spans="1:17" x14ac:dyDescent="0.25">
      <c r="A1296" s="145">
        <v>41474</v>
      </c>
      <c r="B1296" s="144">
        <v>1.3123</v>
      </c>
      <c r="C1296" s="144">
        <v>42.457999999999998</v>
      </c>
      <c r="D1296" s="144">
        <v>7.8559999999999999</v>
      </c>
      <c r="E1296" s="144">
        <v>131.66999999999999</v>
      </c>
      <c r="F1296" s="144">
        <v>0.85994999999999999</v>
      </c>
      <c r="G1296" s="144">
        <v>1.2361</v>
      </c>
      <c r="I1296" s="144">
        <v>1</v>
      </c>
      <c r="J1296" s="145">
        <f t="shared" si="150"/>
        <v>41474</v>
      </c>
      <c r="K1296" s="144">
        <f t="shared" ca="1" si="152"/>
        <v>0.94193400899184632</v>
      </c>
      <c r="L1296" s="144">
        <f t="shared" ca="1" si="152"/>
        <v>0.65529985521603296</v>
      </c>
      <c r="M1296" s="144">
        <f t="shared" ca="1" si="152"/>
        <v>100.33528918692372</v>
      </c>
      <c r="N1296" s="144">
        <f t="shared" ca="1" si="152"/>
        <v>5.9864360283471765</v>
      </c>
      <c r="O1296" s="144">
        <f t="shared" ca="1" si="152"/>
        <v>32.3538824963804</v>
      </c>
      <c r="P1296" s="144">
        <f t="shared" ca="1" si="152"/>
        <v>1</v>
      </c>
      <c r="Q1296" s="144">
        <f t="shared" ca="1" si="152"/>
        <v>0.76202087937209473</v>
      </c>
    </row>
    <row r="1297" spans="1:17" x14ac:dyDescent="0.25">
      <c r="A1297" s="145">
        <v>41473</v>
      </c>
      <c r="B1297" s="144">
        <v>1.3092999999999999</v>
      </c>
      <c r="C1297" s="144">
        <v>42.469700000000003</v>
      </c>
      <c r="D1297" s="144">
        <v>7.8535000000000004</v>
      </c>
      <c r="E1297" s="144">
        <v>131.22</v>
      </c>
      <c r="F1297" s="144">
        <v>0.8609</v>
      </c>
      <c r="G1297" s="144">
        <v>1.2370000000000001</v>
      </c>
      <c r="I1297" s="144">
        <v>1</v>
      </c>
      <c r="J1297" s="145">
        <f t="shared" si="150"/>
        <v>41473</v>
      </c>
      <c r="K1297" s="144">
        <f t="shared" ca="1" si="152"/>
        <v>0.94477965324982827</v>
      </c>
      <c r="L1297" s="144">
        <f t="shared" ca="1" si="152"/>
        <v>0.6575269227831666</v>
      </c>
      <c r="M1297" s="144">
        <f t="shared" ca="1" si="152"/>
        <v>100.22149240051937</v>
      </c>
      <c r="N1297" s="144">
        <f t="shared" ca="1" si="152"/>
        <v>5.9982433361338128</v>
      </c>
      <c r="O1297" s="144">
        <f t="shared" ca="1" si="152"/>
        <v>32.436951042541821</v>
      </c>
      <c r="P1297" s="144">
        <f t="shared" ca="1" si="152"/>
        <v>1</v>
      </c>
      <c r="Q1297" s="144">
        <f t="shared" ca="1" si="152"/>
        <v>0.7637668983426259</v>
      </c>
    </row>
    <row r="1298" spans="1:17" x14ac:dyDescent="0.25">
      <c r="A1298" s="145">
        <v>41472</v>
      </c>
      <c r="B1298" s="144">
        <v>1.3136000000000001</v>
      </c>
      <c r="C1298" s="144">
        <v>42.628</v>
      </c>
      <c r="D1298" s="144">
        <v>7.8775000000000004</v>
      </c>
      <c r="E1298" s="144">
        <v>131.15</v>
      </c>
      <c r="F1298" s="144">
        <v>0.86314999999999997</v>
      </c>
      <c r="G1298" s="144">
        <v>1.234</v>
      </c>
      <c r="I1298" s="144">
        <v>1</v>
      </c>
      <c r="J1298" s="145">
        <f t="shared" si="150"/>
        <v>41472</v>
      </c>
      <c r="K1298" s="144">
        <f t="shared" ca="1" si="152"/>
        <v>0.93940316686967107</v>
      </c>
      <c r="L1298" s="144">
        <f t="shared" ca="1" si="152"/>
        <v>0.65708739342265521</v>
      </c>
      <c r="M1298" s="144">
        <f t="shared" ca="1" si="152"/>
        <v>99.84013398294762</v>
      </c>
      <c r="N1298" s="144">
        <f t="shared" ca="1" si="152"/>
        <v>5.996878806333739</v>
      </c>
      <c r="O1298" s="144">
        <f t="shared" ca="1" si="152"/>
        <v>32.451278928136418</v>
      </c>
      <c r="P1298" s="144">
        <f t="shared" ca="1" si="152"/>
        <v>1</v>
      </c>
      <c r="Q1298" s="144">
        <f t="shared" ca="1" si="152"/>
        <v>0.76126674786845305</v>
      </c>
    </row>
    <row r="1299" spans="1:17" x14ac:dyDescent="0.25">
      <c r="A1299" s="145">
        <v>41471</v>
      </c>
      <c r="B1299" s="144">
        <v>1.3118000000000001</v>
      </c>
      <c r="C1299" s="144">
        <v>42.564399999999999</v>
      </c>
      <c r="D1299" s="144">
        <v>7.8935000000000004</v>
      </c>
      <c r="E1299" s="144">
        <v>130.35</v>
      </c>
      <c r="F1299" s="144">
        <v>0.86929999999999996</v>
      </c>
      <c r="G1299" s="144">
        <v>1.2371000000000001</v>
      </c>
      <c r="I1299" s="144">
        <v>1</v>
      </c>
      <c r="J1299" s="145">
        <f t="shared" si="150"/>
        <v>41471</v>
      </c>
      <c r="K1299" s="144">
        <f t="shared" ca="1" si="152"/>
        <v>0.94305534380240896</v>
      </c>
      <c r="L1299" s="144">
        <f t="shared" ca="1" si="152"/>
        <v>0.66267723738374751</v>
      </c>
      <c r="M1299" s="144">
        <f t="shared" ca="1" si="152"/>
        <v>99.367281597804535</v>
      </c>
      <c r="N1299" s="144">
        <f t="shared" ca="1" si="152"/>
        <v>6.0173044671443821</v>
      </c>
      <c r="O1299" s="144">
        <f t="shared" ca="1" si="152"/>
        <v>32.447324287238906</v>
      </c>
      <c r="P1299" s="144">
        <f t="shared" ca="1" si="152"/>
        <v>1</v>
      </c>
      <c r="Q1299" s="144">
        <f t="shared" ca="1" si="152"/>
        <v>0.76231132794633327</v>
      </c>
    </row>
    <row r="1300" spans="1:17" x14ac:dyDescent="0.25">
      <c r="A1300" s="145">
        <v>41470</v>
      </c>
      <c r="B1300" s="144">
        <v>1.3011999999999999</v>
      </c>
      <c r="C1300" s="144">
        <v>42.543999999999997</v>
      </c>
      <c r="D1300" s="144">
        <v>7.931</v>
      </c>
      <c r="E1300" s="144">
        <v>130.68</v>
      </c>
      <c r="F1300" s="144">
        <v>0.86470000000000002</v>
      </c>
      <c r="G1300" s="144">
        <v>1.2394000000000001</v>
      </c>
      <c r="I1300" s="144">
        <v>1</v>
      </c>
      <c r="J1300" s="145">
        <f t="shared" si="150"/>
        <v>41470</v>
      </c>
      <c r="K1300" s="144">
        <f t="shared" ca="1" si="152"/>
        <v>0.9525053796495544</v>
      </c>
      <c r="L1300" s="144">
        <f t="shared" ca="1" si="152"/>
        <v>0.66454042422379345</v>
      </c>
      <c r="M1300" s="144">
        <f t="shared" ca="1" si="152"/>
        <v>100.43037196434062</v>
      </c>
      <c r="N1300" s="144">
        <f t="shared" ca="1" si="152"/>
        <v>6.0951429449738708</v>
      </c>
      <c r="O1300" s="144">
        <f t="shared" ca="1" si="152"/>
        <v>32.695972948047952</v>
      </c>
      <c r="P1300" s="144">
        <f t="shared" ca="1" si="152"/>
        <v>1</v>
      </c>
      <c r="Q1300" s="144">
        <f t="shared" ca="1" si="152"/>
        <v>0.76852136489394407</v>
      </c>
    </row>
    <row r="1301" spans="1:17" x14ac:dyDescent="0.25">
      <c r="A1301" s="145">
        <v>41469</v>
      </c>
      <c r="B1301" s="144">
        <v>1.3033999999999999</v>
      </c>
      <c r="C1301" s="144">
        <v>42.685000000000002</v>
      </c>
      <c r="D1301" s="144">
        <v>7.9130000000000003</v>
      </c>
      <c r="E1301" s="144">
        <v>129.75</v>
      </c>
      <c r="F1301" s="144">
        <v>0.86270000000000002</v>
      </c>
      <c r="G1301" s="144">
        <v>1.2387999999999999</v>
      </c>
      <c r="I1301" s="144">
        <v>1</v>
      </c>
      <c r="J1301" s="145">
        <f t="shared" si="150"/>
        <v>41469</v>
      </c>
      <c r="K1301" s="144">
        <f t="shared" ca="1" si="152"/>
        <v>0.95043731778425655</v>
      </c>
      <c r="L1301" s="144">
        <f t="shared" ca="1" si="152"/>
        <v>0.66188430259321784</v>
      </c>
      <c r="M1301" s="144">
        <f t="shared" ca="1" si="152"/>
        <v>99.547337732085325</v>
      </c>
      <c r="N1301" s="144">
        <f t="shared" ca="1" si="152"/>
        <v>6.0710449593371187</v>
      </c>
      <c r="O1301" s="144">
        <f t="shared" ca="1" si="152"/>
        <v>32.748964247353079</v>
      </c>
      <c r="P1301" s="144">
        <f t="shared" ca="1" si="152"/>
        <v>1</v>
      </c>
      <c r="Q1301" s="144">
        <f t="shared" ca="1" si="152"/>
        <v>0.76722418290624528</v>
      </c>
    </row>
    <row r="1302" spans="1:17" x14ac:dyDescent="0.25">
      <c r="A1302" s="145">
        <v>41468</v>
      </c>
      <c r="B1302" s="144">
        <v>1.3033999999999999</v>
      </c>
      <c r="C1302" s="144">
        <v>42.685000000000002</v>
      </c>
      <c r="D1302" s="144">
        <v>7.9130000000000003</v>
      </c>
      <c r="E1302" s="144">
        <v>129.75</v>
      </c>
      <c r="F1302" s="144">
        <v>0.86270000000000002</v>
      </c>
      <c r="G1302" s="144">
        <v>1.2387999999999999</v>
      </c>
      <c r="I1302" s="144">
        <v>1</v>
      </c>
      <c r="J1302" s="145">
        <f t="shared" si="150"/>
        <v>41468</v>
      </c>
      <c r="K1302" s="144">
        <f t="shared" ca="1" si="152"/>
        <v>0.95043731778425655</v>
      </c>
      <c r="L1302" s="144">
        <f t="shared" ca="1" si="152"/>
        <v>0.66188430259321784</v>
      </c>
      <c r="M1302" s="144">
        <f t="shared" ca="1" si="152"/>
        <v>99.547337732085325</v>
      </c>
      <c r="N1302" s="144">
        <f t="shared" ca="1" si="152"/>
        <v>6.0710449593371187</v>
      </c>
      <c r="O1302" s="144">
        <f t="shared" ca="1" si="152"/>
        <v>32.748964247353079</v>
      </c>
      <c r="P1302" s="144">
        <f t="shared" ca="1" si="152"/>
        <v>1</v>
      </c>
      <c r="Q1302" s="144">
        <f t="shared" ca="1" si="152"/>
        <v>0.76722418290624528</v>
      </c>
    </row>
    <row r="1303" spans="1:17" x14ac:dyDescent="0.25">
      <c r="A1303" s="145">
        <v>41467</v>
      </c>
      <c r="B1303" s="144">
        <v>1.3033999999999999</v>
      </c>
      <c r="C1303" s="144">
        <v>42.685000000000002</v>
      </c>
      <c r="D1303" s="144">
        <v>7.9130000000000003</v>
      </c>
      <c r="E1303" s="144">
        <v>129.75</v>
      </c>
      <c r="F1303" s="144">
        <v>0.86270000000000002</v>
      </c>
      <c r="G1303" s="144">
        <v>1.2387999999999999</v>
      </c>
      <c r="I1303" s="144">
        <v>1</v>
      </c>
      <c r="J1303" s="145">
        <f t="shared" si="150"/>
        <v>41467</v>
      </c>
      <c r="K1303" s="144">
        <f t="shared" ca="1" si="152"/>
        <v>0.95043731778425655</v>
      </c>
      <c r="L1303" s="144">
        <f t="shared" ca="1" si="152"/>
        <v>0.66188430259321784</v>
      </c>
      <c r="M1303" s="144">
        <f t="shared" ca="1" si="152"/>
        <v>99.547337732085325</v>
      </c>
      <c r="N1303" s="144">
        <f t="shared" ca="1" si="152"/>
        <v>6.0710449593371187</v>
      </c>
      <c r="O1303" s="144">
        <f t="shared" ca="1" si="152"/>
        <v>32.748964247353079</v>
      </c>
      <c r="P1303" s="144">
        <f t="shared" ca="1" si="152"/>
        <v>1</v>
      </c>
      <c r="Q1303" s="144">
        <f t="shared" ca="1" si="152"/>
        <v>0.76722418290624528</v>
      </c>
    </row>
    <row r="1304" spans="1:17" x14ac:dyDescent="0.25">
      <c r="A1304" s="145">
        <v>41466</v>
      </c>
      <c r="B1304" s="144">
        <v>1.3044</v>
      </c>
      <c r="C1304" s="144">
        <v>42.540500000000002</v>
      </c>
      <c r="D1304" s="144">
        <v>7.9290000000000003</v>
      </c>
      <c r="E1304" s="144">
        <v>129.63</v>
      </c>
      <c r="F1304" s="144">
        <v>0.8629</v>
      </c>
      <c r="G1304" s="144">
        <v>1.2414000000000001</v>
      </c>
      <c r="I1304" s="144">
        <v>1</v>
      </c>
      <c r="J1304" s="145">
        <f t="shared" si="150"/>
        <v>41466</v>
      </c>
      <c r="K1304" s="144">
        <f t="shared" ca="1" si="152"/>
        <v>0.95170193192272312</v>
      </c>
      <c r="L1304" s="144">
        <f t="shared" ca="1" si="152"/>
        <v>0.66153020545844832</v>
      </c>
      <c r="M1304" s="144">
        <f t="shared" ca="1" si="152"/>
        <v>99.379024839006433</v>
      </c>
      <c r="N1304" s="144">
        <f t="shared" ca="1" si="152"/>
        <v>6.0786568537258514</v>
      </c>
      <c r="O1304" s="144">
        <f t="shared" ca="1" si="152"/>
        <v>32.61307881018093</v>
      </c>
      <c r="P1304" s="144">
        <f t="shared" ca="1" si="152"/>
        <v>1</v>
      </c>
      <c r="Q1304" s="144">
        <f t="shared" ca="1" si="152"/>
        <v>0.76663600122661757</v>
      </c>
    </row>
    <row r="1305" spans="1:17" x14ac:dyDescent="0.25">
      <c r="A1305" s="145">
        <v>41465</v>
      </c>
      <c r="B1305" s="144">
        <v>1.2813000000000001</v>
      </c>
      <c r="C1305" s="144">
        <v>42.170999999999999</v>
      </c>
      <c r="D1305" s="144">
        <v>7.8550000000000004</v>
      </c>
      <c r="E1305" s="144">
        <v>128.44</v>
      </c>
      <c r="F1305" s="144">
        <v>0.86019999999999996</v>
      </c>
      <c r="G1305" s="144">
        <v>1.244</v>
      </c>
      <c r="I1305" s="144">
        <v>1</v>
      </c>
      <c r="J1305" s="145">
        <f t="shared" si="150"/>
        <v>41465</v>
      </c>
      <c r="K1305" s="144">
        <f t="shared" ref="K1305:Q1314" ca="1" si="153">OFFSET($A1305,0,K$3)/OFFSET($A1305,0,$P$3)</f>
        <v>0.97088894091937872</v>
      </c>
      <c r="L1305" s="144">
        <f t="shared" ca="1" si="153"/>
        <v>0.67134941075470222</v>
      </c>
      <c r="M1305" s="144">
        <f t="shared" ca="1" si="153"/>
        <v>100.24194177788183</v>
      </c>
      <c r="N1305" s="144">
        <f t="shared" ca="1" si="153"/>
        <v>6.1304924685865911</v>
      </c>
      <c r="O1305" s="144">
        <f t="shared" ca="1" si="153"/>
        <v>32.912666822758133</v>
      </c>
      <c r="P1305" s="144">
        <f t="shared" ca="1" si="153"/>
        <v>1</v>
      </c>
      <c r="Q1305" s="144">
        <f t="shared" ca="1" si="153"/>
        <v>0.78045734800593136</v>
      </c>
    </row>
    <row r="1306" spans="1:17" x14ac:dyDescent="0.25">
      <c r="A1306" s="145">
        <v>41464</v>
      </c>
      <c r="B1306" s="144">
        <v>1.2857000000000001</v>
      </c>
      <c r="C1306" s="144">
        <v>42.398499999999999</v>
      </c>
      <c r="D1306" s="144">
        <v>7.9</v>
      </c>
      <c r="E1306" s="144">
        <v>130.07</v>
      </c>
      <c r="F1306" s="144">
        <v>0.86499999999999999</v>
      </c>
      <c r="G1306" s="144">
        <v>1.2452000000000001</v>
      </c>
      <c r="I1306" s="144">
        <v>1</v>
      </c>
      <c r="J1306" s="145">
        <f t="shared" si="150"/>
        <v>41464</v>
      </c>
      <c r="K1306" s="144">
        <f t="shared" ca="1" si="153"/>
        <v>0.96849964999611104</v>
      </c>
      <c r="L1306" s="144">
        <f t="shared" ca="1" si="153"/>
        <v>0.67278525316947957</v>
      </c>
      <c r="M1306" s="144">
        <f t="shared" ca="1" si="153"/>
        <v>101.16667962977365</v>
      </c>
      <c r="N1306" s="144">
        <f t="shared" ca="1" si="153"/>
        <v>6.1445127168079647</v>
      </c>
      <c r="O1306" s="144">
        <f t="shared" ca="1" si="153"/>
        <v>32.976977521972465</v>
      </c>
      <c r="P1306" s="144">
        <f t="shared" ca="1" si="153"/>
        <v>1</v>
      </c>
      <c r="Q1306" s="144">
        <f t="shared" ca="1" si="153"/>
        <v>0.77778641984910935</v>
      </c>
    </row>
    <row r="1307" spans="1:17" x14ac:dyDescent="0.25">
      <c r="A1307" s="145">
        <v>41463</v>
      </c>
      <c r="B1307" s="144">
        <v>1.2849999999999999</v>
      </c>
      <c r="C1307" s="144">
        <v>42.752000000000002</v>
      </c>
      <c r="D1307" s="144">
        <v>7.9649999999999999</v>
      </c>
      <c r="E1307" s="144">
        <v>130.04</v>
      </c>
      <c r="F1307" s="144">
        <v>0.86160000000000003</v>
      </c>
      <c r="G1307" s="144">
        <v>1.2403999999999999</v>
      </c>
      <c r="I1307" s="144">
        <v>1</v>
      </c>
      <c r="J1307" s="145">
        <f t="shared" si="150"/>
        <v>41463</v>
      </c>
      <c r="K1307" s="144">
        <f t="shared" ca="1" si="153"/>
        <v>0.96529182879377429</v>
      </c>
      <c r="L1307" s="144">
        <f t="shared" ca="1" si="153"/>
        <v>0.67050583657587559</v>
      </c>
      <c r="M1307" s="144">
        <f t="shared" ca="1" si="153"/>
        <v>101.19844357976653</v>
      </c>
      <c r="N1307" s="144">
        <f t="shared" ca="1" si="153"/>
        <v>6.1984435797665371</v>
      </c>
      <c r="O1307" s="144">
        <f t="shared" ca="1" si="153"/>
        <v>33.270038910505839</v>
      </c>
      <c r="P1307" s="144">
        <f t="shared" ca="1" si="153"/>
        <v>1</v>
      </c>
      <c r="Q1307" s="144">
        <f t="shared" ca="1" si="153"/>
        <v>0.77821011673151752</v>
      </c>
    </row>
    <row r="1308" spans="1:17" x14ac:dyDescent="0.25">
      <c r="A1308" s="145">
        <v>41462</v>
      </c>
      <c r="B1308" s="144">
        <v>1.2883</v>
      </c>
      <c r="C1308" s="144">
        <v>42.762999999999998</v>
      </c>
      <c r="D1308" s="144">
        <v>7.9524999999999997</v>
      </c>
      <c r="E1308" s="144">
        <v>128.97</v>
      </c>
      <c r="F1308" s="144">
        <v>0.86055000000000004</v>
      </c>
      <c r="G1308" s="144">
        <v>1.2347999999999999</v>
      </c>
      <c r="I1308" s="144">
        <v>1</v>
      </c>
      <c r="J1308" s="145">
        <f t="shared" si="150"/>
        <v>41462</v>
      </c>
      <c r="K1308" s="144">
        <f t="shared" ca="1" si="153"/>
        <v>0.9584724054956143</v>
      </c>
      <c r="L1308" s="144">
        <f t="shared" ca="1" si="153"/>
        <v>0.66797329814484208</v>
      </c>
      <c r="M1308" s="144">
        <f t="shared" ca="1" si="153"/>
        <v>100.10867034075913</v>
      </c>
      <c r="N1308" s="144">
        <f t="shared" ca="1" si="153"/>
        <v>6.1728634634790032</v>
      </c>
      <c r="O1308" s="144">
        <f t="shared" ca="1" si="153"/>
        <v>33.193355584879299</v>
      </c>
      <c r="P1308" s="144">
        <f t="shared" ca="1" si="153"/>
        <v>1</v>
      </c>
      <c r="Q1308" s="144">
        <f t="shared" ca="1" si="153"/>
        <v>0.77621671970814254</v>
      </c>
    </row>
    <row r="1309" spans="1:17" x14ac:dyDescent="0.25">
      <c r="A1309" s="145">
        <v>41461</v>
      </c>
      <c r="B1309" s="144">
        <v>1.2883</v>
      </c>
      <c r="C1309" s="144">
        <v>42.762999999999998</v>
      </c>
      <c r="D1309" s="144">
        <v>7.9524999999999997</v>
      </c>
      <c r="E1309" s="144">
        <v>128.97</v>
      </c>
      <c r="F1309" s="144">
        <v>0.86055000000000004</v>
      </c>
      <c r="G1309" s="144">
        <v>1.2347999999999999</v>
      </c>
      <c r="I1309" s="144">
        <v>1</v>
      </c>
      <c r="J1309" s="145">
        <f t="shared" si="150"/>
        <v>41461</v>
      </c>
      <c r="K1309" s="144">
        <f t="shared" ca="1" si="153"/>
        <v>0.9584724054956143</v>
      </c>
      <c r="L1309" s="144">
        <f t="shared" ca="1" si="153"/>
        <v>0.66797329814484208</v>
      </c>
      <c r="M1309" s="144">
        <f t="shared" ca="1" si="153"/>
        <v>100.10867034075913</v>
      </c>
      <c r="N1309" s="144">
        <f t="shared" ca="1" si="153"/>
        <v>6.1728634634790032</v>
      </c>
      <c r="O1309" s="144">
        <f t="shared" ca="1" si="153"/>
        <v>33.193355584879299</v>
      </c>
      <c r="P1309" s="144">
        <f t="shared" ca="1" si="153"/>
        <v>1</v>
      </c>
      <c r="Q1309" s="144">
        <f t="shared" ca="1" si="153"/>
        <v>0.77621671970814254</v>
      </c>
    </row>
    <row r="1310" spans="1:17" x14ac:dyDescent="0.25">
      <c r="A1310" s="145">
        <v>41460</v>
      </c>
      <c r="B1310" s="144">
        <v>1.2883</v>
      </c>
      <c r="C1310" s="144">
        <v>42.762999999999998</v>
      </c>
      <c r="D1310" s="144">
        <v>7.9524999999999997</v>
      </c>
      <c r="E1310" s="144">
        <v>128.97</v>
      </c>
      <c r="F1310" s="144">
        <v>0.86055000000000004</v>
      </c>
      <c r="G1310" s="144">
        <v>1.2347999999999999</v>
      </c>
      <c r="I1310" s="144">
        <v>1</v>
      </c>
      <c r="J1310" s="145">
        <f t="shared" si="150"/>
        <v>41460</v>
      </c>
      <c r="K1310" s="144">
        <f t="shared" ca="1" si="153"/>
        <v>0.9584724054956143</v>
      </c>
      <c r="L1310" s="144">
        <f t="shared" ca="1" si="153"/>
        <v>0.66797329814484208</v>
      </c>
      <c r="M1310" s="144">
        <f t="shared" ca="1" si="153"/>
        <v>100.10867034075913</v>
      </c>
      <c r="N1310" s="144">
        <f t="shared" ca="1" si="153"/>
        <v>6.1728634634790032</v>
      </c>
      <c r="O1310" s="144">
        <f t="shared" ca="1" si="153"/>
        <v>33.193355584879299</v>
      </c>
      <c r="P1310" s="144">
        <f t="shared" ca="1" si="153"/>
        <v>1</v>
      </c>
      <c r="Q1310" s="144">
        <f t="shared" ca="1" si="153"/>
        <v>0.77621671970814254</v>
      </c>
    </row>
    <row r="1311" spans="1:17" x14ac:dyDescent="0.25">
      <c r="A1311" s="145">
        <v>41459</v>
      </c>
      <c r="B1311" s="144">
        <v>1.2984</v>
      </c>
      <c r="C1311" s="144">
        <v>43.104999999999997</v>
      </c>
      <c r="D1311" s="144">
        <v>7.9349999999999996</v>
      </c>
      <c r="E1311" s="144">
        <v>129.63999999999999</v>
      </c>
      <c r="F1311" s="144">
        <v>0.85980000000000001</v>
      </c>
      <c r="G1311" s="144">
        <v>1.2327999999999999</v>
      </c>
      <c r="I1311" s="144">
        <v>1</v>
      </c>
      <c r="J1311" s="145">
        <f t="shared" si="150"/>
        <v>41459</v>
      </c>
      <c r="K1311" s="144">
        <f t="shared" ca="1" si="153"/>
        <v>0.94947627849661109</v>
      </c>
      <c r="L1311" s="144">
        <f t="shared" ca="1" si="153"/>
        <v>0.6621996303142329</v>
      </c>
      <c r="M1311" s="144">
        <f t="shared" ca="1" si="153"/>
        <v>99.845964263709163</v>
      </c>
      <c r="N1311" s="144">
        <f t="shared" ca="1" si="153"/>
        <v>6.1113678373382623</v>
      </c>
      <c r="O1311" s="144">
        <f t="shared" ca="1" si="153"/>
        <v>33.198552064078861</v>
      </c>
      <c r="P1311" s="144">
        <f t="shared" ca="1" si="153"/>
        <v>1</v>
      </c>
      <c r="Q1311" s="144">
        <f t="shared" ca="1" si="153"/>
        <v>0.7701786814540974</v>
      </c>
    </row>
    <row r="1312" spans="1:17" x14ac:dyDescent="0.25">
      <c r="A1312" s="145">
        <v>41458</v>
      </c>
      <c r="B1312" s="144">
        <v>1.2959000000000001</v>
      </c>
      <c r="C1312" s="144">
        <v>43.1</v>
      </c>
      <c r="D1312" s="144">
        <v>7.9355000000000002</v>
      </c>
      <c r="E1312" s="144">
        <v>128.85</v>
      </c>
      <c r="F1312" s="144">
        <v>0.84919999999999995</v>
      </c>
      <c r="G1312" s="144">
        <v>1.2284999999999999</v>
      </c>
      <c r="I1312" s="144">
        <v>1</v>
      </c>
      <c r="J1312" s="145">
        <f t="shared" si="150"/>
        <v>41458</v>
      </c>
      <c r="K1312" s="144">
        <f t="shared" ca="1" si="153"/>
        <v>0.94798981402886018</v>
      </c>
      <c r="L1312" s="144">
        <f t="shared" ca="1" si="153"/>
        <v>0.65529747665714944</v>
      </c>
      <c r="M1312" s="144">
        <f t="shared" ca="1" si="153"/>
        <v>99.428968284589857</v>
      </c>
      <c r="N1312" s="144">
        <f t="shared" ca="1" si="153"/>
        <v>6.1235434832934637</v>
      </c>
      <c r="O1312" s="144">
        <f t="shared" ca="1" si="153"/>
        <v>33.258739100239218</v>
      </c>
      <c r="P1312" s="144">
        <f t="shared" ca="1" si="153"/>
        <v>1</v>
      </c>
      <c r="Q1312" s="144">
        <f t="shared" ca="1" si="153"/>
        <v>0.7716644802839725</v>
      </c>
    </row>
    <row r="1313" spans="1:17" x14ac:dyDescent="0.25">
      <c r="A1313" s="145">
        <v>41457</v>
      </c>
      <c r="B1313" s="144">
        <v>1.3017000000000001</v>
      </c>
      <c r="C1313" s="144">
        <v>43.051099999999998</v>
      </c>
      <c r="D1313" s="144">
        <v>7.92</v>
      </c>
      <c r="E1313" s="144">
        <v>130.08000000000001</v>
      </c>
      <c r="F1313" s="144">
        <v>0.8579</v>
      </c>
      <c r="G1313" s="144">
        <v>1.2354000000000001</v>
      </c>
      <c r="I1313" s="144">
        <v>1</v>
      </c>
      <c r="J1313" s="145">
        <f t="shared" si="150"/>
        <v>41457</v>
      </c>
      <c r="K1313" s="144">
        <f t="shared" ca="1" si="153"/>
        <v>0.94906660520857333</v>
      </c>
      <c r="L1313" s="144">
        <f t="shared" ca="1" si="153"/>
        <v>0.65906122762541286</v>
      </c>
      <c r="M1313" s="144">
        <f t="shared" ca="1" si="153"/>
        <v>99.930859645079508</v>
      </c>
      <c r="N1313" s="144">
        <f t="shared" ca="1" si="153"/>
        <v>6.0843512330029954</v>
      </c>
      <c r="O1313" s="144">
        <f t="shared" ca="1" si="153"/>
        <v>33.072981485749402</v>
      </c>
      <c r="P1313" s="144">
        <f t="shared" ca="1" si="153"/>
        <v>1</v>
      </c>
      <c r="Q1313" s="144">
        <f t="shared" ca="1" si="153"/>
        <v>0.76822616578320657</v>
      </c>
    </row>
    <row r="1314" spans="1:17" x14ac:dyDescent="0.25">
      <c r="A1314" s="145">
        <v>41456</v>
      </c>
      <c r="B1314" s="144">
        <v>1.3037000000000001</v>
      </c>
      <c r="C1314" s="144">
        <v>43.060600000000001</v>
      </c>
      <c r="D1314" s="144">
        <v>7.8985000000000003</v>
      </c>
      <c r="E1314" s="144">
        <v>129.99</v>
      </c>
      <c r="F1314" s="144">
        <v>0.85624999999999996</v>
      </c>
      <c r="G1314" s="144">
        <v>1.234</v>
      </c>
      <c r="I1314" s="144">
        <v>1</v>
      </c>
      <c r="J1314" s="145">
        <f t="shared" si="150"/>
        <v>41456</v>
      </c>
      <c r="K1314" s="144">
        <f t="shared" ca="1" si="153"/>
        <v>0.94653677993403385</v>
      </c>
      <c r="L1314" s="144">
        <f t="shared" ca="1" si="153"/>
        <v>0.65678453631970535</v>
      </c>
      <c r="M1314" s="144">
        <f t="shared" ca="1" si="153"/>
        <v>99.708521899209941</v>
      </c>
      <c r="N1314" s="144">
        <f t="shared" ca="1" si="153"/>
        <v>6.0585257344481089</v>
      </c>
      <c r="O1314" s="144">
        <f t="shared" ca="1" si="153"/>
        <v>33.029531333895832</v>
      </c>
      <c r="P1314" s="144">
        <f t="shared" ca="1" si="153"/>
        <v>1</v>
      </c>
      <c r="Q1314" s="144">
        <f t="shared" ca="1" si="153"/>
        <v>0.76704763365805007</v>
      </c>
    </row>
    <row r="1315" spans="1:17" x14ac:dyDescent="0.25">
      <c r="A1315" s="145">
        <v>41455</v>
      </c>
      <c r="B1315" s="144">
        <v>1.3080000000000001</v>
      </c>
      <c r="C1315" s="144">
        <v>42.844999999999999</v>
      </c>
      <c r="D1315" s="144">
        <v>7.8845000000000001</v>
      </c>
      <c r="E1315" s="144">
        <v>129.38999999999999</v>
      </c>
      <c r="F1315" s="144">
        <v>0.85719999999999996</v>
      </c>
      <c r="G1315" s="144">
        <v>1.2338</v>
      </c>
      <c r="I1315" s="144">
        <v>1</v>
      </c>
      <c r="J1315" s="145">
        <f t="shared" si="150"/>
        <v>41455</v>
      </c>
      <c r="K1315" s="144">
        <f t="shared" ref="K1315:Q1324" ca="1" si="154">OFFSET($A1315,0,K$3)/OFFSET($A1315,0,$P$3)</f>
        <v>0.94327217125382257</v>
      </c>
      <c r="L1315" s="144">
        <f t="shared" ca="1" si="154"/>
        <v>0.65535168195718652</v>
      </c>
      <c r="M1315" s="144">
        <f t="shared" ca="1" si="154"/>
        <v>98.922018348623837</v>
      </c>
      <c r="N1315" s="144">
        <f t="shared" ca="1" si="154"/>
        <v>6.0279051987767582</v>
      </c>
      <c r="O1315" s="144">
        <f t="shared" ca="1" si="154"/>
        <v>32.756116207951067</v>
      </c>
      <c r="P1315" s="144">
        <f t="shared" ca="1" si="154"/>
        <v>1</v>
      </c>
      <c r="Q1315" s="144">
        <f t="shared" ca="1" si="154"/>
        <v>0.76452599388379205</v>
      </c>
    </row>
    <row r="1316" spans="1:17" x14ac:dyDescent="0.25">
      <c r="A1316" s="145">
        <v>41454</v>
      </c>
      <c r="B1316" s="144">
        <v>1.3080000000000001</v>
      </c>
      <c r="C1316" s="144">
        <v>42.844999999999999</v>
      </c>
      <c r="D1316" s="144">
        <v>7.8845000000000001</v>
      </c>
      <c r="E1316" s="144">
        <v>129.38999999999999</v>
      </c>
      <c r="F1316" s="144">
        <v>0.85719999999999996</v>
      </c>
      <c r="G1316" s="144">
        <v>1.2338</v>
      </c>
      <c r="I1316" s="144">
        <v>1</v>
      </c>
      <c r="J1316" s="145">
        <f t="shared" si="150"/>
        <v>41454</v>
      </c>
      <c r="K1316" s="144">
        <f t="shared" ca="1" si="154"/>
        <v>0.94327217125382257</v>
      </c>
      <c r="L1316" s="144">
        <f t="shared" ca="1" si="154"/>
        <v>0.65535168195718652</v>
      </c>
      <c r="M1316" s="144">
        <f t="shared" ca="1" si="154"/>
        <v>98.922018348623837</v>
      </c>
      <c r="N1316" s="144">
        <f t="shared" ca="1" si="154"/>
        <v>6.0279051987767582</v>
      </c>
      <c r="O1316" s="144">
        <f t="shared" ca="1" si="154"/>
        <v>32.756116207951067</v>
      </c>
      <c r="P1316" s="144">
        <f t="shared" ca="1" si="154"/>
        <v>1</v>
      </c>
      <c r="Q1316" s="144">
        <f t="shared" ca="1" si="154"/>
        <v>0.76452599388379205</v>
      </c>
    </row>
    <row r="1317" spans="1:17" x14ac:dyDescent="0.25">
      <c r="A1317" s="145">
        <v>41453</v>
      </c>
      <c r="B1317" s="144">
        <v>1.3080000000000001</v>
      </c>
      <c r="C1317" s="144">
        <v>42.844999999999999</v>
      </c>
      <c r="D1317" s="144">
        <v>7.8845000000000001</v>
      </c>
      <c r="E1317" s="144">
        <v>129.38999999999999</v>
      </c>
      <c r="F1317" s="144">
        <v>0.85719999999999996</v>
      </c>
      <c r="G1317" s="144">
        <v>1.2338</v>
      </c>
      <c r="I1317" s="144">
        <v>1</v>
      </c>
      <c r="J1317" s="145">
        <f t="shared" si="150"/>
        <v>41453</v>
      </c>
      <c r="K1317" s="144">
        <f t="shared" ca="1" si="154"/>
        <v>0.94327217125382257</v>
      </c>
      <c r="L1317" s="144">
        <f t="shared" ca="1" si="154"/>
        <v>0.65535168195718652</v>
      </c>
      <c r="M1317" s="144">
        <f t="shared" ca="1" si="154"/>
        <v>98.922018348623837</v>
      </c>
      <c r="N1317" s="144">
        <f t="shared" ca="1" si="154"/>
        <v>6.0279051987767582</v>
      </c>
      <c r="O1317" s="144">
        <f t="shared" ca="1" si="154"/>
        <v>32.756116207951067</v>
      </c>
      <c r="P1317" s="144">
        <f t="shared" ca="1" si="154"/>
        <v>1</v>
      </c>
      <c r="Q1317" s="144">
        <f t="shared" ca="1" si="154"/>
        <v>0.76452599388379205</v>
      </c>
    </row>
    <row r="1318" spans="1:17" x14ac:dyDescent="0.25">
      <c r="A1318" s="145">
        <v>41452</v>
      </c>
      <c r="B1318" s="144">
        <v>1.3031999999999999</v>
      </c>
      <c r="C1318" s="144">
        <v>42.734999999999999</v>
      </c>
      <c r="D1318" s="144">
        <v>7.8810000000000002</v>
      </c>
      <c r="E1318" s="144">
        <v>127.93</v>
      </c>
      <c r="F1318" s="144">
        <v>0.85309999999999997</v>
      </c>
      <c r="G1318" s="144">
        <v>1.2325999999999999</v>
      </c>
      <c r="I1318" s="144">
        <v>1</v>
      </c>
      <c r="J1318" s="145">
        <f t="shared" si="150"/>
        <v>41452</v>
      </c>
      <c r="K1318" s="144">
        <f t="shared" ca="1" si="154"/>
        <v>0.94582565991405765</v>
      </c>
      <c r="L1318" s="144">
        <f t="shared" ca="1" si="154"/>
        <v>0.6546193984039288</v>
      </c>
      <c r="M1318" s="144">
        <f t="shared" ca="1" si="154"/>
        <v>98.166052793124635</v>
      </c>
      <c r="N1318" s="144">
        <f t="shared" ca="1" si="154"/>
        <v>6.0474217311233893</v>
      </c>
      <c r="O1318" s="144">
        <f t="shared" ca="1" si="154"/>
        <v>32.792357274401475</v>
      </c>
      <c r="P1318" s="144">
        <f t="shared" ca="1" si="154"/>
        <v>1</v>
      </c>
      <c r="Q1318" s="144">
        <f t="shared" ca="1" si="154"/>
        <v>0.76734192756292208</v>
      </c>
    </row>
    <row r="1319" spans="1:17" x14ac:dyDescent="0.25">
      <c r="A1319" s="145">
        <v>41451</v>
      </c>
      <c r="B1319" s="144">
        <v>1.3024</v>
      </c>
      <c r="C1319" s="144">
        <v>42.874499999999998</v>
      </c>
      <c r="D1319" s="144">
        <v>7.9470000000000001</v>
      </c>
      <c r="E1319" s="144">
        <v>127.33</v>
      </c>
      <c r="F1319" s="144">
        <v>0.84819999999999995</v>
      </c>
      <c r="G1319" s="144">
        <v>1.2262</v>
      </c>
      <c r="I1319" s="144">
        <v>1</v>
      </c>
      <c r="J1319" s="145">
        <f t="shared" si="150"/>
        <v>41451</v>
      </c>
      <c r="K1319" s="144">
        <f t="shared" ca="1" si="154"/>
        <v>0.94149262899262898</v>
      </c>
      <c r="L1319" s="144">
        <f t="shared" ca="1" si="154"/>
        <v>0.6512592137592137</v>
      </c>
      <c r="M1319" s="144">
        <f t="shared" ca="1" si="154"/>
        <v>97.765663390663391</v>
      </c>
      <c r="N1319" s="144">
        <f t="shared" ca="1" si="154"/>
        <v>6.1018120393120396</v>
      </c>
      <c r="O1319" s="144">
        <f t="shared" ca="1" si="154"/>
        <v>32.91960995085995</v>
      </c>
      <c r="P1319" s="144">
        <f t="shared" ca="1" si="154"/>
        <v>1</v>
      </c>
      <c r="Q1319" s="144">
        <f t="shared" ca="1" si="154"/>
        <v>0.76781326781326786</v>
      </c>
    </row>
    <row r="1320" spans="1:17" x14ac:dyDescent="0.25">
      <c r="A1320" s="145">
        <v>41450</v>
      </c>
      <c r="B1320" s="144">
        <v>1.3133999999999999</v>
      </c>
      <c r="C1320" s="144">
        <v>43.037999999999997</v>
      </c>
      <c r="D1320" s="144">
        <v>7.98</v>
      </c>
      <c r="E1320" s="144">
        <v>127.79</v>
      </c>
      <c r="F1320" s="144">
        <v>0.84860000000000002</v>
      </c>
      <c r="G1320" s="144">
        <v>1.2267999999999999</v>
      </c>
      <c r="I1320" s="144">
        <v>1</v>
      </c>
      <c r="J1320" s="145">
        <f t="shared" si="150"/>
        <v>41450</v>
      </c>
      <c r="K1320" s="144">
        <f t="shared" ca="1" si="154"/>
        <v>0.93406426069742654</v>
      </c>
      <c r="L1320" s="144">
        <f t="shared" ca="1" si="154"/>
        <v>0.64610933455154562</v>
      </c>
      <c r="M1320" s="144">
        <f t="shared" ca="1" si="154"/>
        <v>97.297091518197064</v>
      </c>
      <c r="N1320" s="144">
        <f t="shared" ca="1" si="154"/>
        <v>6.0758337140246699</v>
      </c>
      <c r="O1320" s="144">
        <f t="shared" ca="1" si="154"/>
        <v>32.768387391502969</v>
      </c>
      <c r="P1320" s="144">
        <f t="shared" ca="1" si="154"/>
        <v>1</v>
      </c>
      <c r="Q1320" s="144">
        <f t="shared" ca="1" si="154"/>
        <v>0.76138267093040968</v>
      </c>
    </row>
    <row r="1321" spans="1:17" x14ac:dyDescent="0.25">
      <c r="A1321" s="145">
        <v>41449</v>
      </c>
      <c r="B1321" s="144">
        <v>1.3086</v>
      </c>
      <c r="C1321" s="144">
        <v>43.066000000000003</v>
      </c>
      <c r="D1321" s="144">
        <v>8.0399999999999991</v>
      </c>
      <c r="E1321" s="144">
        <v>128.54</v>
      </c>
      <c r="F1321" s="144">
        <v>0.85114999999999996</v>
      </c>
      <c r="G1321" s="144">
        <v>1.2241</v>
      </c>
      <c r="I1321" s="144">
        <v>1</v>
      </c>
      <c r="J1321" s="145">
        <f t="shared" si="150"/>
        <v>41449</v>
      </c>
      <c r="K1321" s="144">
        <f t="shared" ca="1" si="154"/>
        <v>0.93542717407916853</v>
      </c>
      <c r="L1321" s="144">
        <f t="shared" ca="1" si="154"/>
        <v>0.65042793825462319</v>
      </c>
      <c r="M1321" s="144">
        <f t="shared" ca="1" si="154"/>
        <v>98.227112945132191</v>
      </c>
      <c r="N1321" s="144">
        <f t="shared" ca="1" si="154"/>
        <v>6.1439706556625397</v>
      </c>
      <c r="O1321" s="144">
        <f t="shared" ca="1" si="154"/>
        <v>32.909980131438182</v>
      </c>
      <c r="P1321" s="144">
        <f t="shared" ca="1" si="154"/>
        <v>1</v>
      </c>
      <c r="Q1321" s="144">
        <f t="shared" ca="1" si="154"/>
        <v>0.76417545468439552</v>
      </c>
    </row>
    <row r="1322" spans="1:17" x14ac:dyDescent="0.25">
      <c r="A1322" s="145">
        <v>41448</v>
      </c>
      <c r="B1322" s="144">
        <v>1.3180000000000001</v>
      </c>
      <c r="C1322" s="144">
        <v>43.225999999999999</v>
      </c>
      <c r="D1322" s="144">
        <v>7.9089999999999998</v>
      </c>
      <c r="E1322" s="144">
        <v>128.66</v>
      </c>
      <c r="F1322" s="144">
        <v>0.85329999999999995</v>
      </c>
      <c r="G1322" s="144">
        <v>1.2257</v>
      </c>
      <c r="I1322" s="144">
        <v>1</v>
      </c>
      <c r="J1322" s="145">
        <f t="shared" si="150"/>
        <v>41448</v>
      </c>
      <c r="K1322" s="144">
        <f t="shared" ca="1" si="154"/>
        <v>0.92996965098634288</v>
      </c>
      <c r="L1322" s="144">
        <f t="shared" ca="1" si="154"/>
        <v>0.64742033383915021</v>
      </c>
      <c r="M1322" s="144">
        <f t="shared" ca="1" si="154"/>
        <v>97.617602427921085</v>
      </c>
      <c r="N1322" s="144">
        <f t="shared" ca="1" si="154"/>
        <v>6.0007587253414263</v>
      </c>
      <c r="O1322" s="144">
        <f t="shared" ca="1" si="154"/>
        <v>32.796661608497722</v>
      </c>
      <c r="P1322" s="144">
        <f t="shared" ca="1" si="154"/>
        <v>1</v>
      </c>
      <c r="Q1322" s="144">
        <f t="shared" ca="1" si="154"/>
        <v>0.75872534142640358</v>
      </c>
    </row>
    <row r="1323" spans="1:17" x14ac:dyDescent="0.25">
      <c r="A1323" s="145">
        <v>41447</v>
      </c>
      <c r="B1323" s="144">
        <v>1.3180000000000001</v>
      </c>
      <c r="C1323" s="144">
        <v>43.225999999999999</v>
      </c>
      <c r="D1323" s="144">
        <v>7.9089999999999998</v>
      </c>
      <c r="E1323" s="144">
        <v>128.66</v>
      </c>
      <c r="F1323" s="144">
        <v>0.85329999999999995</v>
      </c>
      <c r="G1323" s="144">
        <v>1.2257</v>
      </c>
      <c r="I1323" s="144">
        <v>1</v>
      </c>
      <c r="J1323" s="145">
        <f t="shared" si="150"/>
        <v>41447</v>
      </c>
      <c r="K1323" s="144">
        <f t="shared" ca="1" si="154"/>
        <v>0.92996965098634288</v>
      </c>
      <c r="L1323" s="144">
        <f t="shared" ca="1" si="154"/>
        <v>0.64742033383915021</v>
      </c>
      <c r="M1323" s="144">
        <f t="shared" ca="1" si="154"/>
        <v>97.617602427921085</v>
      </c>
      <c r="N1323" s="144">
        <f t="shared" ca="1" si="154"/>
        <v>6.0007587253414263</v>
      </c>
      <c r="O1323" s="144">
        <f t="shared" ca="1" si="154"/>
        <v>32.796661608497722</v>
      </c>
      <c r="P1323" s="144">
        <f t="shared" ca="1" si="154"/>
        <v>1</v>
      </c>
      <c r="Q1323" s="144">
        <f t="shared" ca="1" si="154"/>
        <v>0.75872534142640358</v>
      </c>
    </row>
    <row r="1324" spans="1:17" x14ac:dyDescent="0.25">
      <c r="A1324" s="145">
        <v>41446</v>
      </c>
      <c r="B1324" s="144">
        <v>1.3180000000000001</v>
      </c>
      <c r="C1324" s="144">
        <v>43.225999999999999</v>
      </c>
      <c r="D1324" s="144">
        <v>7.9089999999999998</v>
      </c>
      <c r="E1324" s="144">
        <v>128.66</v>
      </c>
      <c r="F1324" s="144">
        <v>0.85329999999999995</v>
      </c>
      <c r="G1324" s="144">
        <v>1.2257</v>
      </c>
      <c r="I1324" s="144">
        <v>1</v>
      </c>
      <c r="J1324" s="145">
        <f t="shared" si="150"/>
        <v>41446</v>
      </c>
      <c r="K1324" s="144">
        <f t="shared" ca="1" si="154"/>
        <v>0.92996965098634288</v>
      </c>
      <c r="L1324" s="144">
        <f t="shared" ca="1" si="154"/>
        <v>0.64742033383915021</v>
      </c>
      <c r="M1324" s="144">
        <f t="shared" ca="1" si="154"/>
        <v>97.617602427921085</v>
      </c>
      <c r="N1324" s="144">
        <f t="shared" ca="1" si="154"/>
        <v>6.0007587253414263</v>
      </c>
      <c r="O1324" s="144">
        <f t="shared" ca="1" si="154"/>
        <v>32.796661608497722</v>
      </c>
      <c r="P1324" s="144">
        <f t="shared" ca="1" si="154"/>
        <v>1</v>
      </c>
      <c r="Q1324" s="144">
        <f t="shared" ca="1" si="154"/>
        <v>0.75872534142640358</v>
      </c>
    </row>
    <row r="1325" spans="1:17" x14ac:dyDescent="0.25">
      <c r="A1325" s="145">
        <v>41445</v>
      </c>
      <c r="B1325" s="144">
        <v>1.32</v>
      </c>
      <c r="C1325" s="144">
        <v>42.96</v>
      </c>
      <c r="D1325" s="144">
        <v>7.85</v>
      </c>
      <c r="E1325" s="144">
        <v>129.26</v>
      </c>
      <c r="F1325" s="144">
        <v>0.85450000000000004</v>
      </c>
      <c r="G1325" s="144">
        <v>1.2319</v>
      </c>
      <c r="I1325" s="144">
        <v>1</v>
      </c>
      <c r="J1325" s="145">
        <f t="shared" si="150"/>
        <v>41445</v>
      </c>
      <c r="K1325" s="144">
        <f t="shared" ref="K1325:Q1334" ca="1" si="155">OFFSET($A1325,0,K$3)/OFFSET($A1325,0,$P$3)</f>
        <v>0.93325757575757573</v>
      </c>
      <c r="L1325" s="144">
        <f t="shared" ca="1" si="155"/>
        <v>0.64734848484848484</v>
      </c>
      <c r="M1325" s="144">
        <f t="shared" ca="1" si="155"/>
        <v>97.924242424242408</v>
      </c>
      <c r="N1325" s="144">
        <f t="shared" ca="1" si="155"/>
        <v>5.9469696969696964</v>
      </c>
      <c r="O1325" s="144">
        <f t="shared" ca="1" si="155"/>
        <v>32.545454545454547</v>
      </c>
      <c r="P1325" s="144">
        <f t="shared" ca="1" si="155"/>
        <v>1</v>
      </c>
      <c r="Q1325" s="144">
        <f t="shared" ca="1" si="155"/>
        <v>0.75757575757575757</v>
      </c>
    </row>
    <row r="1326" spans="1:17" x14ac:dyDescent="0.25">
      <c r="A1326" s="145">
        <v>41444</v>
      </c>
      <c r="B1326" s="144">
        <v>1.3406</v>
      </c>
      <c r="C1326" s="144">
        <v>43.1798</v>
      </c>
      <c r="D1326" s="144">
        <v>7.6764999999999999</v>
      </c>
      <c r="E1326" s="144">
        <v>127.44</v>
      </c>
      <c r="F1326" s="144">
        <v>0.85580000000000001</v>
      </c>
      <c r="G1326" s="144">
        <v>1.2325999999999999</v>
      </c>
      <c r="I1326" s="144">
        <v>1</v>
      </c>
      <c r="J1326" s="145">
        <f t="shared" si="150"/>
        <v>41444</v>
      </c>
      <c r="K1326" s="144">
        <f t="shared" ca="1" si="155"/>
        <v>0.91943905713859464</v>
      </c>
      <c r="L1326" s="144">
        <f t="shared" ca="1" si="155"/>
        <v>0.63837087871102494</v>
      </c>
      <c r="M1326" s="144">
        <f t="shared" ca="1" si="155"/>
        <v>95.061912576458298</v>
      </c>
      <c r="N1326" s="144">
        <f t="shared" ca="1" si="155"/>
        <v>5.726167387736834</v>
      </c>
      <c r="O1326" s="144">
        <f t="shared" ca="1" si="155"/>
        <v>32.209309264508427</v>
      </c>
      <c r="P1326" s="144">
        <f t="shared" ca="1" si="155"/>
        <v>1</v>
      </c>
      <c r="Q1326" s="144">
        <f t="shared" ca="1" si="155"/>
        <v>0.74593465612412357</v>
      </c>
    </row>
    <row r="1327" spans="1:17" x14ac:dyDescent="0.25">
      <c r="A1327" s="145">
        <v>41443</v>
      </c>
      <c r="B1327" s="144">
        <v>1.3373999999999999</v>
      </c>
      <c r="C1327" s="144">
        <v>42.853999999999999</v>
      </c>
      <c r="D1327" s="144">
        <v>7.6935000000000002</v>
      </c>
      <c r="E1327" s="144">
        <v>127.55</v>
      </c>
      <c r="F1327" s="144">
        <v>0.85619999999999996</v>
      </c>
      <c r="G1327" s="144">
        <v>1.2315</v>
      </c>
      <c r="I1327" s="144">
        <v>1</v>
      </c>
      <c r="J1327" s="145">
        <f t="shared" si="150"/>
        <v>41443</v>
      </c>
      <c r="K1327" s="144">
        <f t="shared" ca="1" si="155"/>
        <v>0.92081650964558104</v>
      </c>
      <c r="L1327" s="144">
        <f t="shared" ca="1" si="155"/>
        <v>0.64019739793629427</v>
      </c>
      <c r="M1327" s="144">
        <f t="shared" ca="1" si="155"/>
        <v>95.371616569463143</v>
      </c>
      <c r="N1327" s="144">
        <f t="shared" ca="1" si="155"/>
        <v>5.7525796321220284</v>
      </c>
      <c r="O1327" s="144">
        <f t="shared" ca="1" si="155"/>
        <v>32.042769552863767</v>
      </c>
      <c r="P1327" s="144">
        <f t="shared" ca="1" si="155"/>
        <v>1</v>
      </c>
      <c r="Q1327" s="144">
        <f t="shared" ca="1" si="155"/>
        <v>0.74771945566023634</v>
      </c>
    </row>
    <row r="1328" spans="1:17" x14ac:dyDescent="0.25">
      <c r="A1328" s="145">
        <v>41442</v>
      </c>
      <c r="B1328" s="144">
        <v>1.3337000000000001</v>
      </c>
      <c r="C1328" s="144">
        <v>42.237499999999997</v>
      </c>
      <c r="D1328" s="144">
        <v>7.6345000000000001</v>
      </c>
      <c r="E1328" s="144">
        <v>126.36</v>
      </c>
      <c r="F1328" s="144">
        <v>0.84755000000000003</v>
      </c>
      <c r="G1328" s="144">
        <v>1.2307999999999999</v>
      </c>
      <c r="I1328" s="144">
        <v>1</v>
      </c>
      <c r="J1328" s="145">
        <f t="shared" si="150"/>
        <v>41442</v>
      </c>
      <c r="K1328" s="144">
        <f t="shared" ca="1" si="155"/>
        <v>0.92284621729024507</v>
      </c>
      <c r="L1328" s="144">
        <f t="shared" ca="1" si="155"/>
        <v>0.63548774087126036</v>
      </c>
      <c r="M1328" s="144">
        <f t="shared" ca="1" si="155"/>
        <v>94.74394541501087</v>
      </c>
      <c r="N1328" s="144">
        <f t="shared" ca="1" si="155"/>
        <v>5.7243008172752488</v>
      </c>
      <c r="O1328" s="144">
        <f t="shared" ca="1" si="155"/>
        <v>31.669415910624572</v>
      </c>
      <c r="P1328" s="144">
        <f t="shared" ca="1" si="155"/>
        <v>1</v>
      </c>
      <c r="Q1328" s="144">
        <f t="shared" ca="1" si="155"/>
        <v>0.74979380670315654</v>
      </c>
    </row>
    <row r="1329" spans="1:17" x14ac:dyDescent="0.25">
      <c r="A1329" s="145">
        <v>41441</v>
      </c>
      <c r="B1329" s="144">
        <v>1.3303</v>
      </c>
      <c r="C1329" s="144">
        <v>42.2453</v>
      </c>
      <c r="D1329" s="144">
        <v>7.6405000000000003</v>
      </c>
      <c r="E1329" s="144">
        <v>126.37</v>
      </c>
      <c r="F1329" s="144">
        <v>0.85150000000000003</v>
      </c>
      <c r="G1329" s="144">
        <v>1.2322</v>
      </c>
      <c r="I1329" s="144">
        <v>1</v>
      </c>
      <c r="J1329" s="145">
        <f t="shared" si="150"/>
        <v>41441</v>
      </c>
      <c r="K1329" s="144">
        <f t="shared" ca="1" si="155"/>
        <v>0.92625723521010295</v>
      </c>
      <c r="L1329" s="144">
        <f t="shared" ca="1" si="155"/>
        <v>0.64008118469518149</v>
      </c>
      <c r="M1329" s="144">
        <f t="shared" ca="1" si="155"/>
        <v>94.993610463805155</v>
      </c>
      <c r="N1329" s="144">
        <f t="shared" ca="1" si="155"/>
        <v>5.7434413290235282</v>
      </c>
      <c r="O1329" s="144">
        <f t="shared" ca="1" si="155"/>
        <v>31.756220401413213</v>
      </c>
      <c r="P1329" s="144">
        <f t="shared" ca="1" si="155"/>
        <v>1</v>
      </c>
      <c r="Q1329" s="144">
        <f t="shared" ca="1" si="155"/>
        <v>0.75171014056979624</v>
      </c>
    </row>
    <row r="1330" spans="1:17" x14ac:dyDescent="0.25">
      <c r="A1330" s="145">
        <v>41440</v>
      </c>
      <c r="B1330" s="144">
        <v>1.3303</v>
      </c>
      <c r="C1330" s="144">
        <v>42.2453</v>
      </c>
      <c r="D1330" s="144">
        <v>7.6405000000000003</v>
      </c>
      <c r="E1330" s="144">
        <v>126.37</v>
      </c>
      <c r="F1330" s="144">
        <v>0.85150000000000003</v>
      </c>
      <c r="G1330" s="144">
        <v>1.2322</v>
      </c>
      <c r="I1330" s="144">
        <v>1</v>
      </c>
      <c r="J1330" s="145">
        <f t="shared" si="150"/>
        <v>41440</v>
      </c>
      <c r="K1330" s="144">
        <f t="shared" ca="1" si="155"/>
        <v>0.92625723521010295</v>
      </c>
      <c r="L1330" s="144">
        <f t="shared" ca="1" si="155"/>
        <v>0.64008118469518149</v>
      </c>
      <c r="M1330" s="144">
        <f t="shared" ca="1" si="155"/>
        <v>94.993610463805155</v>
      </c>
      <c r="N1330" s="144">
        <f t="shared" ca="1" si="155"/>
        <v>5.7434413290235282</v>
      </c>
      <c r="O1330" s="144">
        <f t="shared" ca="1" si="155"/>
        <v>31.756220401413213</v>
      </c>
      <c r="P1330" s="144">
        <f t="shared" ca="1" si="155"/>
        <v>1</v>
      </c>
      <c r="Q1330" s="144">
        <f t="shared" ca="1" si="155"/>
        <v>0.75171014056979624</v>
      </c>
    </row>
    <row r="1331" spans="1:17" x14ac:dyDescent="0.25">
      <c r="A1331" s="145">
        <v>41439</v>
      </c>
      <c r="B1331" s="144">
        <v>1.3303</v>
      </c>
      <c r="C1331" s="144">
        <v>42.2453</v>
      </c>
      <c r="D1331" s="144">
        <v>7.6405000000000003</v>
      </c>
      <c r="E1331" s="144">
        <v>126.37</v>
      </c>
      <c r="F1331" s="144">
        <v>0.85150000000000003</v>
      </c>
      <c r="G1331" s="144">
        <v>1.2322</v>
      </c>
      <c r="I1331" s="144">
        <v>1</v>
      </c>
      <c r="J1331" s="145">
        <f t="shared" si="150"/>
        <v>41439</v>
      </c>
      <c r="K1331" s="144">
        <f t="shared" ca="1" si="155"/>
        <v>0.92625723521010295</v>
      </c>
      <c r="L1331" s="144">
        <f t="shared" ca="1" si="155"/>
        <v>0.64008118469518149</v>
      </c>
      <c r="M1331" s="144">
        <f t="shared" ca="1" si="155"/>
        <v>94.993610463805155</v>
      </c>
      <c r="N1331" s="144">
        <f t="shared" ca="1" si="155"/>
        <v>5.7434413290235282</v>
      </c>
      <c r="O1331" s="144">
        <f t="shared" ca="1" si="155"/>
        <v>31.756220401413213</v>
      </c>
      <c r="P1331" s="144">
        <f t="shared" ca="1" si="155"/>
        <v>1</v>
      </c>
      <c r="Q1331" s="144">
        <f t="shared" ca="1" si="155"/>
        <v>0.75171014056979624</v>
      </c>
    </row>
    <row r="1332" spans="1:17" x14ac:dyDescent="0.25">
      <c r="A1332" s="145">
        <v>41438</v>
      </c>
      <c r="B1332" s="144">
        <v>1.3314999999999999</v>
      </c>
      <c r="C1332" s="144">
        <v>42.75</v>
      </c>
      <c r="D1332" s="144">
        <v>7.6769999999999996</v>
      </c>
      <c r="E1332" s="144">
        <v>125.36</v>
      </c>
      <c r="F1332" s="144">
        <v>0.84950000000000003</v>
      </c>
      <c r="G1332" s="144">
        <v>1.2290000000000001</v>
      </c>
      <c r="I1332" s="144">
        <v>1</v>
      </c>
      <c r="J1332" s="145">
        <f t="shared" si="150"/>
        <v>41438</v>
      </c>
      <c r="K1332" s="144">
        <f t="shared" ca="1" si="155"/>
        <v>0.9230191513330831</v>
      </c>
      <c r="L1332" s="144">
        <f t="shared" ca="1" si="155"/>
        <v>0.63800225309800984</v>
      </c>
      <c r="M1332" s="144">
        <f t="shared" ca="1" si="155"/>
        <v>94.149455501314307</v>
      </c>
      <c r="N1332" s="144">
        <f t="shared" ca="1" si="155"/>
        <v>5.7656778069846037</v>
      </c>
      <c r="O1332" s="144">
        <f t="shared" ca="1" si="155"/>
        <v>32.106646639128805</v>
      </c>
      <c r="P1332" s="144">
        <f t="shared" ca="1" si="155"/>
        <v>1</v>
      </c>
      <c r="Q1332" s="144">
        <f t="shared" ca="1" si="155"/>
        <v>0.75103266992114159</v>
      </c>
    </row>
    <row r="1333" spans="1:17" x14ac:dyDescent="0.25">
      <c r="A1333" s="145">
        <v>41437</v>
      </c>
      <c r="B1333" s="144">
        <v>1.3277000000000001</v>
      </c>
      <c r="C1333" s="144">
        <v>42.838000000000001</v>
      </c>
      <c r="D1333" s="144">
        <v>7.665</v>
      </c>
      <c r="E1333" s="144">
        <v>128.30000000000001</v>
      </c>
      <c r="F1333" s="144">
        <v>0.84824999999999995</v>
      </c>
      <c r="G1333" s="144">
        <v>1.2323</v>
      </c>
      <c r="I1333" s="144">
        <v>1</v>
      </c>
      <c r="J1333" s="145">
        <f t="shared" si="150"/>
        <v>41437</v>
      </c>
      <c r="K1333" s="144">
        <f t="shared" ca="1" si="155"/>
        <v>0.92814641861866376</v>
      </c>
      <c r="L1333" s="144">
        <f t="shared" ca="1" si="155"/>
        <v>0.63888679671612558</v>
      </c>
      <c r="M1333" s="144">
        <f t="shared" ca="1" si="155"/>
        <v>96.63327558936507</v>
      </c>
      <c r="N1333" s="144">
        <f t="shared" ca="1" si="155"/>
        <v>5.773141522934397</v>
      </c>
      <c r="O1333" s="144">
        <f t="shared" ca="1" si="155"/>
        <v>32.264818859682158</v>
      </c>
      <c r="P1333" s="144">
        <f t="shared" ca="1" si="155"/>
        <v>1</v>
      </c>
      <c r="Q1333" s="144">
        <f t="shared" ca="1" si="155"/>
        <v>0.75318219477291548</v>
      </c>
    </row>
    <row r="1334" spans="1:17" x14ac:dyDescent="0.25">
      <c r="A1334" s="145">
        <v>41436</v>
      </c>
      <c r="B1334" s="144">
        <v>1.3272999999999999</v>
      </c>
      <c r="C1334" s="144">
        <v>43.100999999999999</v>
      </c>
      <c r="D1334" s="144">
        <v>7.6859999999999999</v>
      </c>
      <c r="E1334" s="144">
        <v>128.6</v>
      </c>
      <c r="F1334" s="144">
        <v>0.85389999999999999</v>
      </c>
      <c r="G1334" s="144">
        <v>1.2304999999999999</v>
      </c>
      <c r="I1334" s="144">
        <v>1</v>
      </c>
      <c r="J1334" s="145">
        <f t="shared" si="150"/>
        <v>41436</v>
      </c>
      <c r="K1334" s="144">
        <f t="shared" ca="1" si="155"/>
        <v>0.92706999171249904</v>
      </c>
      <c r="L1334" s="144">
        <f t="shared" ca="1" si="155"/>
        <v>0.64333609583364726</v>
      </c>
      <c r="M1334" s="144">
        <f t="shared" ca="1" si="155"/>
        <v>96.888420100956836</v>
      </c>
      <c r="N1334" s="144">
        <f t="shared" ca="1" si="155"/>
        <v>5.7907029307616966</v>
      </c>
      <c r="O1334" s="144">
        <f t="shared" ca="1" si="155"/>
        <v>32.472688917351014</v>
      </c>
      <c r="P1334" s="144">
        <f t="shared" ca="1" si="155"/>
        <v>1</v>
      </c>
      <c r="Q1334" s="144">
        <f t="shared" ca="1" si="155"/>
        <v>0.75340917652377015</v>
      </c>
    </row>
    <row r="1335" spans="1:17" x14ac:dyDescent="0.25">
      <c r="A1335" s="145">
        <v>41435</v>
      </c>
      <c r="B1335" s="144">
        <v>1.3209</v>
      </c>
      <c r="C1335" s="144">
        <v>42.735999999999997</v>
      </c>
      <c r="D1335" s="144">
        <v>7.6120000000000001</v>
      </c>
      <c r="E1335" s="144">
        <v>130.47</v>
      </c>
      <c r="F1335" s="144">
        <v>0.85040000000000004</v>
      </c>
      <c r="G1335" s="144">
        <v>1.2395</v>
      </c>
      <c r="I1335" s="144">
        <v>1</v>
      </c>
      <c r="J1335" s="145">
        <f t="shared" si="150"/>
        <v>41435</v>
      </c>
      <c r="K1335" s="144">
        <f t="shared" ref="K1335:Q1344" ca="1" si="156">OFFSET($A1335,0,K$3)/OFFSET($A1335,0,$P$3)</f>
        <v>0.93837535014005613</v>
      </c>
      <c r="L1335" s="144">
        <f t="shared" ca="1" si="156"/>
        <v>0.64380346733287919</v>
      </c>
      <c r="M1335" s="144">
        <f t="shared" ca="1" si="156"/>
        <v>98.773563479445841</v>
      </c>
      <c r="N1335" s="144">
        <f t="shared" ca="1" si="156"/>
        <v>5.7627375274434103</v>
      </c>
      <c r="O1335" s="144">
        <f t="shared" ca="1" si="156"/>
        <v>32.353698236051173</v>
      </c>
      <c r="P1335" s="144">
        <f t="shared" ca="1" si="156"/>
        <v>1</v>
      </c>
      <c r="Q1335" s="144">
        <f t="shared" ca="1" si="156"/>
        <v>0.75705958058899236</v>
      </c>
    </row>
    <row r="1336" spans="1:17" x14ac:dyDescent="0.25">
      <c r="A1336" s="145">
        <v>41434</v>
      </c>
      <c r="B1336" s="144">
        <v>1.3260000000000001</v>
      </c>
      <c r="C1336" s="144">
        <v>42.877299999999998</v>
      </c>
      <c r="D1336" s="144">
        <v>7.6304999999999996</v>
      </c>
      <c r="E1336" s="144">
        <v>126.81</v>
      </c>
      <c r="F1336" s="144">
        <v>0.85129999999999995</v>
      </c>
      <c r="G1336" s="144">
        <v>1.2273000000000001</v>
      </c>
      <c r="I1336" s="144">
        <v>1</v>
      </c>
      <c r="J1336" s="145">
        <f t="shared" si="150"/>
        <v>41434</v>
      </c>
      <c r="K1336" s="144">
        <f t="shared" ca="1" si="156"/>
        <v>0.92556561085972855</v>
      </c>
      <c r="L1336" s="144">
        <f t="shared" ca="1" si="156"/>
        <v>0.64200603318250371</v>
      </c>
      <c r="M1336" s="144">
        <f t="shared" ca="1" si="156"/>
        <v>95.633484162895925</v>
      </c>
      <c r="N1336" s="144">
        <f t="shared" ca="1" si="156"/>
        <v>5.7545248868778272</v>
      </c>
      <c r="O1336" s="144">
        <f t="shared" ca="1" si="156"/>
        <v>32.335822021116137</v>
      </c>
      <c r="P1336" s="144">
        <f t="shared" ca="1" si="156"/>
        <v>1</v>
      </c>
      <c r="Q1336" s="144">
        <f t="shared" ca="1" si="156"/>
        <v>0.75414781297134237</v>
      </c>
    </row>
    <row r="1337" spans="1:17" x14ac:dyDescent="0.25">
      <c r="A1337" s="145">
        <v>41433</v>
      </c>
      <c r="B1337" s="144">
        <v>1.3260000000000001</v>
      </c>
      <c r="C1337" s="144">
        <v>42.877299999999998</v>
      </c>
      <c r="D1337" s="144">
        <v>7.6304999999999996</v>
      </c>
      <c r="E1337" s="144">
        <v>126.81</v>
      </c>
      <c r="F1337" s="144">
        <v>0.85129999999999995</v>
      </c>
      <c r="G1337" s="144">
        <v>1.2273000000000001</v>
      </c>
      <c r="I1337" s="144">
        <v>1</v>
      </c>
      <c r="J1337" s="145">
        <f t="shared" si="150"/>
        <v>41433</v>
      </c>
      <c r="K1337" s="144">
        <f t="shared" ca="1" si="156"/>
        <v>0.92556561085972855</v>
      </c>
      <c r="L1337" s="144">
        <f t="shared" ca="1" si="156"/>
        <v>0.64200603318250371</v>
      </c>
      <c r="M1337" s="144">
        <f t="shared" ca="1" si="156"/>
        <v>95.633484162895925</v>
      </c>
      <c r="N1337" s="144">
        <f t="shared" ca="1" si="156"/>
        <v>5.7545248868778272</v>
      </c>
      <c r="O1337" s="144">
        <f t="shared" ca="1" si="156"/>
        <v>32.335822021116137</v>
      </c>
      <c r="P1337" s="144">
        <f t="shared" ca="1" si="156"/>
        <v>1</v>
      </c>
      <c r="Q1337" s="144">
        <f t="shared" ca="1" si="156"/>
        <v>0.75414781297134237</v>
      </c>
    </row>
    <row r="1338" spans="1:17" x14ac:dyDescent="0.25">
      <c r="A1338" s="145">
        <v>41432</v>
      </c>
      <c r="B1338" s="144">
        <v>1.3260000000000001</v>
      </c>
      <c r="C1338" s="144">
        <v>42.877299999999998</v>
      </c>
      <c r="D1338" s="144">
        <v>7.6304999999999996</v>
      </c>
      <c r="E1338" s="144">
        <v>126.81</v>
      </c>
      <c r="F1338" s="144">
        <v>0.85129999999999995</v>
      </c>
      <c r="G1338" s="144">
        <v>1.2273000000000001</v>
      </c>
      <c r="I1338" s="144">
        <v>1</v>
      </c>
      <c r="J1338" s="145">
        <f t="shared" si="150"/>
        <v>41432</v>
      </c>
      <c r="K1338" s="144">
        <f t="shared" ca="1" si="156"/>
        <v>0.92556561085972855</v>
      </c>
      <c r="L1338" s="144">
        <f t="shared" ca="1" si="156"/>
        <v>0.64200603318250371</v>
      </c>
      <c r="M1338" s="144">
        <f t="shared" ca="1" si="156"/>
        <v>95.633484162895925</v>
      </c>
      <c r="N1338" s="144">
        <f t="shared" ca="1" si="156"/>
        <v>5.7545248868778272</v>
      </c>
      <c r="O1338" s="144">
        <f t="shared" ca="1" si="156"/>
        <v>32.335822021116137</v>
      </c>
      <c r="P1338" s="144">
        <f t="shared" ca="1" si="156"/>
        <v>1</v>
      </c>
      <c r="Q1338" s="144">
        <f t="shared" ca="1" si="156"/>
        <v>0.75414781297134237</v>
      </c>
    </row>
    <row r="1339" spans="1:17" x14ac:dyDescent="0.25">
      <c r="A1339" s="145">
        <v>41431</v>
      </c>
      <c r="B1339" s="144">
        <v>1.3118000000000001</v>
      </c>
      <c r="C1339" s="144">
        <v>42.134900000000002</v>
      </c>
      <c r="D1339" s="144">
        <v>7.5810000000000004</v>
      </c>
      <c r="E1339" s="144">
        <v>129.96</v>
      </c>
      <c r="F1339" s="144">
        <v>0.84909999999999997</v>
      </c>
      <c r="G1339" s="144">
        <v>1.2357</v>
      </c>
      <c r="I1339" s="144">
        <v>1</v>
      </c>
      <c r="J1339" s="145">
        <f t="shared" si="150"/>
        <v>41431</v>
      </c>
      <c r="K1339" s="144">
        <f t="shared" ca="1" si="156"/>
        <v>0.94198810794328403</v>
      </c>
      <c r="L1339" s="144">
        <f t="shared" ca="1" si="156"/>
        <v>0.6472785485592315</v>
      </c>
      <c r="M1339" s="144">
        <f t="shared" ca="1" si="156"/>
        <v>99.069980179905471</v>
      </c>
      <c r="N1339" s="144">
        <f t="shared" ca="1" si="156"/>
        <v>5.7790821771611522</v>
      </c>
      <c r="O1339" s="144">
        <f t="shared" ca="1" si="156"/>
        <v>32.119911571885957</v>
      </c>
      <c r="P1339" s="144">
        <f t="shared" ca="1" si="156"/>
        <v>1</v>
      </c>
      <c r="Q1339" s="144">
        <f t="shared" ca="1" si="156"/>
        <v>0.76231132794633327</v>
      </c>
    </row>
    <row r="1340" spans="1:17" x14ac:dyDescent="0.25">
      <c r="A1340" s="145">
        <v>41430</v>
      </c>
      <c r="B1340" s="144">
        <v>1.3067</v>
      </c>
      <c r="C1340" s="144">
        <v>41.959499999999998</v>
      </c>
      <c r="D1340" s="144">
        <v>7.6050000000000004</v>
      </c>
      <c r="E1340" s="144">
        <v>130.13</v>
      </c>
      <c r="F1340" s="144">
        <v>0.85104999999999997</v>
      </c>
      <c r="G1340" s="144">
        <v>1.2371000000000001</v>
      </c>
      <c r="I1340" s="144">
        <v>1</v>
      </c>
      <c r="J1340" s="145">
        <f t="shared" si="150"/>
        <v>41430</v>
      </c>
      <c r="K1340" s="144">
        <f t="shared" ca="1" si="156"/>
        <v>0.94673605265171812</v>
      </c>
      <c r="L1340" s="144">
        <f t="shared" ca="1" si="156"/>
        <v>0.65129716078671462</v>
      </c>
      <c r="M1340" s="144">
        <f t="shared" ca="1" si="156"/>
        <v>99.58674523609092</v>
      </c>
      <c r="N1340" s="144">
        <f t="shared" ca="1" si="156"/>
        <v>5.8200045917195995</v>
      </c>
      <c r="O1340" s="144">
        <f t="shared" ca="1" si="156"/>
        <v>32.111043085635572</v>
      </c>
      <c r="P1340" s="144">
        <f t="shared" ca="1" si="156"/>
        <v>1</v>
      </c>
      <c r="Q1340" s="144">
        <f t="shared" ca="1" si="156"/>
        <v>0.76528659983163694</v>
      </c>
    </row>
    <row r="1341" spans="1:17" x14ac:dyDescent="0.25">
      <c r="A1341" s="145">
        <v>41429</v>
      </c>
      <c r="B1341" s="144">
        <v>1.3091999999999999</v>
      </c>
      <c r="C1341" s="144">
        <v>41.751300000000001</v>
      </c>
      <c r="D1341" s="144">
        <v>7.5975000000000001</v>
      </c>
      <c r="E1341" s="144">
        <v>131.28</v>
      </c>
      <c r="F1341" s="144">
        <v>0.85580000000000001</v>
      </c>
      <c r="G1341" s="144">
        <v>1.2397</v>
      </c>
      <c r="I1341" s="144">
        <v>1</v>
      </c>
      <c r="J1341" s="145">
        <f t="shared" si="150"/>
        <v>41429</v>
      </c>
      <c r="K1341" s="144">
        <f t="shared" ca="1" si="156"/>
        <v>0.94691414604338531</v>
      </c>
      <c r="L1341" s="144">
        <f t="shared" ca="1" si="156"/>
        <v>0.65368163764130771</v>
      </c>
      <c r="M1341" s="144">
        <f t="shared" ca="1" si="156"/>
        <v>100.27497708524291</v>
      </c>
      <c r="N1341" s="144">
        <f t="shared" ca="1" si="156"/>
        <v>5.8031622364802935</v>
      </c>
      <c r="O1341" s="144">
        <f t="shared" ca="1" si="156"/>
        <v>31.890696608615951</v>
      </c>
      <c r="P1341" s="144">
        <f t="shared" ca="1" si="156"/>
        <v>1</v>
      </c>
      <c r="Q1341" s="144">
        <f t="shared" ca="1" si="156"/>
        <v>0.76382523678582348</v>
      </c>
    </row>
    <row r="1342" spans="1:17" x14ac:dyDescent="0.25">
      <c r="A1342" s="145">
        <v>41428</v>
      </c>
      <c r="B1342" s="144">
        <v>1.3008</v>
      </c>
      <c r="C1342" s="144">
        <v>41.570999999999998</v>
      </c>
      <c r="D1342" s="144">
        <v>7.5970000000000004</v>
      </c>
      <c r="E1342" s="144">
        <v>130.37</v>
      </c>
      <c r="F1342" s="144">
        <v>0.8518</v>
      </c>
      <c r="G1342" s="144">
        <v>1.2456</v>
      </c>
      <c r="I1342" s="144">
        <v>1</v>
      </c>
      <c r="J1342" s="145">
        <f t="shared" si="150"/>
        <v>41428</v>
      </c>
      <c r="K1342" s="144">
        <f t="shared" ca="1" si="156"/>
        <v>0.95756457564575648</v>
      </c>
      <c r="L1342" s="144">
        <f t="shared" ca="1" si="156"/>
        <v>0.65482779827798276</v>
      </c>
      <c r="M1342" s="144">
        <f t="shared" ca="1" si="156"/>
        <v>100.2229397293973</v>
      </c>
      <c r="N1342" s="144">
        <f t="shared" ca="1" si="156"/>
        <v>5.8402521525215256</v>
      </c>
      <c r="O1342" s="144">
        <f t="shared" ca="1" si="156"/>
        <v>31.9580258302583</v>
      </c>
      <c r="P1342" s="144">
        <f t="shared" ca="1" si="156"/>
        <v>1</v>
      </c>
      <c r="Q1342" s="144">
        <f t="shared" ca="1" si="156"/>
        <v>0.76875768757687579</v>
      </c>
    </row>
    <row r="1343" spans="1:17" x14ac:dyDescent="0.25">
      <c r="A1343" s="145">
        <v>41427</v>
      </c>
      <c r="B1343" s="144">
        <v>1.3006</v>
      </c>
      <c r="C1343" s="144">
        <v>41.44</v>
      </c>
      <c r="D1343" s="144">
        <v>7.6139999999999999</v>
      </c>
      <c r="E1343" s="144">
        <v>130.47</v>
      </c>
      <c r="F1343" s="144">
        <v>0.85365000000000002</v>
      </c>
      <c r="G1343" s="144">
        <v>1.2405999999999999</v>
      </c>
      <c r="I1343" s="144">
        <v>1</v>
      </c>
      <c r="J1343" s="145">
        <f t="shared" si="150"/>
        <v>41427</v>
      </c>
      <c r="K1343" s="144">
        <f t="shared" ca="1" si="156"/>
        <v>0.95386744579424876</v>
      </c>
      <c r="L1343" s="144">
        <f t="shared" ca="1" si="156"/>
        <v>0.65635091496232512</v>
      </c>
      <c r="M1343" s="144">
        <f t="shared" ca="1" si="156"/>
        <v>100.31523912040596</v>
      </c>
      <c r="N1343" s="144">
        <f t="shared" ca="1" si="156"/>
        <v>5.8542211287098258</v>
      </c>
      <c r="O1343" s="144">
        <f t="shared" ca="1" si="156"/>
        <v>31.862217438105489</v>
      </c>
      <c r="P1343" s="144">
        <f t="shared" ca="1" si="156"/>
        <v>1</v>
      </c>
      <c r="Q1343" s="144">
        <f t="shared" ca="1" si="156"/>
        <v>0.76887590342918655</v>
      </c>
    </row>
    <row r="1344" spans="1:17" x14ac:dyDescent="0.25">
      <c r="A1344" s="145">
        <v>41426</v>
      </c>
      <c r="B1344" s="144">
        <v>1.3006</v>
      </c>
      <c r="C1344" s="144">
        <v>41.44</v>
      </c>
      <c r="D1344" s="144">
        <v>7.6139999999999999</v>
      </c>
      <c r="E1344" s="144">
        <v>130.47</v>
      </c>
      <c r="F1344" s="144">
        <v>0.85365000000000002</v>
      </c>
      <c r="G1344" s="144">
        <v>1.2405999999999999</v>
      </c>
      <c r="I1344" s="144">
        <v>1</v>
      </c>
      <c r="J1344" s="145">
        <f t="shared" si="150"/>
        <v>41426</v>
      </c>
      <c r="K1344" s="144">
        <f t="shared" ca="1" si="156"/>
        <v>0.95386744579424876</v>
      </c>
      <c r="L1344" s="144">
        <f t="shared" ca="1" si="156"/>
        <v>0.65635091496232512</v>
      </c>
      <c r="M1344" s="144">
        <f t="shared" ca="1" si="156"/>
        <v>100.31523912040596</v>
      </c>
      <c r="N1344" s="144">
        <f t="shared" ca="1" si="156"/>
        <v>5.8542211287098258</v>
      </c>
      <c r="O1344" s="144">
        <f t="shared" ca="1" si="156"/>
        <v>31.862217438105489</v>
      </c>
      <c r="P1344" s="144">
        <f t="shared" ca="1" si="156"/>
        <v>1</v>
      </c>
      <c r="Q1344" s="144">
        <f t="shared" ca="1" si="156"/>
        <v>0.76887590342918655</v>
      </c>
    </row>
    <row r="1345" spans="1:17" x14ac:dyDescent="0.25">
      <c r="A1345" s="145">
        <v>41425</v>
      </c>
      <c r="B1345" s="144">
        <v>1.3006</v>
      </c>
      <c r="C1345" s="144">
        <v>41.44</v>
      </c>
      <c r="D1345" s="144">
        <v>7.6139999999999999</v>
      </c>
      <c r="E1345" s="144">
        <v>130.47</v>
      </c>
      <c r="F1345" s="144">
        <v>0.85365000000000002</v>
      </c>
      <c r="G1345" s="144">
        <v>1.2405999999999999</v>
      </c>
      <c r="I1345" s="144">
        <v>1</v>
      </c>
      <c r="J1345" s="145">
        <f t="shared" si="150"/>
        <v>41425</v>
      </c>
      <c r="K1345" s="144">
        <f t="shared" ref="K1345:Q1354" ca="1" si="157">OFFSET($A1345,0,K$3)/OFFSET($A1345,0,$P$3)</f>
        <v>0.95386744579424876</v>
      </c>
      <c r="L1345" s="144">
        <f t="shared" ca="1" si="157"/>
        <v>0.65635091496232512</v>
      </c>
      <c r="M1345" s="144">
        <f t="shared" ca="1" si="157"/>
        <v>100.31523912040596</v>
      </c>
      <c r="N1345" s="144">
        <f t="shared" ca="1" si="157"/>
        <v>5.8542211287098258</v>
      </c>
      <c r="O1345" s="144">
        <f t="shared" ca="1" si="157"/>
        <v>31.862217438105489</v>
      </c>
      <c r="P1345" s="144">
        <f t="shared" ca="1" si="157"/>
        <v>1</v>
      </c>
      <c r="Q1345" s="144">
        <f t="shared" ca="1" si="157"/>
        <v>0.76887590342918655</v>
      </c>
    </row>
    <row r="1346" spans="1:17" x14ac:dyDescent="0.25">
      <c r="A1346" s="145">
        <v>41424</v>
      </c>
      <c r="B1346" s="144">
        <v>1.2944</v>
      </c>
      <c r="C1346" s="144">
        <v>41.116100000000003</v>
      </c>
      <c r="D1346" s="144">
        <v>7.6189999999999998</v>
      </c>
      <c r="E1346" s="144">
        <v>131.69999999999999</v>
      </c>
      <c r="F1346" s="144">
        <v>0.85570000000000002</v>
      </c>
      <c r="G1346" s="144">
        <v>1.2486999999999999</v>
      </c>
      <c r="I1346" s="144">
        <v>1</v>
      </c>
      <c r="J1346" s="145">
        <f t="shared" si="150"/>
        <v>41424</v>
      </c>
      <c r="K1346" s="144">
        <f t="shared" ca="1" si="157"/>
        <v>0.96469406674907288</v>
      </c>
      <c r="L1346" s="144">
        <f t="shared" ca="1" si="157"/>
        <v>0.66107849196538937</v>
      </c>
      <c r="M1346" s="144">
        <f t="shared" ca="1" si="157"/>
        <v>101.74598269468478</v>
      </c>
      <c r="N1346" s="144">
        <f t="shared" ca="1" si="157"/>
        <v>5.8861248454882569</v>
      </c>
      <c r="O1346" s="144">
        <f t="shared" ca="1" si="157"/>
        <v>31.764601359703342</v>
      </c>
      <c r="P1346" s="144">
        <f t="shared" ca="1" si="157"/>
        <v>1</v>
      </c>
      <c r="Q1346" s="144">
        <f t="shared" ca="1" si="157"/>
        <v>0.77255871446229918</v>
      </c>
    </row>
    <row r="1347" spans="1:17" x14ac:dyDescent="0.25">
      <c r="A1347" s="145">
        <v>41423</v>
      </c>
      <c r="B1347" s="144">
        <v>1.2951999999999999</v>
      </c>
      <c r="C1347" s="144">
        <v>40.837899999999998</v>
      </c>
      <c r="D1347" s="144">
        <v>7.6</v>
      </c>
      <c r="E1347" s="144">
        <v>130.9</v>
      </c>
      <c r="F1347" s="144">
        <v>0.85694999999999999</v>
      </c>
      <c r="G1347" s="144">
        <v>1.248</v>
      </c>
      <c r="I1347" s="144">
        <v>1</v>
      </c>
      <c r="J1347" s="145">
        <f t="shared" si="150"/>
        <v>41423</v>
      </c>
      <c r="K1347" s="144">
        <f t="shared" ca="1" si="157"/>
        <v>0.96355775169857949</v>
      </c>
      <c r="L1347" s="144">
        <f t="shared" ca="1" si="157"/>
        <v>0.66163526868437306</v>
      </c>
      <c r="M1347" s="144">
        <f t="shared" ca="1" si="157"/>
        <v>101.06547251389748</v>
      </c>
      <c r="N1347" s="144">
        <f t="shared" ca="1" si="157"/>
        <v>5.8678196417541697</v>
      </c>
      <c r="O1347" s="144">
        <f t="shared" ca="1" si="157"/>
        <v>31.530188387893762</v>
      </c>
      <c r="P1347" s="144">
        <f t="shared" ca="1" si="157"/>
        <v>1</v>
      </c>
      <c r="Q1347" s="144">
        <f t="shared" ca="1" si="157"/>
        <v>0.77208153180975914</v>
      </c>
    </row>
    <row r="1348" spans="1:17" x14ac:dyDescent="0.25">
      <c r="A1348" s="145">
        <v>41422</v>
      </c>
      <c r="B1348" s="144">
        <v>1.2938000000000001</v>
      </c>
      <c r="C1348" s="144">
        <v>40.594999999999999</v>
      </c>
      <c r="D1348" s="144">
        <v>7.5529999999999999</v>
      </c>
      <c r="E1348" s="144">
        <v>131.97999999999999</v>
      </c>
      <c r="F1348" s="144">
        <v>0.85529999999999995</v>
      </c>
      <c r="G1348" s="144">
        <v>1.2533000000000001</v>
      </c>
      <c r="I1348" s="144">
        <v>1</v>
      </c>
      <c r="J1348" s="145">
        <f t="shared" si="150"/>
        <v>41422</v>
      </c>
      <c r="K1348" s="144">
        <f t="shared" ca="1" si="157"/>
        <v>0.96869686195702587</v>
      </c>
      <c r="L1348" s="144">
        <f t="shared" ca="1" si="157"/>
        <v>0.66107590044829179</v>
      </c>
      <c r="M1348" s="144">
        <f t="shared" ca="1" si="157"/>
        <v>102.00958417066006</v>
      </c>
      <c r="N1348" s="144">
        <f t="shared" ca="1" si="157"/>
        <v>5.8378420157675066</v>
      </c>
      <c r="O1348" s="144">
        <f t="shared" ca="1" si="157"/>
        <v>31.376565156902146</v>
      </c>
      <c r="P1348" s="144">
        <f t="shared" ca="1" si="157"/>
        <v>1</v>
      </c>
      <c r="Q1348" s="144">
        <f t="shared" ca="1" si="157"/>
        <v>0.77291698871541192</v>
      </c>
    </row>
    <row r="1349" spans="1:17" x14ac:dyDescent="0.25">
      <c r="A1349" s="145">
        <v>41421</v>
      </c>
      <c r="B1349" s="144">
        <v>1.2939000000000001</v>
      </c>
      <c r="C1349" s="144">
        <v>40.594999999999999</v>
      </c>
      <c r="D1349" s="144">
        <v>7.548</v>
      </c>
      <c r="E1349" s="144">
        <v>130.59</v>
      </c>
      <c r="F1349" s="144">
        <v>0.85560000000000003</v>
      </c>
      <c r="G1349" s="144">
        <v>1.2452000000000001</v>
      </c>
      <c r="I1349" s="144">
        <v>1</v>
      </c>
      <c r="J1349" s="145">
        <f t="shared" ref="J1349:J1412" si="158">A1349</f>
        <v>41421</v>
      </c>
      <c r="K1349" s="144">
        <f t="shared" ca="1" si="157"/>
        <v>0.96236185176597888</v>
      </c>
      <c r="L1349" s="144">
        <f t="shared" ca="1" si="157"/>
        <v>0.66125666589380938</v>
      </c>
      <c r="M1349" s="144">
        <f t="shared" ca="1" si="157"/>
        <v>100.92742870391838</v>
      </c>
      <c r="N1349" s="144">
        <f t="shared" ca="1" si="157"/>
        <v>5.8335265476466498</v>
      </c>
      <c r="O1349" s="144">
        <f t="shared" ca="1" si="157"/>
        <v>31.374140196305738</v>
      </c>
      <c r="P1349" s="144">
        <f t="shared" ca="1" si="157"/>
        <v>1</v>
      </c>
      <c r="Q1349" s="144">
        <f t="shared" ca="1" si="157"/>
        <v>0.77285725326532184</v>
      </c>
    </row>
    <row r="1350" spans="1:17" x14ac:dyDescent="0.25">
      <c r="A1350" s="145">
        <v>41420</v>
      </c>
      <c r="B1350" s="144">
        <v>1.2939000000000001</v>
      </c>
      <c r="C1350" s="144">
        <v>40.536000000000001</v>
      </c>
      <c r="D1350" s="144">
        <v>7.5285000000000002</v>
      </c>
      <c r="E1350" s="144">
        <v>131.25</v>
      </c>
      <c r="F1350" s="144">
        <v>0.85694999999999999</v>
      </c>
      <c r="G1350" s="144">
        <v>1.2465999999999999</v>
      </c>
      <c r="I1350" s="144">
        <v>1</v>
      </c>
      <c r="J1350" s="145">
        <f t="shared" si="158"/>
        <v>41420</v>
      </c>
      <c r="K1350" s="144">
        <f t="shared" ca="1" si="157"/>
        <v>0.96344385192055015</v>
      </c>
      <c r="L1350" s="144">
        <f t="shared" ca="1" si="157"/>
        <v>0.66230002318571757</v>
      </c>
      <c r="M1350" s="144">
        <f t="shared" ca="1" si="157"/>
        <v>101.4375144910735</v>
      </c>
      <c r="N1350" s="144">
        <f t="shared" ca="1" si="157"/>
        <v>5.8184558312079755</v>
      </c>
      <c r="O1350" s="144">
        <f t="shared" ca="1" si="157"/>
        <v>31.328541618363086</v>
      </c>
      <c r="P1350" s="144">
        <f t="shared" ca="1" si="157"/>
        <v>1</v>
      </c>
      <c r="Q1350" s="144">
        <f t="shared" ca="1" si="157"/>
        <v>0.77285725326532184</v>
      </c>
    </row>
    <row r="1351" spans="1:17" x14ac:dyDescent="0.25">
      <c r="A1351" s="145">
        <v>41419</v>
      </c>
      <c r="B1351" s="144">
        <v>1.2939000000000001</v>
      </c>
      <c r="C1351" s="144">
        <v>40.536000000000001</v>
      </c>
      <c r="D1351" s="144">
        <v>7.5285000000000002</v>
      </c>
      <c r="E1351" s="144">
        <v>131.25</v>
      </c>
      <c r="F1351" s="144">
        <v>0.85694999999999999</v>
      </c>
      <c r="G1351" s="144">
        <v>1.2465999999999999</v>
      </c>
      <c r="I1351" s="144">
        <v>1</v>
      </c>
      <c r="J1351" s="145">
        <f t="shared" si="158"/>
        <v>41419</v>
      </c>
      <c r="K1351" s="144">
        <f t="shared" ca="1" si="157"/>
        <v>0.96344385192055015</v>
      </c>
      <c r="L1351" s="144">
        <f t="shared" ca="1" si="157"/>
        <v>0.66230002318571757</v>
      </c>
      <c r="M1351" s="144">
        <f t="shared" ca="1" si="157"/>
        <v>101.4375144910735</v>
      </c>
      <c r="N1351" s="144">
        <f t="shared" ca="1" si="157"/>
        <v>5.8184558312079755</v>
      </c>
      <c r="O1351" s="144">
        <f t="shared" ca="1" si="157"/>
        <v>31.328541618363086</v>
      </c>
      <c r="P1351" s="144">
        <f t="shared" ca="1" si="157"/>
        <v>1</v>
      </c>
      <c r="Q1351" s="144">
        <f t="shared" ca="1" si="157"/>
        <v>0.77285725326532184</v>
      </c>
    </row>
    <row r="1352" spans="1:17" x14ac:dyDescent="0.25">
      <c r="A1352" s="145">
        <v>41418</v>
      </c>
      <c r="B1352" s="144">
        <v>1.2939000000000001</v>
      </c>
      <c r="C1352" s="144">
        <v>40.536000000000001</v>
      </c>
      <c r="D1352" s="144">
        <v>7.5285000000000002</v>
      </c>
      <c r="E1352" s="144">
        <v>131.25</v>
      </c>
      <c r="F1352" s="144">
        <v>0.85694999999999999</v>
      </c>
      <c r="G1352" s="144">
        <v>1.2465999999999999</v>
      </c>
      <c r="I1352" s="144">
        <v>1</v>
      </c>
      <c r="J1352" s="145">
        <f t="shared" si="158"/>
        <v>41418</v>
      </c>
      <c r="K1352" s="144">
        <f t="shared" ca="1" si="157"/>
        <v>0.96344385192055015</v>
      </c>
      <c r="L1352" s="144">
        <f t="shared" ca="1" si="157"/>
        <v>0.66230002318571757</v>
      </c>
      <c r="M1352" s="144">
        <f t="shared" ca="1" si="157"/>
        <v>101.4375144910735</v>
      </c>
      <c r="N1352" s="144">
        <f t="shared" ca="1" si="157"/>
        <v>5.8184558312079755</v>
      </c>
      <c r="O1352" s="144">
        <f t="shared" ca="1" si="157"/>
        <v>31.328541618363086</v>
      </c>
      <c r="P1352" s="144">
        <f t="shared" ca="1" si="157"/>
        <v>1</v>
      </c>
      <c r="Q1352" s="144">
        <f t="shared" ca="1" si="157"/>
        <v>0.77285725326532184</v>
      </c>
    </row>
    <row r="1353" spans="1:17" x14ac:dyDescent="0.25">
      <c r="A1353" s="145">
        <v>41417</v>
      </c>
      <c r="B1353" s="144">
        <v>1.2887999999999999</v>
      </c>
      <c r="C1353" s="144">
        <v>40.488999999999997</v>
      </c>
      <c r="D1353" s="144">
        <v>7.5339999999999998</v>
      </c>
      <c r="E1353" s="144">
        <v>131.07</v>
      </c>
      <c r="F1353" s="144">
        <v>0.85514999999999997</v>
      </c>
      <c r="G1353" s="144">
        <v>1.2485999999999999</v>
      </c>
      <c r="I1353" s="144">
        <v>1</v>
      </c>
      <c r="J1353" s="145">
        <f t="shared" si="158"/>
        <v>41417</v>
      </c>
      <c r="K1353" s="144">
        <f t="shared" ca="1" si="157"/>
        <v>0.96880819366852888</v>
      </c>
      <c r="L1353" s="144">
        <f t="shared" ca="1" si="157"/>
        <v>0.66352420856610805</v>
      </c>
      <c r="M1353" s="144">
        <f t="shared" ca="1" si="157"/>
        <v>101.69925512104282</v>
      </c>
      <c r="N1353" s="144">
        <f t="shared" ca="1" si="157"/>
        <v>5.8457479826194909</v>
      </c>
      <c r="O1353" s="144">
        <f t="shared" ca="1" si="157"/>
        <v>31.416045934202359</v>
      </c>
      <c r="P1353" s="144">
        <f t="shared" ca="1" si="157"/>
        <v>1</v>
      </c>
      <c r="Q1353" s="144">
        <f t="shared" ca="1" si="157"/>
        <v>0.7759155803848542</v>
      </c>
    </row>
    <row r="1354" spans="1:17" x14ac:dyDescent="0.25">
      <c r="A1354" s="145">
        <v>41416</v>
      </c>
      <c r="B1354" s="144">
        <v>1.2923</v>
      </c>
      <c r="C1354" s="144">
        <v>40.322000000000003</v>
      </c>
      <c r="D1354" s="144">
        <v>7.4649999999999999</v>
      </c>
      <c r="E1354" s="144">
        <v>133.26</v>
      </c>
      <c r="F1354" s="144">
        <v>0.85570000000000002</v>
      </c>
      <c r="G1354" s="144">
        <v>1.2599</v>
      </c>
      <c r="I1354" s="144">
        <v>1</v>
      </c>
      <c r="J1354" s="145">
        <f t="shared" si="158"/>
        <v>41416</v>
      </c>
      <c r="K1354" s="144">
        <f t="shared" ca="1" si="157"/>
        <v>0.97492842219298925</v>
      </c>
      <c r="L1354" s="144">
        <f t="shared" ca="1" si="157"/>
        <v>0.66215275090923165</v>
      </c>
      <c r="M1354" s="144">
        <f t="shared" ca="1" si="157"/>
        <v>103.11847094327942</v>
      </c>
      <c r="N1354" s="144">
        <f t="shared" ca="1" si="157"/>
        <v>5.7765224793004721</v>
      </c>
      <c r="O1354" s="144">
        <f t="shared" ca="1" si="157"/>
        <v>31.201733343650858</v>
      </c>
      <c r="P1354" s="144">
        <f t="shared" ca="1" si="157"/>
        <v>1</v>
      </c>
      <c r="Q1354" s="144">
        <f t="shared" ca="1" si="157"/>
        <v>0.77381412984601095</v>
      </c>
    </row>
    <row r="1355" spans="1:17" x14ac:dyDescent="0.25">
      <c r="A1355" s="145">
        <v>41415</v>
      </c>
      <c r="B1355" s="144">
        <v>1.2866</v>
      </c>
      <c r="C1355" s="144">
        <v>40.226700000000001</v>
      </c>
      <c r="D1355" s="144">
        <v>7.5065</v>
      </c>
      <c r="E1355" s="144">
        <v>132.33000000000001</v>
      </c>
      <c r="F1355" s="144">
        <v>0.84909999999999997</v>
      </c>
      <c r="G1355" s="144">
        <v>1.2476</v>
      </c>
      <c r="I1355" s="144">
        <v>1</v>
      </c>
      <c r="J1355" s="145">
        <f t="shared" si="158"/>
        <v>41415</v>
      </c>
      <c r="K1355" s="144">
        <f t="shared" ref="K1355:Q1364" ca="1" si="159">OFFSET($A1355,0,K$3)/OFFSET($A1355,0,$P$3)</f>
        <v>0.96968754857764661</v>
      </c>
      <c r="L1355" s="144">
        <f t="shared" ca="1" si="159"/>
        <v>0.65995647442872685</v>
      </c>
      <c r="M1355" s="144">
        <f t="shared" ca="1" si="159"/>
        <v>102.85247940307789</v>
      </c>
      <c r="N1355" s="144">
        <f t="shared" ca="1" si="159"/>
        <v>5.8343696564588843</v>
      </c>
      <c r="O1355" s="144">
        <f t="shared" ca="1" si="159"/>
        <v>31.265894605938133</v>
      </c>
      <c r="P1355" s="144">
        <f t="shared" ca="1" si="159"/>
        <v>1</v>
      </c>
      <c r="Q1355" s="144">
        <f t="shared" ca="1" si="159"/>
        <v>0.77724234416291005</v>
      </c>
    </row>
    <row r="1356" spans="1:17" x14ac:dyDescent="0.25">
      <c r="A1356" s="145">
        <v>41414</v>
      </c>
      <c r="B1356" s="144">
        <v>1.2853000000000001</v>
      </c>
      <c r="C1356" s="144">
        <v>40.268000000000001</v>
      </c>
      <c r="D1356" s="144">
        <v>7.5143000000000004</v>
      </c>
      <c r="E1356" s="144">
        <v>131.86000000000001</v>
      </c>
      <c r="F1356" s="144">
        <v>0.84560000000000002</v>
      </c>
      <c r="G1356" s="144">
        <v>1.246</v>
      </c>
      <c r="I1356" s="144">
        <v>1</v>
      </c>
      <c r="J1356" s="145">
        <f t="shared" si="158"/>
        <v>41414</v>
      </c>
      <c r="K1356" s="144">
        <f t="shared" ca="1" si="159"/>
        <v>0.96942348089940078</v>
      </c>
      <c r="L1356" s="144">
        <f t="shared" ca="1" si="159"/>
        <v>0.65790087917217766</v>
      </c>
      <c r="M1356" s="144">
        <f t="shared" ca="1" si="159"/>
        <v>102.59083482455458</v>
      </c>
      <c r="N1356" s="144">
        <f t="shared" ca="1" si="159"/>
        <v>5.8463393760211622</v>
      </c>
      <c r="O1356" s="144">
        <f t="shared" ca="1" si="159"/>
        <v>31.329650665214345</v>
      </c>
      <c r="P1356" s="144">
        <f t="shared" ca="1" si="159"/>
        <v>1</v>
      </c>
      <c r="Q1356" s="144">
        <f t="shared" ca="1" si="159"/>
        <v>0.77802847584221579</v>
      </c>
    </row>
    <row r="1357" spans="1:17" x14ac:dyDescent="0.25">
      <c r="A1357" s="145">
        <v>41413</v>
      </c>
      <c r="B1357" s="144">
        <v>1.2868999999999999</v>
      </c>
      <c r="C1357" s="144">
        <v>40.387599999999999</v>
      </c>
      <c r="D1357" s="144">
        <v>7.5392999999999999</v>
      </c>
      <c r="E1357" s="144">
        <v>131.87</v>
      </c>
      <c r="F1357" s="144">
        <v>0.84475</v>
      </c>
      <c r="G1357" s="144">
        <v>1.2448999999999999</v>
      </c>
      <c r="I1357" s="144">
        <v>1</v>
      </c>
      <c r="J1357" s="145">
        <f t="shared" si="158"/>
        <v>41413</v>
      </c>
      <c r="K1357" s="144">
        <f t="shared" ca="1" si="159"/>
        <v>0.96736343150205917</v>
      </c>
      <c r="L1357" s="144">
        <f t="shared" ca="1" si="159"/>
        <v>0.65642241044370198</v>
      </c>
      <c r="M1357" s="144">
        <f t="shared" ca="1" si="159"/>
        <v>102.47105447198696</v>
      </c>
      <c r="N1357" s="144">
        <f t="shared" ca="1" si="159"/>
        <v>5.8584971637267858</v>
      </c>
      <c r="O1357" s="144">
        <f t="shared" ca="1" si="159"/>
        <v>31.383635092081747</v>
      </c>
      <c r="P1357" s="144">
        <f t="shared" ca="1" si="159"/>
        <v>1</v>
      </c>
      <c r="Q1357" s="144">
        <f t="shared" ca="1" si="159"/>
        <v>0.77706115471287596</v>
      </c>
    </row>
    <row r="1358" spans="1:17" x14ac:dyDescent="0.25">
      <c r="A1358" s="145">
        <v>41412</v>
      </c>
      <c r="B1358" s="144">
        <v>1.2868999999999999</v>
      </c>
      <c r="C1358" s="144">
        <v>40.387599999999999</v>
      </c>
      <c r="D1358" s="144">
        <v>7.5392999999999999</v>
      </c>
      <c r="E1358" s="144">
        <v>131.87</v>
      </c>
      <c r="F1358" s="144">
        <v>0.84475</v>
      </c>
      <c r="G1358" s="144">
        <v>1.2448999999999999</v>
      </c>
      <c r="I1358" s="144">
        <v>1</v>
      </c>
      <c r="J1358" s="145">
        <f t="shared" si="158"/>
        <v>41412</v>
      </c>
      <c r="K1358" s="144">
        <f t="shared" ca="1" si="159"/>
        <v>0.96736343150205917</v>
      </c>
      <c r="L1358" s="144">
        <f t="shared" ca="1" si="159"/>
        <v>0.65642241044370198</v>
      </c>
      <c r="M1358" s="144">
        <f t="shared" ca="1" si="159"/>
        <v>102.47105447198696</v>
      </c>
      <c r="N1358" s="144">
        <f t="shared" ca="1" si="159"/>
        <v>5.8584971637267858</v>
      </c>
      <c r="O1358" s="144">
        <f t="shared" ca="1" si="159"/>
        <v>31.383635092081747</v>
      </c>
      <c r="P1358" s="144">
        <f t="shared" ca="1" si="159"/>
        <v>1</v>
      </c>
      <c r="Q1358" s="144">
        <f t="shared" ca="1" si="159"/>
        <v>0.77706115471287596</v>
      </c>
    </row>
    <row r="1359" spans="1:17" x14ac:dyDescent="0.25">
      <c r="A1359" s="145">
        <v>41411</v>
      </c>
      <c r="B1359" s="144">
        <v>1.2868999999999999</v>
      </c>
      <c r="C1359" s="144">
        <v>40.387599999999999</v>
      </c>
      <c r="D1359" s="144">
        <v>7.5392999999999999</v>
      </c>
      <c r="E1359" s="144">
        <v>131.87</v>
      </c>
      <c r="F1359" s="144">
        <v>0.84475</v>
      </c>
      <c r="G1359" s="144">
        <v>1.2448999999999999</v>
      </c>
      <c r="I1359" s="144">
        <v>1</v>
      </c>
      <c r="J1359" s="145">
        <f t="shared" si="158"/>
        <v>41411</v>
      </c>
      <c r="K1359" s="144">
        <f t="shared" ca="1" si="159"/>
        <v>0.96736343150205917</v>
      </c>
      <c r="L1359" s="144">
        <f t="shared" ca="1" si="159"/>
        <v>0.65642241044370198</v>
      </c>
      <c r="M1359" s="144">
        <f t="shared" ca="1" si="159"/>
        <v>102.47105447198696</v>
      </c>
      <c r="N1359" s="144">
        <f t="shared" ca="1" si="159"/>
        <v>5.8584971637267858</v>
      </c>
      <c r="O1359" s="144">
        <f t="shared" ca="1" si="159"/>
        <v>31.383635092081747</v>
      </c>
      <c r="P1359" s="144">
        <f t="shared" ca="1" si="159"/>
        <v>1</v>
      </c>
      <c r="Q1359" s="144">
        <f t="shared" ca="1" si="159"/>
        <v>0.77706115471287596</v>
      </c>
    </row>
    <row r="1360" spans="1:17" x14ac:dyDescent="0.25">
      <c r="A1360" s="145">
        <v>41410</v>
      </c>
      <c r="B1360" s="144">
        <v>1.2889999999999999</v>
      </c>
      <c r="C1360" s="144">
        <v>40.454999999999998</v>
      </c>
      <c r="D1360" s="144">
        <v>7.5359999999999996</v>
      </c>
      <c r="E1360" s="144">
        <v>132.15</v>
      </c>
      <c r="F1360" s="144">
        <v>0.84550000000000003</v>
      </c>
      <c r="G1360" s="144">
        <v>1.2444</v>
      </c>
      <c r="I1360" s="144">
        <v>1</v>
      </c>
      <c r="J1360" s="145">
        <f t="shared" si="158"/>
        <v>41410</v>
      </c>
      <c r="K1360" s="144">
        <f t="shared" ca="1" si="159"/>
        <v>0.96539953452288596</v>
      </c>
      <c r="L1360" s="144">
        <f t="shared" ca="1" si="159"/>
        <v>0.65593483320403423</v>
      </c>
      <c r="M1360" s="144">
        <f t="shared" ca="1" si="159"/>
        <v>102.52133436772694</v>
      </c>
      <c r="N1360" s="144">
        <f t="shared" ca="1" si="159"/>
        <v>5.8463925523661757</v>
      </c>
      <c r="O1360" s="144">
        <f t="shared" ca="1" si="159"/>
        <v>31.384794414274634</v>
      </c>
      <c r="P1360" s="144">
        <f t="shared" ca="1" si="159"/>
        <v>1</v>
      </c>
      <c r="Q1360" s="144">
        <f t="shared" ca="1" si="159"/>
        <v>0.77579519006982156</v>
      </c>
    </row>
    <row r="1361" spans="1:17" x14ac:dyDescent="0.25">
      <c r="A1361" s="145">
        <v>41409</v>
      </c>
      <c r="B1361" s="144">
        <v>1.2864</v>
      </c>
      <c r="C1361" s="144">
        <v>40.491999999999997</v>
      </c>
      <c r="D1361" s="144">
        <v>7.5415000000000001</v>
      </c>
      <c r="E1361" s="144">
        <v>132.04</v>
      </c>
      <c r="F1361" s="144">
        <v>0.84640000000000004</v>
      </c>
      <c r="G1361" s="144">
        <v>1.2499</v>
      </c>
      <c r="I1361" s="144">
        <v>1</v>
      </c>
      <c r="J1361" s="145">
        <f t="shared" si="158"/>
        <v>41409</v>
      </c>
      <c r="K1361" s="144">
        <f t="shared" ca="1" si="159"/>
        <v>0.97162624378109452</v>
      </c>
      <c r="L1361" s="144">
        <f t="shared" ca="1" si="159"/>
        <v>0.65796019900497515</v>
      </c>
      <c r="M1361" s="144">
        <f t="shared" ca="1" si="159"/>
        <v>102.64303482587064</v>
      </c>
      <c r="N1361" s="144">
        <f t="shared" ca="1" si="159"/>
        <v>5.8624844527363189</v>
      </c>
      <c r="O1361" s="144">
        <f t="shared" ca="1" si="159"/>
        <v>31.47699004975124</v>
      </c>
      <c r="P1361" s="144">
        <f t="shared" ca="1" si="159"/>
        <v>1</v>
      </c>
      <c r="Q1361" s="144">
        <f t="shared" ca="1" si="159"/>
        <v>0.77736318407960203</v>
      </c>
    </row>
    <row r="1362" spans="1:17" x14ac:dyDescent="0.25">
      <c r="A1362" s="145">
        <v>41408</v>
      </c>
      <c r="B1362" s="144">
        <v>1.2977000000000001</v>
      </c>
      <c r="C1362" s="144">
        <v>40.664999999999999</v>
      </c>
      <c r="D1362" s="144">
        <v>7.5404999999999998</v>
      </c>
      <c r="E1362" s="144">
        <v>131.88</v>
      </c>
      <c r="F1362" s="144">
        <v>0.84814999999999996</v>
      </c>
      <c r="G1362" s="144">
        <v>1.2416</v>
      </c>
      <c r="I1362" s="144">
        <v>1</v>
      </c>
      <c r="J1362" s="145">
        <f t="shared" si="158"/>
        <v>41408</v>
      </c>
      <c r="K1362" s="144">
        <f t="shared" ca="1" si="159"/>
        <v>0.95676966941511898</v>
      </c>
      <c r="L1362" s="144">
        <f t="shared" ca="1" si="159"/>
        <v>0.65357940972489781</v>
      </c>
      <c r="M1362" s="144">
        <f t="shared" ca="1" si="159"/>
        <v>101.62595361023348</v>
      </c>
      <c r="N1362" s="144">
        <f t="shared" ca="1" si="159"/>
        <v>5.8106650227325263</v>
      </c>
      <c r="O1362" s="144">
        <f t="shared" ca="1" si="159"/>
        <v>31.336210218078136</v>
      </c>
      <c r="P1362" s="144">
        <f t="shared" ca="1" si="159"/>
        <v>1</v>
      </c>
      <c r="Q1362" s="144">
        <f t="shared" ca="1" si="159"/>
        <v>0.77059412807274408</v>
      </c>
    </row>
    <row r="1363" spans="1:17" x14ac:dyDescent="0.25">
      <c r="A1363" s="145">
        <v>41407</v>
      </c>
      <c r="B1363" s="144">
        <v>1.2972999999999999</v>
      </c>
      <c r="C1363" s="144">
        <v>40.637999999999998</v>
      </c>
      <c r="D1363" s="144">
        <v>7.5330000000000004</v>
      </c>
      <c r="E1363" s="144">
        <v>132.01</v>
      </c>
      <c r="F1363" s="144">
        <v>0.84409999999999996</v>
      </c>
      <c r="G1363" s="144">
        <v>1.2403999999999999</v>
      </c>
      <c r="I1363" s="144">
        <v>1</v>
      </c>
      <c r="J1363" s="145">
        <f t="shared" si="158"/>
        <v>41407</v>
      </c>
      <c r="K1363" s="144">
        <f t="shared" ca="1" si="159"/>
        <v>0.95613967470901107</v>
      </c>
      <c r="L1363" s="144">
        <f t="shared" ca="1" si="159"/>
        <v>0.65065906112695604</v>
      </c>
      <c r="M1363" s="144">
        <f t="shared" ca="1" si="159"/>
        <v>101.7574963385493</v>
      </c>
      <c r="N1363" s="144">
        <f t="shared" ca="1" si="159"/>
        <v>5.8066754027595779</v>
      </c>
      <c r="O1363" s="144">
        <f t="shared" ca="1" si="159"/>
        <v>31.325059739458876</v>
      </c>
      <c r="P1363" s="144">
        <f t="shared" ca="1" si="159"/>
        <v>1</v>
      </c>
      <c r="Q1363" s="144">
        <f t="shared" ca="1" si="159"/>
        <v>0.77083172743390127</v>
      </c>
    </row>
    <row r="1364" spans="1:17" x14ac:dyDescent="0.25">
      <c r="A1364" s="145">
        <v>41406</v>
      </c>
      <c r="B1364" s="144">
        <v>1.2988</v>
      </c>
      <c r="C1364" s="144">
        <v>40.744999999999997</v>
      </c>
      <c r="D1364" s="144">
        <v>7.5259999999999998</v>
      </c>
      <c r="E1364" s="144">
        <v>131.94</v>
      </c>
      <c r="F1364" s="144">
        <v>0.84430000000000005</v>
      </c>
      <c r="G1364" s="144">
        <v>1.2430000000000001</v>
      </c>
      <c r="I1364" s="144">
        <v>1</v>
      </c>
      <c r="J1364" s="145">
        <f t="shared" si="158"/>
        <v>41406</v>
      </c>
      <c r="K1364" s="144">
        <f t="shared" ca="1" si="159"/>
        <v>0.95703726516784737</v>
      </c>
      <c r="L1364" s="144">
        <f t="shared" ca="1" si="159"/>
        <v>0.65006159531875585</v>
      </c>
      <c r="M1364" s="144">
        <f t="shared" ca="1" si="159"/>
        <v>101.58607945796119</v>
      </c>
      <c r="N1364" s="144">
        <f t="shared" ca="1" si="159"/>
        <v>5.7945796119494917</v>
      </c>
      <c r="O1364" s="144">
        <f t="shared" ca="1" si="159"/>
        <v>31.371265783800432</v>
      </c>
      <c r="P1364" s="144">
        <f t="shared" ca="1" si="159"/>
        <v>1</v>
      </c>
      <c r="Q1364" s="144">
        <f t="shared" ca="1" si="159"/>
        <v>0.76994148444718202</v>
      </c>
    </row>
    <row r="1365" spans="1:17" x14ac:dyDescent="0.25">
      <c r="A1365" s="145">
        <v>41405</v>
      </c>
      <c r="B1365" s="144">
        <v>1.2988</v>
      </c>
      <c r="C1365" s="144">
        <v>40.744999999999997</v>
      </c>
      <c r="D1365" s="144">
        <v>7.5259999999999998</v>
      </c>
      <c r="E1365" s="144">
        <v>131.94</v>
      </c>
      <c r="F1365" s="144">
        <v>0.84430000000000005</v>
      </c>
      <c r="G1365" s="144">
        <v>1.2430000000000001</v>
      </c>
      <c r="I1365" s="144">
        <v>1</v>
      </c>
      <c r="J1365" s="145">
        <f t="shared" si="158"/>
        <v>41405</v>
      </c>
      <c r="K1365" s="144">
        <f t="shared" ref="K1365:Q1374" ca="1" si="160">OFFSET($A1365,0,K$3)/OFFSET($A1365,0,$P$3)</f>
        <v>0.95703726516784737</v>
      </c>
      <c r="L1365" s="144">
        <f t="shared" ca="1" si="160"/>
        <v>0.65006159531875585</v>
      </c>
      <c r="M1365" s="144">
        <f t="shared" ca="1" si="160"/>
        <v>101.58607945796119</v>
      </c>
      <c r="N1365" s="144">
        <f t="shared" ca="1" si="160"/>
        <v>5.7945796119494917</v>
      </c>
      <c r="O1365" s="144">
        <f t="shared" ca="1" si="160"/>
        <v>31.371265783800432</v>
      </c>
      <c r="P1365" s="144">
        <f t="shared" ca="1" si="160"/>
        <v>1</v>
      </c>
      <c r="Q1365" s="144">
        <f t="shared" ca="1" si="160"/>
        <v>0.76994148444718202</v>
      </c>
    </row>
    <row r="1366" spans="1:17" x14ac:dyDescent="0.25">
      <c r="A1366" s="145">
        <v>41404</v>
      </c>
      <c r="B1366" s="144">
        <v>1.2988</v>
      </c>
      <c r="C1366" s="144">
        <v>40.744999999999997</v>
      </c>
      <c r="D1366" s="144">
        <v>7.5259999999999998</v>
      </c>
      <c r="E1366" s="144">
        <v>131.94</v>
      </c>
      <c r="F1366" s="144">
        <v>0.84430000000000005</v>
      </c>
      <c r="G1366" s="144">
        <v>1.2430000000000001</v>
      </c>
      <c r="I1366" s="144">
        <v>1</v>
      </c>
      <c r="J1366" s="145">
        <f t="shared" si="158"/>
        <v>41404</v>
      </c>
      <c r="K1366" s="144">
        <f t="shared" ca="1" si="160"/>
        <v>0.95703726516784737</v>
      </c>
      <c r="L1366" s="144">
        <f t="shared" ca="1" si="160"/>
        <v>0.65006159531875585</v>
      </c>
      <c r="M1366" s="144">
        <f t="shared" ca="1" si="160"/>
        <v>101.58607945796119</v>
      </c>
      <c r="N1366" s="144">
        <f t="shared" ca="1" si="160"/>
        <v>5.7945796119494917</v>
      </c>
      <c r="O1366" s="144">
        <f t="shared" ca="1" si="160"/>
        <v>31.371265783800432</v>
      </c>
      <c r="P1366" s="144">
        <f t="shared" ca="1" si="160"/>
        <v>1</v>
      </c>
      <c r="Q1366" s="144">
        <f t="shared" ca="1" si="160"/>
        <v>0.76994148444718202</v>
      </c>
    </row>
    <row r="1367" spans="1:17" x14ac:dyDescent="0.25">
      <c r="A1367" s="145">
        <v>41403</v>
      </c>
      <c r="B1367" s="144">
        <v>1.3142</v>
      </c>
      <c r="C1367" s="144">
        <v>40.93</v>
      </c>
      <c r="D1367" s="144">
        <v>7.5484999999999998</v>
      </c>
      <c r="E1367" s="144">
        <v>129.80000000000001</v>
      </c>
      <c r="F1367" s="144">
        <v>0.84435000000000004</v>
      </c>
      <c r="G1367" s="144">
        <v>1.2290000000000001</v>
      </c>
      <c r="I1367" s="144">
        <v>1</v>
      </c>
      <c r="J1367" s="145">
        <f t="shared" si="158"/>
        <v>41403</v>
      </c>
      <c r="K1367" s="144">
        <f t="shared" ca="1" si="160"/>
        <v>0.93516968497945518</v>
      </c>
      <c r="L1367" s="144">
        <f t="shared" ca="1" si="160"/>
        <v>0.64248211839902603</v>
      </c>
      <c r="M1367" s="144">
        <f t="shared" ca="1" si="160"/>
        <v>98.767310911581191</v>
      </c>
      <c r="N1367" s="144">
        <f t="shared" ca="1" si="160"/>
        <v>5.7437985085983865</v>
      </c>
      <c r="O1367" s="144">
        <f t="shared" ca="1" si="160"/>
        <v>31.1444224623345</v>
      </c>
      <c r="P1367" s="144">
        <f t="shared" ca="1" si="160"/>
        <v>1</v>
      </c>
      <c r="Q1367" s="144">
        <f t="shared" ca="1" si="160"/>
        <v>0.76091919038198141</v>
      </c>
    </row>
    <row r="1368" spans="1:17" x14ac:dyDescent="0.25">
      <c r="A1368" s="145">
        <v>41402</v>
      </c>
      <c r="B1368" s="144">
        <v>1.3134999999999999</v>
      </c>
      <c r="C1368" s="144">
        <v>40.901699999999998</v>
      </c>
      <c r="D1368" s="144">
        <v>7.5910000000000002</v>
      </c>
      <c r="E1368" s="144">
        <v>129.88999999999999</v>
      </c>
      <c r="F1368" s="144">
        <v>0.84689999999999999</v>
      </c>
      <c r="G1368" s="144">
        <v>1.2336</v>
      </c>
      <c r="I1368" s="144">
        <v>1</v>
      </c>
      <c r="J1368" s="145">
        <f t="shared" si="158"/>
        <v>41402</v>
      </c>
      <c r="K1368" s="144">
        <f t="shared" ca="1" si="160"/>
        <v>0.93917015607156462</v>
      </c>
      <c r="L1368" s="144">
        <f t="shared" ca="1" si="160"/>
        <v>0.6447658926532166</v>
      </c>
      <c r="M1368" s="144">
        <f t="shared" ca="1" si="160"/>
        <v>98.888465930719448</v>
      </c>
      <c r="N1368" s="144">
        <f t="shared" ca="1" si="160"/>
        <v>5.7792158355538641</v>
      </c>
      <c r="O1368" s="144">
        <f t="shared" ca="1" si="160"/>
        <v>31.139474685953559</v>
      </c>
      <c r="P1368" s="144">
        <f t="shared" ca="1" si="160"/>
        <v>1</v>
      </c>
      <c r="Q1368" s="144">
        <f t="shared" ca="1" si="160"/>
        <v>0.76132470498667693</v>
      </c>
    </row>
    <row r="1369" spans="1:17" x14ac:dyDescent="0.25">
      <c r="A1369" s="145">
        <v>41401</v>
      </c>
      <c r="B1369" s="144">
        <v>1.3107</v>
      </c>
      <c r="C1369" s="144">
        <v>40.65</v>
      </c>
      <c r="D1369" s="144">
        <v>7.6395</v>
      </c>
      <c r="E1369" s="144">
        <v>129.97999999999999</v>
      </c>
      <c r="F1369" s="144">
        <v>0.84419999999999995</v>
      </c>
      <c r="G1369" s="144">
        <v>1.2333000000000001</v>
      </c>
      <c r="I1369" s="144">
        <v>1</v>
      </c>
      <c r="J1369" s="145">
        <f t="shared" si="158"/>
        <v>41401</v>
      </c>
      <c r="K1369" s="144">
        <f t="shared" ca="1" si="160"/>
        <v>0.94094758525978495</v>
      </c>
      <c r="L1369" s="144">
        <f t="shared" ca="1" si="160"/>
        <v>0.64408331425955589</v>
      </c>
      <c r="M1369" s="144">
        <f t="shared" ca="1" si="160"/>
        <v>99.168383306630034</v>
      </c>
      <c r="N1369" s="144">
        <f t="shared" ca="1" si="160"/>
        <v>5.8285648889906154</v>
      </c>
      <c r="O1369" s="144">
        <f t="shared" ca="1" si="160"/>
        <v>31.013962005035477</v>
      </c>
      <c r="P1369" s="144">
        <f t="shared" ca="1" si="160"/>
        <v>1</v>
      </c>
      <c r="Q1369" s="144">
        <f t="shared" ca="1" si="160"/>
        <v>0.76295109483482115</v>
      </c>
    </row>
    <row r="1370" spans="1:17" x14ac:dyDescent="0.25">
      <c r="A1370" s="145">
        <v>41400</v>
      </c>
      <c r="B1370" s="144">
        <v>1.3107</v>
      </c>
      <c r="C1370" s="144">
        <v>40.74</v>
      </c>
      <c r="D1370" s="144">
        <v>7.6239999999999997</v>
      </c>
      <c r="E1370" s="144">
        <v>130.18</v>
      </c>
      <c r="F1370" s="144">
        <v>0.84309999999999996</v>
      </c>
      <c r="G1370" s="144">
        <v>1.228</v>
      </c>
      <c r="I1370" s="144">
        <v>1</v>
      </c>
      <c r="J1370" s="145">
        <f t="shared" si="158"/>
        <v>41400</v>
      </c>
      <c r="K1370" s="144">
        <f t="shared" ca="1" si="160"/>
        <v>0.9369039444571603</v>
      </c>
      <c r="L1370" s="144">
        <f t="shared" ca="1" si="160"/>
        <v>0.64324406805523759</v>
      </c>
      <c r="M1370" s="144">
        <f t="shared" ca="1" si="160"/>
        <v>99.320973525597012</v>
      </c>
      <c r="N1370" s="144">
        <f t="shared" ca="1" si="160"/>
        <v>5.8167391470206757</v>
      </c>
      <c r="O1370" s="144">
        <f t="shared" ca="1" si="160"/>
        <v>31.082627603570614</v>
      </c>
      <c r="P1370" s="144">
        <f t="shared" ca="1" si="160"/>
        <v>1</v>
      </c>
      <c r="Q1370" s="144">
        <f t="shared" ca="1" si="160"/>
        <v>0.76295109483482115</v>
      </c>
    </row>
    <row r="1371" spans="1:17" x14ac:dyDescent="0.25">
      <c r="A1371" s="145">
        <v>41399</v>
      </c>
      <c r="B1371" s="144">
        <v>1.3113999999999999</v>
      </c>
      <c r="C1371" s="144">
        <v>40.820799999999998</v>
      </c>
      <c r="D1371" s="144">
        <v>7.6074999999999999</v>
      </c>
      <c r="E1371" s="144">
        <v>128.6</v>
      </c>
      <c r="F1371" s="144">
        <v>0.84309999999999996</v>
      </c>
      <c r="G1371" s="144">
        <v>1.2235</v>
      </c>
      <c r="I1371" s="144">
        <v>1</v>
      </c>
      <c r="J1371" s="145">
        <f t="shared" si="158"/>
        <v>41399</v>
      </c>
      <c r="K1371" s="144">
        <f t="shared" ca="1" si="160"/>
        <v>0.93297239591276504</v>
      </c>
      <c r="L1371" s="144">
        <f t="shared" ca="1" si="160"/>
        <v>0.64290071679121552</v>
      </c>
      <c r="M1371" s="144">
        <f t="shared" ca="1" si="160"/>
        <v>98.063138630471258</v>
      </c>
      <c r="N1371" s="144">
        <f t="shared" ca="1" si="160"/>
        <v>5.8010523105078544</v>
      </c>
      <c r="O1371" s="144">
        <f t="shared" ca="1" si="160"/>
        <v>31.127649839865793</v>
      </c>
      <c r="P1371" s="144">
        <f t="shared" ca="1" si="160"/>
        <v>1</v>
      </c>
      <c r="Q1371" s="144">
        <f t="shared" ca="1" si="160"/>
        <v>0.76254384627116067</v>
      </c>
    </row>
    <row r="1372" spans="1:17" x14ac:dyDescent="0.25">
      <c r="A1372" s="145">
        <v>41398</v>
      </c>
      <c r="B1372" s="144">
        <v>1.3113999999999999</v>
      </c>
      <c r="C1372" s="144">
        <v>40.820799999999998</v>
      </c>
      <c r="D1372" s="144">
        <v>7.6074999999999999</v>
      </c>
      <c r="E1372" s="144">
        <v>128.6</v>
      </c>
      <c r="F1372" s="144">
        <v>0.84309999999999996</v>
      </c>
      <c r="G1372" s="144">
        <v>1.2235</v>
      </c>
      <c r="I1372" s="144">
        <v>1</v>
      </c>
      <c r="J1372" s="145">
        <f t="shared" si="158"/>
        <v>41398</v>
      </c>
      <c r="K1372" s="144">
        <f t="shared" ca="1" si="160"/>
        <v>0.93297239591276504</v>
      </c>
      <c r="L1372" s="144">
        <f t="shared" ca="1" si="160"/>
        <v>0.64290071679121552</v>
      </c>
      <c r="M1372" s="144">
        <f t="shared" ca="1" si="160"/>
        <v>98.063138630471258</v>
      </c>
      <c r="N1372" s="144">
        <f t="shared" ca="1" si="160"/>
        <v>5.8010523105078544</v>
      </c>
      <c r="O1372" s="144">
        <f t="shared" ca="1" si="160"/>
        <v>31.127649839865793</v>
      </c>
      <c r="P1372" s="144">
        <f t="shared" ca="1" si="160"/>
        <v>1</v>
      </c>
      <c r="Q1372" s="144">
        <f t="shared" ca="1" si="160"/>
        <v>0.76254384627116067</v>
      </c>
    </row>
    <row r="1373" spans="1:17" x14ac:dyDescent="0.25">
      <c r="A1373" s="145">
        <v>41397</v>
      </c>
      <c r="B1373" s="144">
        <v>1.3113999999999999</v>
      </c>
      <c r="C1373" s="144">
        <v>40.820799999999998</v>
      </c>
      <c r="D1373" s="144">
        <v>7.6074999999999999</v>
      </c>
      <c r="E1373" s="144">
        <v>128.6</v>
      </c>
      <c r="F1373" s="144">
        <v>0.84309999999999996</v>
      </c>
      <c r="G1373" s="144">
        <v>1.2235</v>
      </c>
      <c r="I1373" s="144">
        <v>1</v>
      </c>
      <c r="J1373" s="145">
        <f t="shared" si="158"/>
        <v>41397</v>
      </c>
      <c r="K1373" s="144">
        <f t="shared" ca="1" si="160"/>
        <v>0.93297239591276504</v>
      </c>
      <c r="L1373" s="144">
        <f t="shared" ca="1" si="160"/>
        <v>0.64290071679121552</v>
      </c>
      <c r="M1373" s="144">
        <f t="shared" ca="1" si="160"/>
        <v>98.063138630471258</v>
      </c>
      <c r="N1373" s="144">
        <f t="shared" ca="1" si="160"/>
        <v>5.8010523105078544</v>
      </c>
      <c r="O1373" s="144">
        <f t="shared" ca="1" si="160"/>
        <v>31.127649839865793</v>
      </c>
      <c r="P1373" s="144">
        <f t="shared" ca="1" si="160"/>
        <v>1</v>
      </c>
      <c r="Q1373" s="144">
        <f t="shared" ca="1" si="160"/>
        <v>0.76254384627116067</v>
      </c>
    </row>
    <row r="1374" spans="1:17" x14ac:dyDescent="0.25">
      <c r="A1374" s="145">
        <v>41396</v>
      </c>
      <c r="B1374" s="144">
        <v>1.3190999999999999</v>
      </c>
      <c r="C1374" s="144">
        <v>41.200899999999997</v>
      </c>
      <c r="D1374" s="144">
        <v>7.5865</v>
      </c>
      <c r="E1374" s="144">
        <v>129.04</v>
      </c>
      <c r="F1374" s="144">
        <v>0.84660000000000002</v>
      </c>
      <c r="G1374" s="144">
        <v>1.2243999999999999</v>
      </c>
      <c r="I1374" s="144">
        <v>1</v>
      </c>
      <c r="J1374" s="145">
        <f t="shared" si="158"/>
        <v>41396</v>
      </c>
      <c r="K1374" s="144">
        <f t="shared" ca="1" si="160"/>
        <v>0.92820862709423091</v>
      </c>
      <c r="L1374" s="144">
        <f t="shared" ca="1" si="160"/>
        <v>0.64180122811007512</v>
      </c>
      <c r="M1374" s="144">
        <f t="shared" ca="1" si="160"/>
        <v>97.824274126298235</v>
      </c>
      <c r="N1374" s="144">
        <f t="shared" ca="1" si="160"/>
        <v>5.7512698051701925</v>
      </c>
      <c r="O1374" s="144">
        <f t="shared" ca="1" si="160"/>
        <v>31.234099006898642</v>
      </c>
      <c r="P1374" s="144">
        <f t="shared" ca="1" si="160"/>
        <v>1</v>
      </c>
      <c r="Q1374" s="144">
        <f t="shared" ca="1" si="160"/>
        <v>0.75809263892047607</v>
      </c>
    </row>
    <row r="1375" spans="1:17" x14ac:dyDescent="0.25">
      <c r="A1375" s="145">
        <v>41395</v>
      </c>
      <c r="B1375" s="144">
        <v>1.3071999999999999</v>
      </c>
      <c r="C1375" s="144">
        <v>40.691400000000002</v>
      </c>
      <c r="D1375" s="144">
        <v>7.6074999999999999</v>
      </c>
      <c r="E1375" s="144">
        <v>127.35</v>
      </c>
      <c r="F1375" s="144">
        <v>0.84430000000000005</v>
      </c>
      <c r="G1375" s="144">
        <v>1.2238</v>
      </c>
      <c r="I1375" s="144">
        <v>1</v>
      </c>
      <c r="J1375" s="145">
        <f t="shared" si="158"/>
        <v>41395</v>
      </c>
      <c r="K1375" s="144">
        <f t="shared" ref="K1375:Q1384" ca="1" si="161">OFFSET($A1375,0,K$3)/OFFSET($A1375,0,$P$3)</f>
        <v>0.9361995104039168</v>
      </c>
      <c r="L1375" s="144">
        <f t="shared" ca="1" si="161"/>
        <v>0.64588433292533665</v>
      </c>
      <c r="M1375" s="144">
        <f t="shared" ca="1" si="161"/>
        <v>97.421970624235001</v>
      </c>
      <c r="N1375" s="144">
        <f t="shared" ca="1" si="161"/>
        <v>5.8196909424724605</v>
      </c>
      <c r="O1375" s="144">
        <f t="shared" ca="1" si="161"/>
        <v>31.128671970624239</v>
      </c>
      <c r="P1375" s="144">
        <f t="shared" ca="1" si="161"/>
        <v>1</v>
      </c>
      <c r="Q1375" s="144">
        <f t="shared" ca="1" si="161"/>
        <v>0.76499388004895963</v>
      </c>
    </row>
    <row r="1376" spans="1:17" x14ac:dyDescent="0.25">
      <c r="A1376" s="145">
        <v>41394</v>
      </c>
      <c r="B1376" s="144">
        <v>1.3071999999999999</v>
      </c>
      <c r="C1376" s="144">
        <v>40.691400000000002</v>
      </c>
      <c r="D1376" s="144">
        <v>7.6074999999999999</v>
      </c>
      <c r="E1376" s="144">
        <v>127.35</v>
      </c>
      <c r="F1376" s="144">
        <v>0.84430000000000005</v>
      </c>
      <c r="G1376" s="144">
        <v>1.2238</v>
      </c>
      <c r="I1376" s="144">
        <v>1</v>
      </c>
      <c r="J1376" s="145">
        <f t="shared" si="158"/>
        <v>41394</v>
      </c>
      <c r="K1376" s="144">
        <f t="shared" ca="1" si="161"/>
        <v>0.9361995104039168</v>
      </c>
      <c r="L1376" s="144">
        <f t="shared" ca="1" si="161"/>
        <v>0.64588433292533665</v>
      </c>
      <c r="M1376" s="144">
        <f t="shared" ca="1" si="161"/>
        <v>97.421970624235001</v>
      </c>
      <c r="N1376" s="144">
        <f t="shared" ca="1" si="161"/>
        <v>5.8196909424724605</v>
      </c>
      <c r="O1376" s="144">
        <f t="shared" ca="1" si="161"/>
        <v>31.128671970624239</v>
      </c>
      <c r="P1376" s="144">
        <f t="shared" ca="1" si="161"/>
        <v>1</v>
      </c>
      <c r="Q1376" s="144">
        <f t="shared" ca="1" si="161"/>
        <v>0.76499388004895963</v>
      </c>
    </row>
    <row r="1377" spans="1:17" x14ac:dyDescent="0.25">
      <c r="A1377" s="145">
        <v>41393</v>
      </c>
      <c r="B1377" s="144">
        <v>1.3112999999999999</v>
      </c>
      <c r="C1377" s="144">
        <v>40.591500000000003</v>
      </c>
      <c r="D1377" s="144">
        <v>7.609</v>
      </c>
      <c r="E1377" s="144">
        <v>128.27000000000001</v>
      </c>
      <c r="F1377" s="144">
        <v>0.84399999999999997</v>
      </c>
      <c r="G1377" s="144">
        <v>1.2279</v>
      </c>
      <c r="I1377" s="144">
        <v>1</v>
      </c>
      <c r="J1377" s="145">
        <f t="shared" si="158"/>
        <v>41393</v>
      </c>
      <c r="K1377" s="144">
        <f t="shared" ca="1" si="161"/>
        <v>0.9363989933653627</v>
      </c>
      <c r="L1377" s="144">
        <f t="shared" ca="1" si="161"/>
        <v>0.64363608632654623</v>
      </c>
      <c r="M1377" s="144">
        <f t="shared" ca="1" si="161"/>
        <v>97.818958285670718</v>
      </c>
      <c r="N1377" s="144">
        <f t="shared" ca="1" si="161"/>
        <v>5.8026386029131398</v>
      </c>
      <c r="O1377" s="144">
        <f t="shared" ca="1" si="161"/>
        <v>30.955159002516591</v>
      </c>
      <c r="P1377" s="144">
        <f t="shared" ca="1" si="161"/>
        <v>1</v>
      </c>
      <c r="Q1377" s="144">
        <f t="shared" ca="1" si="161"/>
        <v>0.76260199801723483</v>
      </c>
    </row>
    <row r="1378" spans="1:17" x14ac:dyDescent="0.25">
      <c r="A1378" s="145">
        <v>41392</v>
      </c>
      <c r="B1378" s="144">
        <v>1.2999000000000001</v>
      </c>
      <c r="C1378" s="144">
        <v>40.710500000000003</v>
      </c>
      <c r="D1378" s="144">
        <v>7.6215000000000002</v>
      </c>
      <c r="E1378" s="144">
        <v>128.13</v>
      </c>
      <c r="F1378" s="144">
        <v>0.84</v>
      </c>
      <c r="G1378" s="144">
        <v>1.2273000000000001</v>
      </c>
      <c r="I1378" s="144">
        <v>1</v>
      </c>
      <c r="J1378" s="145">
        <f t="shared" si="158"/>
        <v>41392</v>
      </c>
      <c r="K1378" s="144">
        <f t="shared" ca="1" si="161"/>
        <v>0.94414954996538192</v>
      </c>
      <c r="L1378" s="144">
        <f t="shared" ca="1" si="161"/>
        <v>0.64620355411954755</v>
      </c>
      <c r="M1378" s="144">
        <f t="shared" ca="1" si="161"/>
        <v>98.569120701592425</v>
      </c>
      <c r="N1378" s="144">
        <f t="shared" ca="1" si="161"/>
        <v>5.8631433187168245</v>
      </c>
      <c r="O1378" s="144">
        <f t="shared" ca="1" si="161"/>
        <v>31.318178321409341</v>
      </c>
      <c r="P1378" s="144">
        <f t="shared" ca="1" si="161"/>
        <v>1</v>
      </c>
      <c r="Q1378" s="144">
        <f t="shared" ca="1" si="161"/>
        <v>0.76928994538041384</v>
      </c>
    </row>
    <row r="1379" spans="1:17" x14ac:dyDescent="0.25">
      <c r="A1379" s="145">
        <v>41391</v>
      </c>
      <c r="B1379" s="144">
        <v>1.2999000000000001</v>
      </c>
      <c r="C1379" s="144">
        <v>40.710500000000003</v>
      </c>
      <c r="D1379" s="144">
        <v>7.6215000000000002</v>
      </c>
      <c r="E1379" s="144">
        <v>128.13</v>
      </c>
      <c r="F1379" s="144">
        <v>0.84</v>
      </c>
      <c r="G1379" s="144">
        <v>1.2273000000000001</v>
      </c>
      <c r="I1379" s="144">
        <v>1</v>
      </c>
      <c r="J1379" s="145">
        <f t="shared" si="158"/>
        <v>41391</v>
      </c>
      <c r="K1379" s="144">
        <f t="shared" ca="1" si="161"/>
        <v>0.94414954996538192</v>
      </c>
      <c r="L1379" s="144">
        <f t="shared" ca="1" si="161"/>
        <v>0.64620355411954755</v>
      </c>
      <c r="M1379" s="144">
        <f t="shared" ca="1" si="161"/>
        <v>98.569120701592425</v>
      </c>
      <c r="N1379" s="144">
        <f t="shared" ca="1" si="161"/>
        <v>5.8631433187168245</v>
      </c>
      <c r="O1379" s="144">
        <f t="shared" ca="1" si="161"/>
        <v>31.318178321409341</v>
      </c>
      <c r="P1379" s="144">
        <f t="shared" ca="1" si="161"/>
        <v>1</v>
      </c>
      <c r="Q1379" s="144">
        <f t="shared" ca="1" si="161"/>
        <v>0.76928994538041384</v>
      </c>
    </row>
    <row r="1380" spans="1:17" x14ac:dyDescent="0.25">
      <c r="A1380" s="145">
        <v>41390</v>
      </c>
      <c r="B1380" s="144">
        <v>1.2999000000000001</v>
      </c>
      <c r="C1380" s="144">
        <v>40.710500000000003</v>
      </c>
      <c r="D1380" s="144">
        <v>7.6215000000000002</v>
      </c>
      <c r="E1380" s="144">
        <v>128.13</v>
      </c>
      <c r="F1380" s="144">
        <v>0.84</v>
      </c>
      <c r="G1380" s="144">
        <v>1.2273000000000001</v>
      </c>
      <c r="I1380" s="144">
        <v>1</v>
      </c>
      <c r="J1380" s="145">
        <f t="shared" si="158"/>
        <v>41390</v>
      </c>
      <c r="K1380" s="144">
        <f t="shared" ca="1" si="161"/>
        <v>0.94414954996538192</v>
      </c>
      <c r="L1380" s="144">
        <f t="shared" ca="1" si="161"/>
        <v>0.64620355411954755</v>
      </c>
      <c r="M1380" s="144">
        <f t="shared" ca="1" si="161"/>
        <v>98.569120701592425</v>
      </c>
      <c r="N1380" s="144">
        <f t="shared" ca="1" si="161"/>
        <v>5.8631433187168245</v>
      </c>
      <c r="O1380" s="144">
        <f t="shared" ca="1" si="161"/>
        <v>31.318178321409341</v>
      </c>
      <c r="P1380" s="144">
        <f t="shared" ca="1" si="161"/>
        <v>1</v>
      </c>
      <c r="Q1380" s="144">
        <f t="shared" ca="1" si="161"/>
        <v>0.76928994538041384</v>
      </c>
    </row>
    <row r="1381" spans="1:17" x14ac:dyDescent="0.25">
      <c r="A1381" s="145">
        <v>41389</v>
      </c>
      <c r="B1381" s="144">
        <v>1.3080000000000001</v>
      </c>
      <c r="C1381" s="144">
        <v>40.782899999999998</v>
      </c>
      <c r="D1381" s="144">
        <v>7.6535000000000002</v>
      </c>
      <c r="E1381" s="144">
        <v>129.66999999999999</v>
      </c>
      <c r="F1381" s="144">
        <v>0.8458</v>
      </c>
      <c r="G1381" s="144">
        <v>1.2334000000000001</v>
      </c>
      <c r="I1381" s="144">
        <v>1</v>
      </c>
      <c r="J1381" s="145">
        <f t="shared" si="158"/>
        <v>41389</v>
      </c>
      <c r="K1381" s="144">
        <f t="shared" ca="1" si="161"/>
        <v>0.94296636085626917</v>
      </c>
      <c r="L1381" s="144">
        <f t="shared" ca="1" si="161"/>
        <v>0.64663608562691133</v>
      </c>
      <c r="M1381" s="144">
        <f t="shared" ca="1" si="161"/>
        <v>99.136085626911296</v>
      </c>
      <c r="N1381" s="144">
        <f t="shared" ca="1" si="161"/>
        <v>5.8512996941896027</v>
      </c>
      <c r="O1381" s="144">
        <f t="shared" ca="1" si="161"/>
        <v>31.179587155963301</v>
      </c>
      <c r="P1381" s="144">
        <f t="shared" ca="1" si="161"/>
        <v>1</v>
      </c>
      <c r="Q1381" s="144">
        <f t="shared" ca="1" si="161"/>
        <v>0.76452599388379205</v>
      </c>
    </row>
    <row r="1382" spans="1:17" x14ac:dyDescent="0.25">
      <c r="A1382" s="145">
        <v>41388</v>
      </c>
      <c r="B1382" s="144">
        <v>1.3006</v>
      </c>
      <c r="C1382" s="144">
        <v>40.958300000000001</v>
      </c>
      <c r="D1382" s="144">
        <v>7.6779999999999999</v>
      </c>
      <c r="E1382" s="144">
        <v>129.46</v>
      </c>
      <c r="F1382" s="144">
        <v>0.85250000000000004</v>
      </c>
      <c r="G1382" s="144">
        <v>1.2302</v>
      </c>
      <c r="I1382" s="144">
        <v>1</v>
      </c>
      <c r="J1382" s="145">
        <f t="shared" si="158"/>
        <v>41388</v>
      </c>
      <c r="K1382" s="144">
        <f t="shared" ca="1" si="161"/>
        <v>0.94587113639858522</v>
      </c>
      <c r="L1382" s="144">
        <f t="shared" ca="1" si="161"/>
        <v>0.65546670767338155</v>
      </c>
      <c r="M1382" s="144">
        <f t="shared" ca="1" si="161"/>
        <v>99.538674457942491</v>
      </c>
      <c r="N1382" s="144">
        <f t="shared" ca="1" si="161"/>
        <v>5.9034291865292943</v>
      </c>
      <c r="O1382" s="144">
        <f t="shared" ca="1" si="161"/>
        <v>31.491849915423654</v>
      </c>
      <c r="P1382" s="144">
        <f t="shared" ca="1" si="161"/>
        <v>1</v>
      </c>
      <c r="Q1382" s="144">
        <f t="shared" ca="1" si="161"/>
        <v>0.76887590342918655</v>
      </c>
    </row>
    <row r="1383" spans="1:17" x14ac:dyDescent="0.25">
      <c r="A1383" s="145">
        <v>41387</v>
      </c>
      <c r="B1383" s="144">
        <v>1.2989999999999999</v>
      </c>
      <c r="C1383" s="144">
        <v>41.226999999999997</v>
      </c>
      <c r="D1383" s="144">
        <v>7.6775000000000002</v>
      </c>
      <c r="E1383" s="144">
        <v>128.56</v>
      </c>
      <c r="F1383" s="144">
        <v>0.85165000000000002</v>
      </c>
      <c r="G1383" s="144">
        <v>1.2219</v>
      </c>
      <c r="I1383" s="144">
        <v>1</v>
      </c>
      <c r="J1383" s="145">
        <f t="shared" si="158"/>
        <v>41387</v>
      </c>
      <c r="K1383" s="144">
        <f t="shared" ca="1" si="161"/>
        <v>0.94064665127020786</v>
      </c>
      <c r="L1383" s="144">
        <f t="shared" ca="1" si="161"/>
        <v>0.6556197074672826</v>
      </c>
      <c r="M1383" s="144">
        <f t="shared" ca="1" si="161"/>
        <v>98.968437259430331</v>
      </c>
      <c r="N1383" s="144">
        <f t="shared" ca="1" si="161"/>
        <v>5.9103156274056969</v>
      </c>
      <c r="O1383" s="144">
        <f t="shared" ca="1" si="161"/>
        <v>31.737490377213241</v>
      </c>
      <c r="P1383" s="144">
        <f t="shared" ca="1" si="161"/>
        <v>1</v>
      </c>
      <c r="Q1383" s="144">
        <f t="shared" ca="1" si="161"/>
        <v>0.76982294072363355</v>
      </c>
    </row>
    <row r="1384" spans="1:17" x14ac:dyDescent="0.25">
      <c r="A1384" s="145">
        <v>41386</v>
      </c>
      <c r="B1384" s="144">
        <v>1.3037000000000001</v>
      </c>
      <c r="C1384" s="144">
        <v>41.213799999999999</v>
      </c>
      <c r="D1384" s="144">
        <v>7.609</v>
      </c>
      <c r="E1384" s="144">
        <v>130</v>
      </c>
      <c r="F1384" s="144">
        <v>0.85629999999999995</v>
      </c>
      <c r="G1384" s="144">
        <v>1.2188000000000001</v>
      </c>
      <c r="I1384" s="144">
        <v>1</v>
      </c>
      <c r="J1384" s="145">
        <f t="shared" si="158"/>
        <v>41386</v>
      </c>
      <c r="K1384" s="144">
        <f t="shared" ca="1" si="161"/>
        <v>0.93487765590243155</v>
      </c>
      <c r="L1384" s="144">
        <f t="shared" ca="1" si="161"/>
        <v>0.65682288870138827</v>
      </c>
      <c r="M1384" s="144">
        <f t="shared" ca="1" si="161"/>
        <v>99.716192375546512</v>
      </c>
      <c r="N1384" s="144">
        <f t="shared" ca="1" si="161"/>
        <v>5.8364654445041033</v>
      </c>
      <c r="O1384" s="144">
        <f t="shared" ca="1" si="161"/>
        <v>31.612947764056145</v>
      </c>
      <c r="P1384" s="144">
        <f t="shared" ca="1" si="161"/>
        <v>1</v>
      </c>
      <c r="Q1384" s="144">
        <f t="shared" ca="1" si="161"/>
        <v>0.76704763365805007</v>
      </c>
    </row>
    <row r="1385" spans="1:17" x14ac:dyDescent="0.25">
      <c r="A1385" s="145">
        <v>41385</v>
      </c>
      <c r="B1385" s="144">
        <v>1.3115000000000001</v>
      </c>
      <c r="C1385" s="144">
        <v>41.300199999999997</v>
      </c>
      <c r="D1385" s="144">
        <v>7.5964999999999998</v>
      </c>
      <c r="E1385" s="144">
        <v>130.21</v>
      </c>
      <c r="F1385" s="144">
        <v>0.85440000000000005</v>
      </c>
      <c r="G1385" s="144">
        <v>1.2176</v>
      </c>
      <c r="I1385" s="144">
        <v>1</v>
      </c>
      <c r="J1385" s="145">
        <f t="shared" si="158"/>
        <v>41385</v>
      </c>
      <c r="K1385" s="144">
        <f t="shared" ref="K1385:Q1394" ca="1" si="162">OFFSET($A1385,0,K$3)/OFFSET($A1385,0,$P$3)</f>
        <v>0.92840259245139145</v>
      </c>
      <c r="L1385" s="144">
        <f t="shared" ca="1" si="162"/>
        <v>0.65146778497903157</v>
      </c>
      <c r="M1385" s="144">
        <f t="shared" ca="1" si="162"/>
        <v>99.283263438810522</v>
      </c>
      <c r="N1385" s="144">
        <f t="shared" ca="1" si="162"/>
        <v>5.7922226458253903</v>
      </c>
      <c r="O1385" s="144">
        <f t="shared" ca="1" si="162"/>
        <v>31.490812047274108</v>
      </c>
      <c r="P1385" s="144">
        <f t="shared" ca="1" si="162"/>
        <v>1</v>
      </c>
      <c r="Q1385" s="144">
        <f t="shared" ca="1" si="162"/>
        <v>0.76248570339306132</v>
      </c>
    </row>
    <row r="1386" spans="1:17" x14ac:dyDescent="0.25">
      <c r="A1386" s="145">
        <v>41384</v>
      </c>
      <c r="B1386" s="144">
        <v>1.3115000000000001</v>
      </c>
      <c r="C1386" s="144">
        <v>41.300199999999997</v>
      </c>
      <c r="D1386" s="144">
        <v>7.5964999999999998</v>
      </c>
      <c r="E1386" s="144">
        <v>130.21</v>
      </c>
      <c r="F1386" s="144">
        <v>0.85440000000000005</v>
      </c>
      <c r="G1386" s="144">
        <v>1.2176</v>
      </c>
      <c r="I1386" s="144">
        <v>1</v>
      </c>
      <c r="J1386" s="145">
        <f t="shared" si="158"/>
        <v>41384</v>
      </c>
      <c r="K1386" s="144">
        <f t="shared" ca="1" si="162"/>
        <v>0.92840259245139145</v>
      </c>
      <c r="L1386" s="144">
        <f t="shared" ca="1" si="162"/>
        <v>0.65146778497903157</v>
      </c>
      <c r="M1386" s="144">
        <f t="shared" ca="1" si="162"/>
        <v>99.283263438810522</v>
      </c>
      <c r="N1386" s="144">
        <f t="shared" ca="1" si="162"/>
        <v>5.7922226458253903</v>
      </c>
      <c r="O1386" s="144">
        <f t="shared" ca="1" si="162"/>
        <v>31.490812047274108</v>
      </c>
      <c r="P1386" s="144">
        <f t="shared" ca="1" si="162"/>
        <v>1</v>
      </c>
      <c r="Q1386" s="144">
        <f t="shared" ca="1" si="162"/>
        <v>0.76248570339306132</v>
      </c>
    </row>
    <row r="1387" spans="1:17" x14ac:dyDescent="0.25">
      <c r="A1387" s="145">
        <v>41383</v>
      </c>
      <c r="B1387" s="144">
        <v>1.3115000000000001</v>
      </c>
      <c r="C1387" s="144">
        <v>41.300199999999997</v>
      </c>
      <c r="D1387" s="144">
        <v>7.5964999999999998</v>
      </c>
      <c r="E1387" s="144">
        <v>130.21</v>
      </c>
      <c r="F1387" s="144">
        <v>0.85440000000000005</v>
      </c>
      <c r="G1387" s="144">
        <v>1.2176</v>
      </c>
      <c r="I1387" s="144">
        <v>1</v>
      </c>
      <c r="J1387" s="145">
        <f t="shared" si="158"/>
        <v>41383</v>
      </c>
      <c r="K1387" s="144">
        <f t="shared" ca="1" si="162"/>
        <v>0.92840259245139145</v>
      </c>
      <c r="L1387" s="144">
        <f t="shared" ca="1" si="162"/>
        <v>0.65146778497903157</v>
      </c>
      <c r="M1387" s="144">
        <f t="shared" ca="1" si="162"/>
        <v>99.283263438810522</v>
      </c>
      <c r="N1387" s="144">
        <f t="shared" ca="1" si="162"/>
        <v>5.7922226458253903</v>
      </c>
      <c r="O1387" s="144">
        <f t="shared" ca="1" si="162"/>
        <v>31.490812047274108</v>
      </c>
      <c r="P1387" s="144">
        <f t="shared" ca="1" si="162"/>
        <v>1</v>
      </c>
      <c r="Q1387" s="144">
        <f t="shared" ca="1" si="162"/>
        <v>0.76248570339306132</v>
      </c>
    </row>
    <row r="1388" spans="1:17" x14ac:dyDescent="0.25">
      <c r="A1388" s="145">
        <v>41382</v>
      </c>
      <c r="B1388" s="144">
        <v>1.3045</v>
      </c>
      <c r="C1388" s="144">
        <v>41.21</v>
      </c>
      <c r="D1388" s="144">
        <v>7.5869999999999997</v>
      </c>
      <c r="E1388" s="144">
        <v>128.4</v>
      </c>
      <c r="F1388" s="144">
        <v>0.8548</v>
      </c>
      <c r="G1388" s="144">
        <v>1.2163999999999999</v>
      </c>
      <c r="I1388" s="144">
        <v>1</v>
      </c>
      <c r="J1388" s="145">
        <f t="shared" si="158"/>
        <v>41382</v>
      </c>
      <c r="K1388" s="144">
        <f t="shared" ca="1" si="162"/>
        <v>0.93246454580298965</v>
      </c>
      <c r="L1388" s="144">
        <f t="shared" ca="1" si="162"/>
        <v>0.65527021847451128</v>
      </c>
      <c r="M1388" s="144">
        <f t="shared" ca="1" si="162"/>
        <v>98.428516673054816</v>
      </c>
      <c r="N1388" s="144">
        <f t="shared" ca="1" si="162"/>
        <v>5.8160214641625139</v>
      </c>
      <c r="O1388" s="144">
        <f t="shared" ca="1" si="162"/>
        <v>31.590647757761595</v>
      </c>
      <c r="P1388" s="144">
        <f t="shared" ca="1" si="162"/>
        <v>1</v>
      </c>
      <c r="Q1388" s="144">
        <f t="shared" ca="1" si="162"/>
        <v>0.76657723265619016</v>
      </c>
    </row>
    <row r="1389" spans="1:17" x14ac:dyDescent="0.25">
      <c r="A1389" s="145">
        <v>41381</v>
      </c>
      <c r="B1389" s="144">
        <v>1.3129</v>
      </c>
      <c r="C1389" s="144">
        <v>41.325000000000003</v>
      </c>
      <c r="D1389" s="144">
        <v>7.5549999999999997</v>
      </c>
      <c r="E1389" s="144">
        <v>128.61000000000001</v>
      </c>
      <c r="F1389" s="144">
        <v>0.86129999999999995</v>
      </c>
      <c r="G1389" s="144">
        <v>1.2149000000000001</v>
      </c>
      <c r="I1389" s="144">
        <v>1</v>
      </c>
      <c r="J1389" s="145">
        <f t="shared" si="158"/>
        <v>41381</v>
      </c>
      <c r="K1389" s="144">
        <f t="shared" ca="1" si="162"/>
        <v>0.92535608195597541</v>
      </c>
      <c r="L1389" s="144">
        <f t="shared" ca="1" si="162"/>
        <v>0.6560286388910046</v>
      </c>
      <c r="M1389" s="144">
        <f t="shared" ca="1" si="162"/>
        <v>97.958717343285869</v>
      </c>
      <c r="N1389" s="144">
        <f t="shared" ca="1" si="162"/>
        <v>5.7544367430878207</v>
      </c>
      <c r="O1389" s="144">
        <f t="shared" ca="1" si="162"/>
        <v>31.476121562952248</v>
      </c>
      <c r="P1389" s="144">
        <f t="shared" ca="1" si="162"/>
        <v>1</v>
      </c>
      <c r="Q1389" s="144">
        <f t="shared" ca="1" si="162"/>
        <v>0.76167263310229261</v>
      </c>
    </row>
    <row r="1390" spans="1:17" x14ac:dyDescent="0.25">
      <c r="A1390" s="145">
        <v>41380</v>
      </c>
      <c r="B1390" s="144">
        <v>1.3129</v>
      </c>
      <c r="C1390" s="144">
        <v>41.125300000000003</v>
      </c>
      <c r="D1390" s="144">
        <v>7.5220000000000002</v>
      </c>
      <c r="E1390" s="144">
        <v>128.37</v>
      </c>
      <c r="F1390" s="144">
        <v>0.8569</v>
      </c>
      <c r="G1390" s="144">
        <v>1.2162999999999999</v>
      </c>
      <c r="I1390" s="144">
        <v>1</v>
      </c>
      <c r="J1390" s="145">
        <f t="shared" si="158"/>
        <v>41380</v>
      </c>
      <c r="K1390" s="144">
        <f t="shared" ca="1" si="162"/>
        <v>0.92642242364231853</v>
      </c>
      <c r="L1390" s="144">
        <f t="shared" ca="1" si="162"/>
        <v>0.65267727930535457</v>
      </c>
      <c r="M1390" s="144">
        <f t="shared" ca="1" si="162"/>
        <v>97.775915911341315</v>
      </c>
      <c r="N1390" s="144">
        <f t="shared" ca="1" si="162"/>
        <v>5.7293015461954457</v>
      </c>
      <c r="O1390" s="144">
        <f t="shared" ca="1" si="162"/>
        <v>31.324015538121717</v>
      </c>
      <c r="P1390" s="144">
        <f t="shared" ca="1" si="162"/>
        <v>1</v>
      </c>
      <c r="Q1390" s="144">
        <f t="shared" ca="1" si="162"/>
        <v>0.76167263310229261</v>
      </c>
    </row>
    <row r="1391" spans="1:17" x14ac:dyDescent="0.25">
      <c r="A1391" s="145">
        <v>41379</v>
      </c>
      <c r="B1391" s="144">
        <v>1.3081</v>
      </c>
      <c r="C1391" s="144">
        <v>41.048200000000001</v>
      </c>
      <c r="D1391" s="144">
        <v>7.5004999999999997</v>
      </c>
      <c r="E1391" s="144">
        <v>127.83</v>
      </c>
      <c r="F1391" s="144">
        <v>0.85289999999999999</v>
      </c>
      <c r="G1391" s="144">
        <v>1.2146999999999999</v>
      </c>
      <c r="I1391" s="144">
        <v>1</v>
      </c>
      <c r="J1391" s="145">
        <f t="shared" si="158"/>
        <v>41379</v>
      </c>
      <c r="K1391" s="144">
        <f t="shared" ca="1" si="162"/>
        <v>0.92859873098386958</v>
      </c>
      <c r="L1391" s="144">
        <f t="shared" ca="1" si="162"/>
        <v>0.65201437198990897</v>
      </c>
      <c r="M1391" s="144">
        <f t="shared" ca="1" si="162"/>
        <v>97.721886705909327</v>
      </c>
      <c r="N1391" s="144">
        <f t="shared" ca="1" si="162"/>
        <v>5.733888846418469</v>
      </c>
      <c r="O1391" s="144">
        <f t="shared" ca="1" si="162"/>
        <v>31.380016818286062</v>
      </c>
      <c r="P1391" s="144">
        <f t="shared" ca="1" si="162"/>
        <v>1</v>
      </c>
      <c r="Q1391" s="144">
        <f t="shared" ca="1" si="162"/>
        <v>0.76446754835257236</v>
      </c>
    </row>
    <row r="1392" spans="1:17" x14ac:dyDescent="0.25">
      <c r="A1392" s="145">
        <v>41378</v>
      </c>
      <c r="B1392" s="144">
        <v>1.3051999999999999</v>
      </c>
      <c r="C1392" s="144">
        <v>40.494999999999997</v>
      </c>
      <c r="D1392" s="144">
        <v>7.4820000000000002</v>
      </c>
      <c r="E1392" s="144">
        <v>129.54</v>
      </c>
      <c r="F1392" s="144">
        <v>0.84970000000000001</v>
      </c>
      <c r="G1392" s="144">
        <v>1.2166999999999999</v>
      </c>
      <c r="I1392" s="144">
        <v>1</v>
      </c>
      <c r="J1392" s="145">
        <f t="shared" si="158"/>
        <v>41378</v>
      </c>
      <c r="K1392" s="144">
        <f t="shared" ca="1" si="162"/>
        <v>0.93219429972418022</v>
      </c>
      <c r="L1392" s="144">
        <f t="shared" ca="1" si="162"/>
        <v>0.65101133925835131</v>
      </c>
      <c r="M1392" s="144">
        <f t="shared" ca="1" si="162"/>
        <v>99.249157217284704</v>
      </c>
      <c r="N1392" s="144">
        <f t="shared" ca="1" si="162"/>
        <v>5.7324547961998169</v>
      </c>
      <c r="O1392" s="144">
        <f t="shared" ca="1" si="162"/>
        <v>31.025896414342629</v>
      </c>
      <c r="P1392" s="144">
        <f t="shared" ca="1" si="162"/>
        <v>1</v>
      </c>
      <c r="Q1392" s="144">
        <f t="shared" ca="1" si="162"/>
        <v>0.76616610481152314</v>
      </c>
    </row>
    <row r="1393" spans="1:17" x14ac:dyDescent="0.25">
      <c r="A1393" s="145">
        <v>41377</v>
      </c>
      <c r="B1393" s="144">
        <v>1.3051999999999999</v>
      </c>
      <c r="C1393" s="144">
        <v>40.494999999999997</v>
      </c>
      <c r="D1393" s="144">
        <v>7.4820000000000002</v>
      </c>
      <c r="E1393" s="144">
        <v>129.54</v>
      </c>
      <c r="F1393" s="144">
        <v>0.84970000000000001</v>
      </c>
      <c r="G1393" s="144">
        <v>1.2166999999999999</v>
      </c>
      <c r="I1393" s="144">
        <v>1</v>
      </c>
      <c r="J1393" s="145">
        <f t="shared" si="158"/>
        <v>41377</v>
      </c>
      <c r="K1393" s="144">
        <f t="shared" ca="1" si="162"/>
        <v>0.93219429972418022</v>
      </c>
      <c r="L1393" s="144">
        <f t="shared" ca="1" si="162"/>
        <v>0.65101133925835131</v>
      </c>
      <c r="M1393" s="144">
        <f t="shared" ca="1" si="162"/>
        <v>99.249157217284704</v>
      </c>
      <c r="N1393" s="144">
        <f t="shared" ca="1" si="162"/>
        <v>5.7324547961998169</v>
      </c>
      <c r="O1393" s="144">
        <f t="shared" ca="1" si="162"/>
        <v>31.025896414342629</v>
      </c>
      <c r="P1393" s="144">
        <f t="shared" ca="1" si="162"/>
        <v>1</v>
      </c>
      <c r="Q1393" s="144">
        <f t="shared" ca="1" si="162"/>
        <v>0.76616610481152314</v>
      </c>
    </row>
    <row r="1394" spans="1:17" x14ac:dyDescent="0.25">
      <c r="A1394" s="145">
        <v>41376</v>
      </c>
      <c r="B1394" s="144">
        <v>1.3051999999999999</v>
      </c>
      <c r="C1394" s="144">
        <v>40.494999999999997</v>
      </c>
      <c r="D1394" s="144">
        <v>7.4820000000000002</v>
      </c>
      <c r="E1394" s="144">
        <v>129.54</v>
      </c>
      <c r="F1394" s="144">
        <v>0.84970000000000001</v>
      </c>
      <c r="G1394" s="144">
        <v>1.2166999999999999</v>
      </c>
      <c r="I1394" s="144">
        <v>1</v>
      </c>
      <c r="J1394" s="145">
        <f t="shared" si="158"/>
        <v>41376</v>
      </c>
      <c r="K1394" s="144">
        <f t="shared" ca="1" si="162"/>
        <v>0.93219429972418022</v>
      </c>
      <c r="L1394" s="144">
        <f t="shared" ca="1" si="162"/>
        <v>0.65101133925835131</v>
      </c>
      <c r="M1394" s="144">
        <f t="shared" ca="1" si="162"/>
        <v>99.249157217284704</v>
      </c>
      <c r="N1394" s="144">
        <f t="shared" ca="1" si="162"/>
        <v>5.7324547961998169</v>
      </c>
      <c r="O1394" s="144">
        <f t="shared" ca="1" si="162"/>
        <v>31.025896414342629</v>
      </c>
      <c r="P1394" s="144">
        <f t="shared" ca="1" si="162"/>
        <v>1</v>
      </c>
      <c r="Q1394" s="144">
        <f t="shared" ca="1" si="162"/>
        <v>0.76616610481152314</v>
      </c>
    </row>
    <row r="1395" spans="1:17" x14ac:dyDescent="0.25">
      <c r="A1395" s="145">
        <v>41375</v>
      </c>
      <c r="B1395" s="144">
        <v>1.3119000000000001</v>
      </c>
      <c r="C1395" s="144">
        <v>40.426000000000002</v>
      </c>
      <c r="D1395" s="144">
        <v>7.4770000000000003</v>
      </c>
      <c r="E1395" s="144">
        <v>130.38999999999999</v>
      </c>
      <c r="F1395" s="144">
        <v>0.85199999999999998</v>
      </c>
      <c r="G1395" s="144">
        <v>1.2186999999999999</v>
      </c>
      <c r="I1395" s="144">
        <v>1</v>
      </c>
      <c r="J1395" s="145">
        <f t="shared" si="158"/>
        <v>41375</v>
      </c>
      <c r="K1395" s="144">
        <f t="shared" ref="K1395:Q1404" ca="1" si="163">OFFSET($A1395,0,K$3)/OFFSET($A1395,0,$P$3)</f>
        <v>0.92895799984754923</v>
      </c>
      <c r="L1395" s="144">
        <f t="shared" ca="1" si="163"/>
        <v>0.64943974388291781</v>
      </c>
      <c r="M1395" s="144">
        <f t="shared" ca="1" si="163"/>
        <v>99.390197423584098</v>
      </c>
      <c r="N1395" s="144">
        <f t="shared" ca="1" si="163"/>
        <v>5.699367329826968</v>
      </c>
      <c r="O1395" s="144">
        <f t="shared" ca="1" si="163"/>
        <v>30.814848692735726</v>
      </c>
      <c r="P1395" s="144">
        <f t="shared" ca="1" si="163"/>
        <v>1</v>
      </c>
      <c r="Q1395" s="144">
        <f t="shared" ca="1" si="163"/>
        <v>0.76225322051985667</v>
      </c>
    </row>
    <row r="1396" spans="1:17" x14ac:dyDescent="0.25">
      <c r="A1396" s="145">
        <v>41374</v>
      </c>
      <c r="B1396" s="144">
        <v>1.3086</v>
      </c>
      <c r="C1396" s="144">
        <v>40.405000000000001</v>
      </c>
      <c r="D1396" s="144">
        <v>7.5060000000000002</v>
      </c>
      <c r="E1396" s="144">
        <v>129.69</v>
      </c>
      <c r="F1396" s="144">
        <v>0.8548</v>
      </c>
      <c r="G1396" s="144">
        <v>1.2182999999999999</v>
      </c>
      <c r="I1396" s="144">
        <v>1</v>
      </c>
      <c r="J1396" s="145">
        <f t="shared" si="158"/>
        <v>41374</v>
      </c>
      <c r="K1396" s="144">
        <f t="shared" ca="1" si="163"/>
        <v>0.93099495644199903</v>
      </c>
      <c r="L1396" s="144">
        <f t="shared" ca="1" si="163"/>
        <v>0.65321717866422135</v>
      </c>
      <c r="M1396" s="144">
        <f t="shared" ca="1" si="163"/>
        <v>99.10591471801925</v>
      </c>
      <c r="N1396" s="144">
        <f t="shared" ca="1" si="163"/>
        <v>5.7359009628610735</v>
      </c>
      <c r="O1396" s="144">
        <f t="shared" ca="1" si="163"/>
        <v>30.876509246523003</v>
      </c>
      <c r="P1396" s="144">
        <f t="shared" ca="1" si="163"/>
        <v>1</v>
      </c>
      <c r="Q1396" s="144">
        <f t="shared" ca="1" si="163"/>
        <v>0.76417545468439552</v>
      </c>
    </row>
    <row r="1397" spans="1:17" x14ac:dyDescent="0.25">
      <c r="A1397" s="145">
        <v>41373</v>
      </c>
      <c r="B1397" s="144">
        <v>1.304</v>
      </c>
      <c r="C1397" s="144">
        <v>40.600999999999999</v>
      </c>
      <c r="D1397" s="144">
        <v>7.4859999999999998</v>
      </c>
      <c r="E1397" s="144">
        <v>128.91999999999999</v>
      </c>
      <c r="F1397" s="144">
        <v>0.85175000000000001</v>
      </c>
      <c r="G1397" s="144">
        <v>1.22</v>
      </c>
      <c r="I1397" s="144">
        <v>1</v>
      </c>
      <c r="J1397" s="145">
        <f t="shared" si="158"/>
        <v>41373</v>
      </c>
      <c r="K1397" s="144">
        <f t="shared" ca="1" si="163"/>
        <v>0.9355828220858895</v>
      </c>
      <c r="L1397" s="144">
        <f t="shared" ca="1" si="163"/>
        <v>0.65318251533742333</v>
      </c>
      <c r="M1397" s="144">
        <f t="shared" ca="1" si="163"/>
        <v>98.865030674846608</v>
      </c>
      <c r="N1397" s="144">
        <f t="shared" ca="1" si="163"/>
        <v>5.7407975460122698</v>
      </c>
      <c r="O1397" s="144">
        <f t="shared" ca="1" si="163"/>
        <v>31.135736196319016</v>
      </c>
      <c r="P1397" s="144">
        <f t="shared" ca="1" si="163"/>
        <v>1</v>
      </c>
      <c r="Q1397" s="144">
        <f t="shared" ca="1" si="163"/>
        <v>0.76687116564417179</v>
      </c>
    </row>
    <row r="1398" spans="1:17" x14ac:dyDescent="0.25">
      <c r="A1398" s="145">
        <v>41372</v>
      </c>
      <c r="B1398" s="144">
        <v>1.3023</v>
      </c>
      <c r="C1398" s="144">
        <v>40.744999999999997</v>
      </c>
      <c r="D1398" s="144">
        <v>7.4539999999999997</v>
      </c>
      <c r="E1398" s="144">
        <v>128.46</v>
      </c>
      <c r="F1398" s="144">
        <v>0.85094999999999998</v>
      </c>
      <c r="G1398" s="144">
        <v>1.2168000000000001</v>
      </c>
      <c r="I1398" s="144">
        <v>1</v>
      </c>
      <c r="J1398" s="145">
        <f t="shared" si="158"/>
        <v>41372</v>
      </c>
      <c r="K1398" s="144">
        <f t="shared" ca="1" si="163"/>
        <v>0.93434692467173475</v>
      </c>
      <c r="L1398" s="144">
        <f t="shared" ca="1" si="163"/>
        <v>0.65342087076710431</v>
      </c>
      <c r="M1398" s="144">
        <f t="shared" ca="1" si="163"/>
        <v>98.640866159870995</v>
      </c>
      <c r="N1398" s="144">
        <f t="shared" ca="1" si="163"/>
        <v>5.7237195730630424</v>
      </c>
      <c r="O1398" s="144">
        <f t="shared" ca="1" si="163"/>
        <v>31.286953850879211</v>
      </c>
      <c r="P1398" s="144">
        <f t="shared" ca="1" si="163"/>
        <v>1</v>
      </c>
      <c r="Q1398" s="144">
        <f t="shared" ca="1" si="163"/>
        <v>0.76787222606158334</v>
      </c>
    </row>
    <row r="1399" spans="1:17" x14ac:dyDescent="0.25">
      <c r="A1399" s="145">
        <v>41371</v>
      </c>
      <c r="B1399" s="144">
        <v>1.2944</v>
      </c>
      <c r="C1399" s="144">
        <v>40.857999999999997</v>
      </c>
      <c r="D1399" s="144">
        <v>7.4474999999999998</v>
      </c>
      <c r="E1399" s="144">
        <v>124.49</v>
      </c>
      <c r="F1399" s="144">
        <v>0.84909999999999997</v>
      </c>
      <c r="G1399" s="144">
        <v>1.2158</v>
      </c>
      <c r="I1399" s="144">
        <v>1</v>
      </c>
      <c r="J1399" s="145">
        <f t="shared" si="158"/>
        <v>41371</v>
      </c>
      <c r="K1399" s="144">
        <f t="shared" ca="1" si="163"/>
        <v>0.93927688504326323</v>
      </c>
      <c r="L1399" s="144">
        <f t="shared" ca="1" si="163"/>
        <v>0.65597960444993819</v>
      </c>
      <c r="M1399" s="144">
        <f t="shared" ca="1" si="163"/>
        <v>96.17583436341161</v>
      </c>
      <c r="N1399" s="144">
        <f t="shared" ca="1" si="163"/>
        <v>5.753631025957973</v>
      </c>
      <c r="O1399" s="144">
        <f t="shared" ca="1" si="163"/>
        <v>31.565203955500614</v>
      </c>
      <c r="P1399" s="144">
        <f t="shared" ca="1" si="163"/>
        <v>1</v>
      </c>
      <c r="Q1399" s="144">
        <f t="shared" ca="1" si="163"/>
        <v>0.77255871446229918</v>
      </c>
    </row>
    <row r="1400" spans="1:17" x14ac:dyDescent="0.25">
      <c r="A1400" s="145">
        <v>41370</v>
      </c>
      <c r="B1400" s="144">
        <v>1.2944</v>
      </c>
      <c r="C1400" s="144">
        <v>40.857999999999997</v>
      </c>
      <c r="D1400" s="144">
        <v>7.4474999999999998</v>
      </c>
      <c r="E1400" s="144">
        <v>124.49</v>
      </c>
      <c r="F1400" s="144">
        <v>0.84909999999999997</v>
      </c>
      <c r="G1400" s="144">
        <v>1.2158</v>
      </c>
      <c r="I1400" s="144">
        <v>1</v>
      </c>
      <c r="J1400" s="145">
        <f t="shared" si="158"/>
        <v>41370</v>
      </c>
      <c r="K1400" s="144">
        <f t="shared" ca="1" si="163"/>
        <v>0.93927688504326323</v>
      </c>
      <c r="L1400" s="144">
        <f t="shared" ca="1" si="163"/>
        <v>0.65597960444993819</v>
      </c>
      <c r="M1400" s="144">
        <f t="shared" ca="1" si="163"/>
        <v>96.17583436341161</v>
      </c>
      <c r="N1400" s="144">
        <f t="shared" ca="1" si="163"/>
        <v>5.753631025957973</v>
      </c>
      <c r="O1400" s="144">
        <f t="shared" ca="1" si="163"/>
        <v>31.565203955500614</v>
      </c>
      <c r="P1400" s="144">
        <f t="shared" ca="1" si="163"/>
        <v>1</v>
      </c>
      <c r="Q1400" s="144">
        <f t="shared" ca="1" si="163"/>
        <v>0.77255871446229918</v>
      </c>
    </row>
    <row r="1401" spans="1:17" x14ac:dyDescent="0.25">
      <c r="A1401" s="145">
        <v>41369</v>
      </c>
      <c r="B1401" s="144">
        <v>1.2944</v>
      </c>
      <c r="C1401" s="144">
        <v>40.857999999999997</v>
      </c>
      <c r="D1401" s="144">
        <v>7.4474999999999998</v>
      </c>
      <c r="E1401" s="144">
        <v>124.49</v>
      </c>
      <c r="F1401" s="144">
        <v>0.84909999999999997</v>
      </c>
      <c r="G1401" s="144">
        <v>1.2158</v>
      </c>
      <c r="I1401" s="144">
        <v>1</v>
      </c>
      <c r="J1401" s="145">
        <f t="shared" si="158"/>
        <v>41369</v>
      </c>
      <c r="K1401" s="144">
        <f t="shared" ca="1" si="163"/>
        <v>0.93927688504326323</v>
      </c>
      <c r="L1401" s="144">
        <f t="shared" ca="1" si="163"/>
        <v>0.65597960444993819</v>
      </c>
      <c r="M1401" s="144">
        <f t="shared" ca="1" si="163"/>
        <v>96.17583436341161</v>
      </c>
      <c r="N1401" s="144">
        <f t="shared" ca="1" si="163"/>
        <v>5.753631025957973</v>
      </c>
      <c r="O1401" s="144">
        <f t="shared" ca="1" si="163"/>
        <v>31.565203955500614</v>
      </c>
      <c r="P1401" s="144">
        <f t="shared" ca="1" si="163"/>
        <v>1</v>
      </c>
      <c r="Q1401" s="144">
        <f t="shared" ca="1" si="163"/>
        <v>0.77255871446229918</v>
      </c>
    </row>
    <row r="1402" spans="1:17" x14ac:dyDescent="0.25">
      <c r="A1402" s="145">
        <v>41368</v>
      </c>
      <c r="B1402" s="144">
        <v>1.2818000000000001</v>
      </c>
      <c r="C1402" s="144">
        <v>40.5533</v>
      </c>
      <c r="D1402" s="144">
        <v>7.4489999999999998</v>
      </c>
      <c r="E1402" s="144">
        <v>122.31</v>
      </c>
      <c r="F1402" s="144">
        <v>0.84745000000000004</v>
      </c>
      <c r="G1402" s="144">
        <v>1.2155</v>
      </c>
      <c r="I1402" s="144">
        <v>1</v>
      </c>
      <c r="J1402" s="145">
        <f t="shared" si="158"/>
        <v>41368</v>
      </c>
      <c r="K1402" s="144">
        <f t="shared" ca="1" si="163"/>
        <v>0.94827586206896552</v>
      </c>
      <c r="L1402" s="144">
        <f t="shared" ca="1" si="163"/>
        <v>0.66114058355437666</v>
      </c>
      <c r="M1402" s="144">
        <f t="shared" ca="1" si="163"/>
        <v>95.420502418474015</v>
      </c>
      <c r="N1402" s="144">
        <f t="shared" ca="1" si="163"/>
        <v>5.8113590263691677</v>
      </c>
      <c r="O1402" s="144">
        <f t="shared" ca="1" si="163"/>
        <v>31.637775003900764</v>
      </c>
      <c r="P1402" s="144">
        <f t="shared" ca="1" si="163"/>
        <v>1</v>
      </c>
      <c r="Q1402" s="144">
        <f t="shared" ca="1" si="163"/>
        <v>0.78015290997035414</v>
      </c>
    </row>
    <row r="1403" spans="1:17" x14ac:dyDescent="0.25">
      <c r="A1403" s="145">
        <v>41367</v>
      </c>
      <c r="B1403" s="144">
        <v>1.2827999999999999</v>
      </c>
      <c r="C1403" s="144">
        <v>40.515000000000001</v>
      </c>
      <c r="D1403" s="144">
        <v>7.4465000000000003</v>
      </c>
      <c r="E1403" s="144">
        <v>119.96</v>
      </c>
      <c r="F1403" s="144">
        <v>0.84840000000000004</v>
      </c>
      <c r="G1403" s="144">
        <v>1.2166999999999999</v>
      </c>
      <c r="I1403" s="144">
        <v>1</v>
      </c>
      <c r="J1403" s="145">
        <f t="shared" si="158"/>
        <v>41367</v>
      </c>
      <c r="K1403" s="144">
        <f t="shared" ca="1" si="163"/>
        <v>0.94847209229809792</v>
      </c>
      <c r="L1403" s="144">
        <f t="shared" ca="1" si="163"/>
        <v>0.66136576239476152</v>
      </c>
      <c r="M1403" s="144">
        <f t="shared" ca="1" si="163"/>
        <v>93.514187714374799</v>
      </c>
      <c r="N1403" s="144">
        <f t="shared" ca="1" si="163"/>
        <v>5.8048799501091368</v>
      </c>
      <c r="O1403" s="144">
        <f t="shared" ca="1" si="163"/>
        <v>31.583255378858748</v>
      </c>
      <c r="P1403" s="144">
        <f t="shared" ca="1" si="163"/>
        <v>1</v>
      </c>
      <c r="Q1403" s="144">
        <f t="shared" ca="1" si="163"/>
        <v>0.77954474586841294</v>
      </c>
    </row>
    <row r="1404" spans="1:17" x14ac:dyDescent="0.25">
      <c r="A1404" s="145">
        <v>41366</v>
      </c>
      <c r="B1404" s="144">
        <v>1.284</v>
      </c>
      <c r="C1404" s="144">
        <v>40.006100000000004</v>
      </c>
      <c r="D1404" s="144">
        <v>7.4669999999999996</v>
      </c>
      <c r="E1404" s="144">
        <v>119.79</v>
      </c>
      <c r="F1404" s="144">
        <v>0.84689999999999999</v>
      </c>
      <c r="G1404" s="144">
        <v>1.2159</v>
      </c>
      <c r="I1404" s="144">
        <v>1</v>
      </c>
      <c r="J1404" s="145">
        <f t="shared" si="158"/>
        <v>41366</v>
      </c>
      <c r="K1404" s="144">
        <f t="shared" ca="1" si="163"/>
        <v>0.94696261682242988</v>
      </c>
      <c r="L1404" s="144">
        <f t="shared" ca="1" si="163"/>
        <v>0.65957943925233642</v>
      </c>
      <c r="M1404" s="144">
        <f t="shared" ca="1" si="163"/>
        <v>93.294392523364493</v>
      </c>
      <c r="N1404" s="144">
        <f t="shared" ca="1" si="163"/>
        <v>5.815420560747663</v>
      </c>
      <c r="O1404" s="144">
        <f t="shared" ca="1" si="163"/>
        <v>31.157398753894082</v>
      </c>
      <c r="P1404" s="144">
        <f t="shared" ca="1" si="163"/>
        <v>1</v>
      </c>
      <c r="Q1404" s="144">
        <f t="shared" ca="1" si="163"/>
        <v>0.77881619937694702</v>
      </c>
    </row>
    <row r="1405" spans="1:17" x14ac:dyDescent="0.25">
      <c r="A1405" s="145">
        <v>41365</v>
      </c>
      <c r="B1405" s="144">
        <v>1.2805</v>
      </c>
      <c r="C1405" s="144">
        <v>39.761699999999998</v>
      </c>
      <c r="D1405" s="144">
        <v>7.5119999999999996</v>
      </c>
      <c r="E1405" s="144">
        <v>120.87</v>
      </c>
      <c r="F1405" s="144">
        <v>0.84560000000000002</v>
      </c>
      <c r="G1405" s="144">
        <v>1.2195</v>
      </c>
      <c r="I1405" s="144">
        <v>1</v>
      </c>
      <c r="J1405" s="145">
        <f t="shared" si="158"/>
        <v>41365</v>
      </c>
      <c r="K1405" s="144">
        <f t="shared" ref="K1405:Q1414" ca="1" si="164">OFFSET($A1405,0,K$3)/OFFSET($A1405,0,$P$3)</f>
        <v>0.95236235845372907</v>
      </c>
      <c r="L1405" s="144">
        <f t="shared" ca="1" si="164"/>
        <v>0.66036704412338931</v>
      </c>
      <c r="M1405" s="144">
        <f t="shared" ca="1" si="164"/>
        <v>94.392815306520902</v>
      </c>
      <c r="N1405" s="144">
        <f t="shared" ca="1" si="164"/>
        <v>5.8664584146817651</v>
      </c>
      <c r="O1405" s="144">
        <f t="shared" ca="1" si="164"/>
        <v>31.051698555251853</v>
      </c>
      <c r="P1405" s="144">
        <f t="shared" ca="1" si="164"/>
        <v>1</v>
      </c>
      <c r="Q1405" s="144">
        <f t="shared" ca="1" si="164"/>
        <v>0.78094494338149167</v>
      </c>
    </row>
    <row r="1406" spans="1:17" x14ac:dyDescent="0.25">
      <c r="A1406" s="145">
        <v>41364</v>
      </c>
      <c r="B1406" s="144">
        <v>1.2805</v>
      </c>
      <c r="C1406" s="144">
        <v>39.761699999999998</v>
      </c>
      <c r="D1406" s="144">
        <v>7.5119999999999996</v>
      </c>
      <c r="E1406" s="144">
        <v>120.87</v>
      </c>
      <c r="F1406" s="144">
        <v>0.84560000000000002</v>
      </c>
      <c r="G1406" s="144">
        <v>1.2195</v>
      </c>
      <c r="I1406" s="144">
        <v>1</v>
      </c>
      <c r="J1406" s="145">
        <f t="shared" si="158"/>
        <v>41364</v>
      </c>
      <c r="K1406" s="144">
        <f t="shared" ca="1" si="164"/>
        <v>0.95236235845372907</v>
      </c>
      <c r="L1406" s="144">
        <f t="shared" ca="1" si="164"/>
        <v>0.66036704412338931</v>
      </c>
      <c r="M1406" s="144">
        <f t="shared" ca="1" si="164"/>
        <v>94.392815306520902</v>
      </c>
      <c r="N1406" s="144">
        <f t="shared" ca="1" si="164"/>
        <v>5.8664584146817651</v>
      </c>
      <c r="O1406" s="144">
        <f t="shared" ca="1" si="164"/>
        <v>31.051698555251853</v>
      </c>
      <c r="P1406" s="144">
        <f t="shared" ca="1" si="164"/>
        <v>1</v>
      </c>
      <c r="Q1406" s="144">
        <f t="shared" ca="1" si="164"/>
        <v>0.78094494338149167</v>
      </c>
    </row>
    <row r="1407" spans="1:17" x14ac:dyDescent="0.25">
      <c r="A1407" s="145">
        <v>41363</v>
      </c>
      <c r="B1407" s="144">
        <v>1.2805</v>
      </c>
      <c r="C1407" s="144">
        <v>39.761699999999998</v>
      </c>
      <c r="D1407" s="144">
        <v>7.5119999999999996</v>
      </c>
      <c r="E1407" s="144">
        <v>120.87</v>
      </c>
      <c r="F1407" s="144">
        <v>0.84560000000000002</v>
      </c>
      <c r="G1407" s="144">
        <v>1.2195</v>
      </c>
      <c r="I1407" s="144">
        <v>1</v>
      </c>
      <c r="J1407" s="145">
        <f t="shared" si="158"/>
        <v>41363</v>
      </c>
      <c r="K1407" s="144">
        <f t="shared" ca="1" si="164"/>
        <v>0.95236235845372907</v>
      </c>
      <c r="L1407" s="144">
        <f t="shared" ca="1" si="164"/>
        <v>0.66036704412338931</v>
      </c>
      <c r="M1407" s="144">
        <f t="shared" ca="1" si="164"/>
        <v>94.392815306520902</v>
      </c>
      <c r="N1407" s="144">
        <f t="shared" ca="1" si="164"/>
        <v>5.8664584146817651</v>
      </c>
      <c r="O1407" s="144">
        <f t="shared" ca="1" si="164"/>
        <v>31.051698555251853</v>
      </c>
      <c r="P1407" s="144">
        <f t="shared" ca="1" si="164"/>
        <v>1</v>
      </c>
      <c r="Q1407" s="144">
        <f t="shared" ca="1" si="164"/>
        <v>0.78094494338149167</v>
      </c>
    </row>
    <row r="1408" spans="1:17" x14ac:dyDescent="0.25">
      <c r="A1408" s="145">
        <v>41362</v>
      </c>
      <c r="B1408" s="144">
        <v>1.2805</v>
      </c>
      <c r="C1408" s="144">
        <v>39.761699999999998</v>
      </c>
      <c r="D1408" s="144">
        <v>7.5119999999999996</v>
      </c>
      <c r="E1408" s="144">
        <v>120.87</v>
      </c>
      <c r="F1408" s="144">
        <v>0.84560000000000002</v>
      </c>
      <c r="G1408" s="144">
        <v>1.2195</v>
      </c>
      <c r="I1408" s="144">
        <v>1</v>
      </c>
      <c r="J1408" s="145">
        <f t="shared" si="158"/>
        <v>41362</v>
      </c>
      <c r="K1408" s="144">
        <f t="shared" ca="1" si="164"/>
        <v>0.95236235845372907</v>
      </c>
      <c r="L1408" s="144">
        <f t="shared" ca="1" si="164"/>
        <v>0.66036704412338931</v>
      </c>
      <c r="M1408" s="144">
        <f t="shared" ca="1" si="164"/>
        <v>94.392815306520902</v>
      </c>
      <c r="N1408" s="144">
        <f t="shared" ca="1" si="164"/>
        <v>5.8664584146817651</v>
      </c>
      <c r="O1408" s="144">
        <f t="shared" ca="1" si="164"/>
        <v>31.051698555251853</v>
      </c>
      <c r="P1408" s="144">
        <f t="shared" ca="1" si="164"/>
        <v>1</v>
      </c>
      <c r="Q1408" s="144">
        <f t="shared" ca="1" si="164"/>
        <v>0.78094494338149167</v>
      </c>
    </row>
    <row r="1409" spans="1:17" x14ac:dyDescent="0.25">
      <c r="A1409" s="145">
        <v>41361</v>
      </c>
      <c r="B1409" s="144">
        <v>1.2805</v>
      </c>
      <c r="C1409" s="144">
        <v>39.761699999999998</v>
      </c>
      <c r="D1409" s="144">
        <v>7.5119999999999996</v>
      </c>
      <c r="E1409" s="144">
        <v>120.87</v>
      </c>
      <c r="F1409" s="144">
        <v>0.84560000000000002</v>
      </c>
      <c r="G1409" s="144">
        <v>1.2195</v>
      </c>
      <c r="I1409" s="144">
        <v>1</v>
      </c>
      <c r="J1409" s="145">
        <f t="shared" si="158"/>
        <v>41361</v>
      </c>
      <c r="K1409" s="144">
        <f t="shared" ca="1" si="164"/>
        <v>0.95236235845372907</v>
      </c>
      <c r="L1409" s="144">
        <f t="shared" ca="1" si="164"/>
        <v>0.66036704412338931</v>
      </c>
      <c r="M1409" s="144">
        <f t="shared" ca="1" si="164"/>
        <v>94.392815306520902</v>
      </c>
      <c r="N1409" s="144">
        <f t="shared" ca="1" si="164"/>
        <v>5.8664584146817651</v>
      </c>
      <c r="O1409" s="144">
        <f t="shared" ca="1" si="164"/>
        <v>31.051698555251853</v>
      </c>
      <c r="P1409" s="144">
        <f t="shared" ca="1" si="164"/>
        <v>1</v>
      </c>
      <c r="Q1409" s="144">
        <f t="shared" ca="1" si="164"/>
        <v>0.78094494338149167</v>
      </c>
    </row>
    <row r="1410" spans="1:17" x14ac:dyDescent="0.25">
      <c r="A1410" s="145">
        <v>41360</v>
      </c>
      <c r="B1410" s="144">
        <v>1.2767999999999999</v>
      </c>
      <c r="C1410" s="144">
        <v>39.573</v>
      </c>
      <c r="D1410" s="144">
        <v>7.4720000000000004</v>
      </c>
      <c r="E1410" s="144">
        <v>120.3</v>
      </c>
      <c r="F1410" s="144">
        <v>0.84514999999999996</v>
      </c>
      <c r="G1410" s="144">
        <v>1.2174</v>
      </c>
      <c r="I1410" s="144">
        <v>1</v>
      </c>
      <c r="J1410" s="145">
        <f t="shared" si="158"/>
        <v>41360</v>
      </c>
      <c r="K1410" s="144">
        <f t="shared" ca="1" si="164"/>
        <v>0.95347744360902265</v>
      </c>
      <c r="L1410" s="144">
        <f t="shared" ca="1" si="164"/>
        <v>0.66192825814536338</v>
      </c>
      <c r="M1410" s="144">
        <f t="shared" ca="1" si="164"/>
        <v>94.219924812030072</v>
      </c>
      <c r="N1410" s="144">
        <f t="shared" ca="1" si="164"/>
        <v>5.852130325814537</v>
      </c>
      <c r="O1410" s="144">
        <f t="shared" ca="1" si="164"/>
        <v>30.993890977443613</v>
      </c>
      <c r="P1410" s="144">
        <f t="shared" ca="1" si="164"/>
        <v>1</v>
      </c>
      <c r="Q1410" s="144">
        <f t="shared" ca="1" si="164"/>
        <v>0.78320802005012535</v>
      </c>
    </row>
    <row r="1411" spans="1:17" x14ac:dyDescent="0.25">
      <c r="A1411" s="145">
        <v>41359</v>
      </c>
      <c r="B1411" s="144">
        <v>1.2861</v>
      </c>
      <c r="C1411" s="144">
        <v>39.735500000000002</v>
      </c>
      <c r="D1411" s="144">
        <v>7.4974999999999996</v>
      </c>
      <c r="E1411" s="144">
        <v>121.25</v>
      </c>
      <c r="F1411" s="144">
        <v>0.84899999999999998</v>
      </c>
      <c r="G1411" s="144">
        <v>1.2209000000000001</v>
      </c>
      <c r="I1411" s="144">
        <v>1</v>
      </c>
      <c r="J1411" s="145">
        <f t="shared" si="158"/>
        <v>41359</v>
      </c>
      <c r="K1411" s="144">
        <f t="shared" ca="1" si="164"/>
        <v>0.94930409765959112</v>
      </c>
      <c r="L1411" s="144">
        <f t="shared" ca="1" si="164"/>
        <v>0.66013529274550964</v>
      </c>
      <c r="M1411" s="144">
        <f t="shared" ca="1" si="164"/>
        <v>94.277272373843402</v>
      </c>
      <c r="N1411" s="144">
        <f t="shared" ca="1" si="164"/>
        <v>5.8296399968898216</v>
      </c>
      <c r="O1411" s="144">
        <f t="shared" ca="1" si="164"/>
        <v>30.896120052873027</v>
      </c>
      <c r="P1411" s="144">
        <f t="shared" ca="1" si="164"/>
        <v>1</v>
      </c>
      <c r="Q1411" s="144">
        <f t="shared" ca="1" si="164"/>
        <v>0.77754451442345074</v>
      </c>
    </row>
    <row r="1412" spans="1:17" x14ac:dyDescent="0.25">
      <c r="A1412" s="145">
        <v>41358</v>
      </c>
      <c r="B1412" s="144">
        <v>1.2935000000000001</v>
      </c>
      <c r="C1412" s="144">
        <v>39.83</v>
      </c>
      <c r="D1412" s="144">
        <v>7.5430000000000001</v>
      </c>
      <c r="E1412" s="144">
        <v>122.55</v>
      </c>
      <c r="F1412" s="144">
        <v>0.85160000000000002</v>
      </c>
      <c r="G1412" s="144">
        <v>1.2213000000000001</v>
      </c>
      <c r="I1412" s="144">
        <v>1</v>
      </c>
      <c r="J1412" s="145">
        <f t="shared" si="158"/>
        <v>41358</v>
      </c>
      <c r="K1412" s="144">
        <f t="shared" ca="1" si="164"/>
        <v>0.94418245071511397</v>
      </c>
      <c r="L1412" s="144">
        <f t="shared" ca="1" si="164"/>
        <v>0.6583687669114805</v>
      </c>
      <c r="M1412" s="144">
        <f t="shared" ca="1" si="164"/>
        <v>94.742945496714327</v>
      </c>
      <c r="N1412" s="144">
        <f t="shared" ca="1" si="164"/>
        <v>5.8314650173946649</v>
      </c>
      <c r="O1412" s="144">
        <f t="shared" ca="1" si="164"/>
        <v>30.79242365674526</v>
      </c>
      <c r="P1412" s="144">
        <f t="shared" ca="1" si="164"/>
        <v>1</v>
      </c>
      <c r="Q1412" s="144">
        <f t="shared" ca="1" si="164"/>
        <v>0.77309625048318509</v>
      </c>
    </row>
    <row r="1413" spans="1:17" x14ac:dyDescent="0.25">
      <c r="A1413" s="145">
        <v>41357</v>
      </c>
      <c r="B1413" s="144">
        <v>1.2948</v>
      </c>
      <c r="C1413" s="144">
        <v>40.01</v>
      </c>
      <c r="D1413" s="144">
        <v>7.5395000000000003</v>
      </c>
      <c r="E1413" s="144">
        <v>122.85</v>
      </c>
      <c r="F1413" s="144">
        <v>0.8528</v>
      </c>
      <c r="G1413" s="144">
        <v>1.2212000000000001</v>
      </c>
      <c r="I1413" s="144">
        <v>1</v>
      </c>
      <c r="J1413" s="145">
        <f t="shared" ref="J1413:J1476" si="165">A1413</f>
        <v>41357</v>
      </c>
      <c r="K1413" s="144">
        <f t="shared" ca="1" si="164"/>
        <v>0.94315724436206372</v>
      </c>
      <c r="L1413" s="144">
        <f t="shared" ca="1" si="164"/>
        <v>0.65863453815261042</v>
      </c>
      <c r="M1413" s="144">
        <f t="shared" ca="1" si="164"/>
        <v>94.879518072289159</v>
      </c>
      <c r="N1413" s="144">
        <f t="shared" ca="1" si="164"/>
        <v>5.8229070126660494</v>
      </c>
      <c r="O1413" s="144">
        <f t="shared" ca="1" si="164"/>
        <v>30.900525177633611</v>
      </c>
      <c r="P1413" s="144">
        <f t="shared" ca="1" si="164"/>
        <v>1</v>
      </c>
      <c r="Q1413" s="144">
        <f t="shared" ca="1" si="164"/>
        <v>0.7723200494284832</v>
      </c>
    </row>
    <row r="1414" spans="1:17" x14ac:dyDescent="0.25">
      <c r="A1414" s="145">
        <v>41356</v>
      </c>
      <c r="B1414" s="144">
        <v>1.2948</v>
      </c>
      <c r="C1414" s="144">
        <v>40.01</v>
      </c>
      <c r="D1414" s="144">
        <v>7.5395000000000003</v>
      </c>
      <c r="E1414" s="144">
        <v>122.85</v>
      </c>
      <c r="F1414" s="144">
        <v>0.8528</v>
      </c>
      <c r="G1414" s="144">
        <v>1.2212000000000001</v>
      </c>
      <c r="I1414" s="144">
        <v>1</v>
      </c>
      <c r="J1414" s="145">
        <f t="shared" si="165"/>
        <v>41356</v>
      </c>
      <c r="K1414" s="144">
        <f t="shared" ca="1" si="164"/>
        <v>0.94315724436206372</v>
      </c>
      <c r="L1414" s="144">
        <f t="shared" ca="1" si="164"/>
        <v>0.65863453815261042</v>
      </c>
      <c r="M1414" s="144">
        <f t="shared" ca="1" si="164"/>
        <v>94.879518072289159</v>
      </c>
      <c r="N1414" s="144">
        <f t="shared" ca="1" si="164"/>
        <v>5.8229070126660494</v>
      </c>
      <c r="O1414" s="144">
        <f t="shared" ca="1" si="164"/>
        <v>30.900525177633611</v>
      </c>
      <c r="P1414" s="144">
        <f t="shared" ca="1" si="164"/>
        <v>1</v>
      </c>
      <c r="Q1414" s="144">
        <f t="shared" ca="1" si="164"/>
        <v>0.7723200494284832</v>
      </c>
    </row>
    <row r="1415" spans="1:17" x14ac:dyDescent="0.25">
      <c r="A1415" s="145">
        <v>41355</v>
      </c>
      <c r="B1415" s="144">
        <v>1.2948</v>
      </c>
      <c r="C1415" s="144">
        <v>40.01</v>
      </c>
      <c r="D1415" s="144">
        <v>7.5395000000000003</v>
      </c>
      <c r="E1415" s="144">
        <v>122.85</v>
      </c>
      <c r="F1415" s="144">
        <v>0.8528</v>
      </c>
      <c r="G1415" s="144">
        <v>1.2212000000000001</v>
      </c>
      <c r="I1415" s="144">
        <v>1</v>
      </c>
      <c r="J1415" s="145">
        <f t="shared" si="165"/>
        <v>41355</v>
      </c>
      <c r="K1415" s="144">
        <f t="shared" ref="K1415:Q1424" ca="1" si="166">OFFSET($A1415,0,K$3)/OFFSET($A1415,0,$P$3)</f>
        <v>0.94315724436206372</v>
      </c>
      <c r="L1415" s="144">
        <f t="shared" ca="1" si="166"/>
        <v>0.65863453815261042</v>
      </c>
      <c r="M1415" s="144">
        <f t="shared" ca="1" si="166"/>
        <v>94.879518072289159</v>
      </c>
      <c r="N1415" s="144">
        <f t="shared" ca="1" si="166"/>
        <v>5.8229070126660494</v>
      </c>
      <c r="O1415" s="144">
        <f t="shared" ca="1" si="166"/>
        <v>30.900525177633611</v>
      </c>
      <c r="P1415" s="144">
        <f t="shared" ca="1" si="166"/>
        <v>1</v>
      </c>
      <c r="Q1415" s="144">
        <f t="shared" ca="1" si="166"/>
        <v>0.7723200494284832</v>
      </c>
    </row>
    <row r="1416" spans="1:17" x14ac:dyDescent="0.25">
      <c r="A1416" s="145">
        <v>41354</v>
      </c>
      <c r="B1416" s="144">
        <v>1.2909999999999999</v>
      </c>
      <c r="C1416" s="144">
        <v>39.9375</v>
      </c>
      <c r="D1416" s="144">
        <v>7.548</v>
      </c>
      <c r="E1416" s="144">
        <v>122.95</v>
      </c>
      <c r="F1416" s="144">
        <v>0.85165000000000002</v>
      </c>
      <c r="G1416" s="144">
        <v>1.2224999999999999</v>
      </c>
      <c r="I1416" s="144">
        <v>1</v>
      </c>
      <c r="J1416" s="145">
        <f t="shared" si="165"/>
        <v>41354</v>
      </c>
      <c r="K1416" s="144">
        <f t="shared" ca="1" si="166"/>
        <v>0.94694035631293572</v>
      </c>
      <c r="L1416" s="144">
        <f t="shared" ca="1" si="166"/>
        <v>0.65968241673121619</v>
      </c>
      <c r="M1416" s="144">
        <f t="shared" ca="1" si="166"/>
        <v>95.236250968241677</v>
      </c>
      <c r="N1416" s="144">
        <f t="shared" ca="1" si="166"/>
        <v>5.8466305189775376</v>
      </c>
      <c r="O1416" s="144">
        <f t="shared" ca="1" si="166"/>
        <v>30.935321456235478</v>
      </c>
      <c r="P1416" s="144">
        <f t="shared" ca="1" si="166"/>
        <v>1</v>
      </c>
      <c r="Q1416" s="144">
        <f t="shared" ca="1" si="166"/>
        <v>0.77459333849728895</v>
      </c>
    </row>
    <row r="1417" spans="1:17" x14ac:dyDescent="0.25">
      <c r="A1417" s="145">
        <v>41353</v>
      </c>
      <c r="B1417" s="144">
        <v>1.2945</v>
      </c>
      <c r="C1417" s="144">
        <v>39.950000000000003</v>
      </c>
      <c r="D1417" s="144">
        <v>7.5449999999999999</v>
      </c>
      <c r="E1417" s="144">
        <v>123.69</v>
      </c>
      <c r="F1417" s="144">
        <v>0.85519999999999996</v>
      </c>
      <c r="G1417" s="144">
        <v>1.2222</v>
      </c>
      <c r="I1417" s="144">
        <v>1</v>
      </c>
      <c r="J1417" s="145">
        <f t="shared" si="165"/>
        <v>41353</v>
      </c>
      <c r="K1417" s="144">
        <f t="shared" ca="1" si="166"/>
        <v>0.94414831981460023</v>
      </c>
      <c r="L1417" s="144">
        <f t="shared" ca="1" si="166"/>
        <v>0.66064117419853219</v>
      </c>
      <c r="M1417" s="144">
        <f t="shared" ca="1" si="166"/>
        <v>95.550405561993045</v>
      </c>
      <c r="N1417" s="144">
        <f t="shared" ca="1" si="166"/>
        <v>5.8285052143684819</v>
      </c>
      <c r="O1417" s="144">
        <f t="shared" ca="1" si="166"/>
        <v>30.861336423329472</v>
      </c>
      <c r="P1417" s="144">
        <f t="shared" ca="1" si="166"/>
        <v>1</v>
      </c>
      <c r="Q1417" s="144">
        <f t="shared" ca="1" si="166"/>
        <v>0.77249903437620704</v>
      </c>
    </row>
    <row r="1418" spans="1:17" x14ac:dyDescent="0.25">
      <c r="A1418" s="145">
        <v>41352</v>
      </c>
      <c r="B1418" s="144">
        <v>1.2944</v>
      </c>
      <c r="C1418" s="144">
        <v>39.932499999999997</v>
      </c>
      <c r="D1418" s="144">
        <v>7.5205000000000002</v>
      </c>
      <c r="E1418" s="144">
        <v>123.49</v>
      </c>
      <c r="F1418" s="144">
        <v>0.85585</v>
      </c>
      <c r="G1418" s="144">
        <v>1.2218</v>
      </c>
      <c r="I1418" s="144">
        <v>1</v>
      </c>
      <c r="J1418" s="145">
        <f t="shared" si="165"/>
        <v>41352</v>
      </c>
      <c r="K1418" s="144">
        <f t="shared" ca="1" si="166"/>
        <v>0.94391223733003704</v>
      </c>
      <c r="L1418" s="144">
        <f t="shared" ca="1" si="166"/>
        <v>0.66119437577255868</v>
      </c>
      <c r="M1418" s="144">
        <f t="shared" ca="1" si="166"/>
        <v>95.403275648949318</v>
      </c>
      <c r="N1418" s="144">
        <f t="shared" ca="1" si="166"/>
        <v>5.810027812113721</v>
      </c>
      <c r="O1418" s="144">
        <f t="shared" ca="1" si="166"/>
        <v>30.850200865265759</v>
      </c>
      <c r="P1418" s="144">
        <f t="shared" ca="1" si="166"/>
        <v>1</v>
      </c>
      <c r="Q1418" s="144">
        <f t="shared" ca="1" si="166"/>
        <v>0.77255871446229918</v>
      </c>
    </row>
    <row r="1419" spans="1:17" x14ac:dyDescent="0.25">
      <c r="A1419" s="145">
        <v>41351</v>
      </c>
      <c r="B1419" s="144">
        <v>1.2928999999999999</v>
      </c>
      <c r="C1419" s="144">
        <v>39.917999999999999</v>
      </c>
      <c r="D1419" s="144">
        <v>7.5015000000000001</v>
      </c>
      <c r="E1419" s="144">
        <v>122.88</v>
      </c>
      <c r="F1419" s="144">
        <v>0.85619999999999996</v>
      </c>
      <c r="G1419" s="144">
        <v>1.2221</v>
      </c>
      <c r="I1419" s="144">
        <v>1</v>
      </c>
      <c r="J1419" s="145">
        <f t="shared" si="165"/>
        <v>41351</v>
      </c>
      <c r="K1419" s="144">
        <f t="shared" ca="1" si="166"/>
        <v>0.94523938432980126</v>
      </c>
      <c r="L1419" s="144">
        <f t="shared" ca="1" si="166"/>
        <v>0.66223219119808185</v>
      </c>
      <c r="M1419" s="144">
        <f t="shared" ca="1" si="166"/>
        <v>95.042153298785678</v>
      </c>
      <c r="N1419" s="144">
        <f t="shared" ca="1" si="166"/>
        <v>5.8020728594632223</v>
      </c>
      <c r="O1419" s="144">
        <f t="shared" ca="1" si="166"/>
        <v>30.874777631680718</v>
      </c>
      <c r="P1419" s="144">
        <f t="shared" ca="1" si="166"/>
        <v>1</v>
      </c>
      <c r="Q1419" s="144">
        <f t="shared" ca="1" si="166"/>
        <v>0.77345502359037821</v>
      </c>
    </row>
    <row r="1420" spans="1:17" x14ac:dyDescent="0.25">
      <c r="A1420" s="145">
        <v>41350</v>
      </c>
      <c r="B1420" s="144">
        <v>1.3086</v>
      </c>
      <c r="C1420" s="144">
        <v>40.075000000000003</v>
      </c>
      <c r="D1420" s="144">
        <v>7.5324999999999998</v>
      </c>
      <c r="E1420" s="144">
        <v>125.56</v>
      </c>
      <c r="F1420" s="144">
        <v>0.86399999999999999</v>
      </c>
      <c r="G1420" s="144">
        <v>1.2307999999999999</v>
      </c>
      <c r="I1420" s="144">
        <v>1</v>
      </c>
      <c r="J1420" s="145">
        <f t="shared" si="165"/>
        <v>41350</v>
      </c>
      <c r="K1420" s="144">
        <f t="shared" ca="1" si="166"/>
        <v>0.94054714962555397</v>
      </c>
      <c r="L1420" s="144">
        <f t="shared" ca="1" si="166"/>
        <v>0.66024759284731771</v>
      </c>
      <c r="M1420" s="144">
        <f t="shared" ca="1" si="166"/>
        <v>95.949870090172709</v>
      </c>
      <c r="N1420" s="144">
        <f t="shared" ca="1" si="166"/>
        <v>5.7561516124102097</v>
      </c>
      <c r="O1420" s="144">
        <f t="shared" ca="1" si="166"/>
        <v>30.624331346477152</v>
      </c>
      <c r="P1420" s="144">
        <f t="shared" ca="1" si="166"/>
        <v>1</v>
      </c>
      <c r="Q1420" s="144">
        <f t="shared" ca="1" si="166"/>
        <v>0.76417545468439552</v>
      </c>
    </row>
    <row r="1421" spans="1:17" x14ac:dyDescent="0.25">
      <c r="A1421" s="145">
        <v>41349</v>
      </c>
      <c r="B1421" s="144">
        <v>1.3086</v>
      </c>
      <c r="C1421" s="144">
        <v>40.075000000000003</v>
      </c>
      <c r="D1421" s="144">
        <v>7.5324999999999998</v>
      </c>
      <c r="E1421" s="144">
        <v>125.56</v>
      </c>
      <c r="F1421" s="144">
        <v>0.86399999999999999</v>
      </c>
      <c r="G1421" s="144">
        <v>1.2307999999999999</v>
      </c>
      <c r="I1421" s="144">
        <v>1</v>
      </c>
      <c r="J1421" s="145">
        <f t="shared" si="165"/>
        <v>41349</v>
      </c>
      <c r="K1421" s="144">
        <f t="shared" ca="1" si="166"/>
        <v>0.94054714962555397</v>
      </c>
      <c r="L1421" s="144">
        <f t="shared" ca="1" si="166"/>
        <v>0.66024759284731771</v>
      </c>
      <c r="M1421" s="144">
        <f t="shared" ca="1" si="166"/>
        <v>95.949870090172709</v>
      </c>
      <c r="N1421" s="144">
        <f t="shared" ca="1" si="166"/>
        <v>5.7561516124102097</v>
      </c>
      <c r="O1421" s="144">
        <f t="shared" ca="1" si="166"/>
        <v>30.624331346477152</v>
      </c>
      <c r="P1421" s="144">
        <f t="shared" ca="1" si="166"/>
        <v>1</v>
      </c>
      <c r="Q1421" s="144">
        <f t="shared" ca="1" si="166"/>
        <v>0.76417545468439552</v>
      </c>
    </row>
    <row r="1422" spans="1:17" x14ac:dyDescent="0.25">
      <c r="A1422" s="145">
        <v>41348</v>
      </c>
      <c r="B1422" s="144">
        <v>1.3086</v>
      </c>
      <c r="C1422" s="144">
        <v>40.075000000000003</v>
      </c>
      <c r="D1422" s="144">
        <v>7.5324999999999998</v>
      </c>
      <c r="E1422" s="144">
        <v>125.56</v>
      </c>
      <c r="F1422" s="144">
        <v>0.86399999999999999</v>
      </c>
      <c r="G1422" s="144">
        <v>1.2307999999999999</v>
      </c>
      <c r="I1422" s="144">
        <v>1</v>
      </c>
      <c r="J1422" s="145">
        <f t="shared" si="165"/>
        <v>41348</v>
      </c>
      <c r="K1422" s="144">
        <f t="shared" ca="1" si="166"/>
        <v>0.94054714962555397</v>
      </c>
      <c r="L1422" s="144">
        <f t="shared" ca="1" si="166"/>
        <v>0.66024759284731771</v>
      </c>
      <c r="M1422" s="144">
        <f t="shared" ca="1" si="166"/>
        <v>95.949870090172709</v>
      </c>
      <c r="N1422" s="144">
        <f t="shared" ca="1" si="166"/>
        <v>5.7561516124102097</v>
      </c>
      <c r="O1422" s="144">
        <f t="shared" ca="1" si="166"/>
        <v>30.624331346477152</v>
      </c>
      <c r="P1422" s="144">
        <f t="shared" ca="1" si="166"/>
        <v>1</v>
      </c>
      <c r="Q1422" s="144">
        <f t="shared" ca="1" si="166"/>
        <v>0.76417545468439552</v>
      </c>
    </row>
    <row r="1423" spans="1:17" x14ac:dyDescent="0.25">
      <c r="A1423" s="145">
        <v>41347</v>
      </c>
      <c r="B1423" s="144">
        <v>1.2937000000000001</v>
      </c>
      <c r="C1423" s="144">
        <v>39.841200000000001</v>
      </c>
      <c r="D1423" s="144">
        <v>7.532</v>
      </c>
      <c r="E1423" s="144">
        <v>124.79</v>
      </c>
      <c r="F1423" s="144">
        <v>0.86570000000000003</v>
      </c>
      <c r="G1423" s="144">
        <v>1.2346999999999999</v>
      </c>
      <c r="I1423" s="144">
        <v>1</v>
      </c>
      <c r="J1423" s="145">
        <f t="shared" si="165"/>
        <v>41347</v>
      </c>
      <c r="K1423" s="144">
        <f t="shared" ca="1" si="166"/>
        <v>0.95439437272938077</v>
      </c>
      <c r="L1423" s="144">
        <f t="shared" ca="1" si="166"/>
        <v>0.66916595810466106</v>
      </c>
      <c r="M1423" s="144">
        <f t="shared" ca="1" si="166"/>
        <v>96.459766561026512</v>
      </c>
      <c r="N1423" s="144">
        <f t="shared" ca="1" si="166"/>
        <v>5.8220607559712452</v>
      </c>
      <c r="O1423" s="144">
        <f t="shared" ca="1" si="166"/>
        <v>30.796320630749012</v>
      </c>
      <c r="P1423" s="144">
        <f t="shared" ca="1" si="166"/>
        <v>1</v>
      </c>
      <c r="Q1423" s="144">
        <f t="shared" ca="1" si="166"/>
        <v>0.77297673340032458</v>
      </c>
    </row>
    <row r="1424" spans="1:17" x14ac:dyDescent="0.25">
      <c r="A1424" s="145">
        <v>41346</v>
      </c>
      <c r="B1424" s="144">
        <v>1.2981</v>
      </c>
      <c r="C1424" s="144">
        <v>39.92</v>
      </c>
      <c r="D1424" s="144">
        <v>7.4429999999999996</v>
      </c>
      <c r="E1424" s="144">
        <v>124.59</v>
      </c>
      <c r="F1424" s="144">
        <v>0.86780000000000002</v>
      </c>
      <c r="G1424" s="144">
        <v>1.2319</v>
      </c>
      <c r="I1424" s="144">
        <v>1</v>
      </c>
      <c r="J1424" s="145">
        <f t="shared" si="165"/>
        <v>41346</v>
      </c>
      <c r="K1424" s="144">
        <f t="shared" ca="1" si="166"/>
        <v>0.94900238810569293</v>
      </c>
      <c r="L1424" s="144">
        <f t="shared" ca="1" si="166"/>
        <v>0.66851552268700409</v>
      </c>
      <c r="M1424" s="144">
        <f t="shared" ca="1" si="166"/>
        <v>95.978738155766123</v>
      </c>
      <c r="N1424" s="144">
        <f t="shared" ca="1" si="166"/>
        <v>5.7337647330714114</v>
      </c>
      <c r="O1424" s="144">
        <f t="shared" ca="1" si="166"/>
        <v>30.752638471612357</v>
      </c>
      <c r="P1424" s="144">
        <f t="shared" ca="1" si="166"/>
        <v>1</v>
      </c>
      <c r="Q1424" s="144">
        <f t="shared" ca="1" si="166"/>
        <v>0.77035667514059003</v>
      </c>
    </row>
    <row r="1425" spans="1:17" x14ac:dyDescent="0.25">
      <c r="A1425" s="145">
        <v>41345</v>
      </c>
      <c r="B1425" s="144">
        <v>1.3052999999999999</v>
      </c>
      <c r="C1425" s="144">
        <v>40.039000000000001</v>
      </c>
      <c r="D1425" s="144">
        <v>7.4455</v>
      </c>
      <c r="E1425" s="144">
        <v>125.25</v>
      </c>
      <c r="F1425" s="144">
        <v>0.87629999999999997</v>
      </c>
      <c r="G1425" s="144">
        <v>1.2343999999999999</v>
      </c>
      <c r="I1425" s="144">
        <v>1</v>
      </c>
      <c r="J1425" s="145">
        <f t="shared" si="165"/>
        <v>41345</v>
      </c>
      <c r="K1425" s="144">
        <f t="shared" ref="K1425:Q1434" ca="1" si="167">OFFSET($A1425,0,K$3)/OFFSET($A1425,0,$P$3)</f>
        <v>0.94568298475446255</v>
      </c>
      <c r="L1425" s="144">
        <f t="shared" ca="1" si="167"/>
        <v>0.67133992185704439</v>
      </c>
      <c r="M1425" s="144">
        <f t="shared" ca="1" si="167"/>
        <v>95.954952884394402</v>
      </c>
      <c r="N1425" s="144">
        <f t="shared" ca="1" si="167"/>
        <v>5.704052708189689</v>
      </c>
      <c r="O1425" s="144">
        <f t="shared" ca="1" si="167"/>
        <v>30.674174519267606</v>
      </c>
      <c r="P1425" s="144">
        <f t="shared" ca="1" si="167"/>
        <v>1</v>
      </c>
      <c r="Q1425" s="144">
        <f t="shared" ca="1" si="167"/>
        <v>0.76610740825863788</v>
      </c>
    </row>
    <row r="1426" spans="1:17" x14ac:dyDescent="0.25">
      <c r="A1426" s="145">
        <v>41344</v>
      </c>
      <c r="B1426" s="144">
        <v>1.2994000000000001</v>
      </c>
      <c r="C1426" s="144">
        <v>40.0015</v>
      </c>
      <c r="D1426" s="144">
        <v>7.4385000000000003</v>
      </c>
      <c r="E1426" s="144">
        <v>124.91</v>
      </c>
      <c r="F1426" s="144">
        <v>0.87334999999999996</v>
      </c>
      <c r="G1426" s="144">
        <v>1.236</v>
      </c>
      <c r="I1426" s="144">
        <v>1</v>
      </c>
      <c r="J1426" s="145">
        <f t="shared" si="165"/>
        <v>41344</v>
      </c>
      <c r="K1426" s="144">
        <f t="shared" ca="1" si="167"/>
        <v>0.95120824996152065</v>
      </c>
      <c r="L1426" s="144">
        <f t="shared" ca="1" si="167"/>
        <v>0.6721179005694935</v>
      </c>
      <c r="M1426" s="144">
        <f t="shared" ca="1" si="167"/>
        <v>96.12898260735723</v>
      </c>
      <c r="N1426" s="144">
        <f t="shared" ca="1" si="167"/>
        <v>5.7245651839310447</v>
      </c>
      <c r="O1426" s="144">
        <f t="shared" ca="1" si="167"/>
        <v>30.784592889025703</v>
      </c>
      <c r="P1426" s="144">
        <f t="shared" ca="1" si="167"/>
        <v>1</v>
      </c>
      <c r="Q1426" s="144">
        <f t="shared" ca="1" si="167"/>
        <v>0.76958596275203939</v>
      </c>
    </row>
    <row r="1427" spans="1:17" x14ac:dyDescent="0.25">
      <c r="A1427" s="145">
        <v>41343</v>
      </c>
      <c r="B1427" s="144">
        <v>1.3089999999999999</v>
      </c>
      <c r="C1427" s="144">
        <v>40.121299999999998</v>
      </c>
      <c r="D1427" s="144">
        <v>7.4435000000000002</v>
      </c>
      <c r="E1427" s="144">
        <v>125.5</v>
      </c>
      <c r="F1427" s="144">
        <v>0.871</v>
      </c>
      <c r="G1427" s="144">
        <v>1.2355</v>
      </c>
      <c r="I1427" s="144">
        <v>1</v>
      </c>
      <c r="J1427" s="145">
        <f t="shared" si="165"/>
        <v>41343</v>
      </c>
      <c r="K1427" s="144">
        <f t="shared" ca="1" si="167"/>
        <v>0.94385026737967925</v>
      </c>
      <c r="L1427" s="144">
        <f t="shared" ca="1" si="167"/>
        <v>0.66539343009931251</v>
      </c>
      <c r="M1427" s="144">
        <f t="shared" ca="1" si="167"/>
        <v>95.87471352177235</v>
      </c>
      <c r="N1427" s="144">
        <f t="shared" ca="1" si="167"/>
        <v>5.6864018334606579</v>
      </c>
      <c r="O1427" s="144">
        <f t="shared" ca="1" si="167"/>
        <v>30.650343773873185</v>
      </c>
      <c r="P1427" s="144">
        <f t="shared" ca="1" si="167"/>
        <v>1</v>
      </c>
      <c r="Q1427" s="144">
        <f t="shared" ca="1" si="167"/>
        <v>0.76394194041252872</v>
      </c>
    </row>
    <row r="1428" spans="1:17" x14ac:dyDescent="0.25">
      <c r="A1428" s="145">
        <v>41342</v>
      </c>
      <c r="B1428" s="144">
        <v>1.3089999999999999</v>
      </c>
      <c r="C1428" s="144">
        <v>40.121299999999998</v>
      </c>
      <c r="D1428" s="144">
        <v>7.4435000000000002</v>
      </c>
      <c r="E1428" s="144">
        <v>125.5</v>
      </c>
      <c r="F1428" s="144">
        <v>0.871</v>
      </c>
      <c r="G1428" s="144">
        <v>1.2355</v>
      </c>
      <c r="I1428" s="144">
        <v>1</v>
      </c>
      <c r="J1428" s="145">
        <f t="shared" si="165"/>
        <v>41342</v>
      </c>
      <c r="K1428" s="144">
        <f t="shared" ca="1" si="167"/>
        <v>0.94385026737967925</v>
      </c>
      <c r="L1428" s="144">
        <f t="shared" ca="1" si="167"/>
        <v>0.66539343009931251</v>
      </c>
      <c r="M1428" s="144">
        <f t="shared" ca="1" si="167"/>
        <v>95.87471352177235</v>
      </c>
      <c r="N1428" s="144">
        <f t="shared" ca="1" si="167"/>
        <v>5.6864018334606579</v>
      </c>
      <c r="O1428" s="144">
        <f t="shared" ca="1" si="167"/>
        <v>30.650343773873185</v>
      </c>
      <c r="P1428" s="144">
        <f t="shared" ca="1" si="167"/>
        <v>1</v>
      </c>
      <c r="Q1428" s="144">
        <f t="shared" ca="1" si="167"/>
        <v>0.76394194041252872</v>
      </c>
    </row>
    <row r="1429" spans="1:17" x14ac:dyDescent="0.25">
      <c r="A1429" s="145">
        <v>41341</v>
      </c>
      <c r="B1429" s="144">
        <v>1.3089999999999999</v>
      </c>
      <c r="C1429" s="144">
        <v>40.121299999999998</v>
      </c>
      <c r="D1429" s="144">
        <v>7.4435000000000002</v>
      </c>
      <c r="E1429" s="144">
        <v>125.5</v>
      </c>
      <c r="F1429" s="144">
        <v>0.871</v>
      </c>
      <c r="G1429" s="144">
        <v>1.2355</v>
      </c>
      <c r="I1429" s="144">
        <v>1</v>
      </c>
      <c r="J1429" s="145">
        <f t="shared" si="165"/>
        <v>41341</v>
      </c>
      <c r="K1429" s="144">
        <f t="shared" ca="1" si="167"/>
        <v>0.94385026737967925</v>
      </c>
      <c r="L1429" s="144">
        <f t="shared" ca="1" si="167"/>
        <v>0.66539343009931251</v>
      </c>
      <c r="M1429" s="144">
        <f t="shared" ca="1" si="167"/>
        <v>95.87471352177235</v>
      </c>
      <c r="N1429" s="144">
        <f t="shared" ca="1" si="167"/>
        <v>5.6864018334606579</v>
      </c>
      <c r="O1429" s="144">
        <f t="shared" ca="1" si="167"/>
        <v>30.650343773873185</v>
      </c>
      <c r="P1429" s="144">
        <f t="shared" ca="1" si="167"/>
        <v>1</v>
      </c>
      <c r="Q1429" s="144">
        <f t="shared" ca="1" si="167"/>
        <v>0.76394194041252872</v>
      </c>
    </row>
    <row r="1430" spans="1:17" x14ac:dyDescent="0.25">
      <c r="A1430" s="145">
        <v>41340</v>
      </c>
      <c r="B1430" s="144">
        <v>1.3009999999999999</v>
      </c>
      <c r="C1430" s="144">
        <v>40.03</v>
      </c>
      <c r="D1430" s="144">
        <v>7.4165000000000001</v>
      </c>
      <c r="E1430" s="144">
        <v>122.8</v>
      </c>
      <c r="F1430" s="144">
        <v>0.86499999999999999</v>
      </c>
      <c r="G1430" s="144">
        <v>1.2318</v>
      </c>
      <c r="I1430" s="144">
        <v>1</v>
      </c>
      <c r="J1430" s="145">
        <f t="shared" si="165"/>
        <v>41340</v>
      </c>
      <c r="K1430" s="144">
        <f t="shared" ca="1" si="167"/>
        <v>0.9468101460415066</v>
      </c>
      <c r="L1430" s="144">
        <f t="shared" ca="1" si="167"/>
        <v>0.66487317448116834</v>
      </c>
      <c r="M1430" s="144">
        <f t="shared" ca="1" si="167"/>
        <v>94.388931591083789</v>
      </c>
      <c r="N1430" s="144">
        <f t="shared" ca="1" si="167"/>
        <v>5.7006149116064568</v>
      </c>
      <c r="O1430" s="144">
        <f t="shared" ca="1" si="167"/>
        <v>30.768639508070716</v>
      </c>
      <c r="P1430" s="144">
        <f t="shared" ca="1" si="167"/>
        <v>1</v>
      </c>
      <c r="Q1430" s="144">
        <f t="shared" ca="1" si="167"/>
        <v>0.76863950807071491</v>
      </c>
    </row>
    <row r="1431" spans="1:17" x14ac:dyDescent="0.25">
      <c r="A1431" s="145">
        <v>41339</v>
      </c>
      <c r="B1431" s="144">
        <v>1.3035000000000001</v>
      </c>
      <c r="C1431" s="144">
        <v>39.984999999999999</v>
      </c>
      <c r="D1431" s="144">
        <v>7.4249999999999998</v>
      </c>
      <c r="E1431" s="144">
        <v>121.85</v>
      </c>
      <c r="F1431" s="144">
        <v>0.86439999999999995</v>
      </c>
      <c r="G1431" s="144">
        <v>1.2301</v>
      </c>
      <c r="I1431" s="144">
        <v>1</v>
      </c>
      <c r="J1431" s="145">
        <f t="shared" si="165"/>
        <v>41339</v>
      </c>
      <c r="K1431" s="144">
        <f t="shared" ca="1" si="167"/>
        <v>0.94369006520905241</v>
      </c>
      <c r="L1431" s="144">
        <f t="shared" ca="1" si="167"/>
        <v>0.6631377061756808</v>
      </c>
      <c r="M1431" s="144">
        <f t="shared" ca="1" si="167"/>
        <v>93.479094744917518</v>
      </c>
      <c r="N1431" s="144">
        <f t="shared" ca="1" si="167"/>
        <v>5.6962025316455689</v>
      </c>
      <c r="O1431" s="144">
        <f t="shared" ca="1" si="167"/>
        <v>30.675105485232066</v>
      </c>
      <c r="P1431" s="144">
        <f t="shared" ca="1" si="167"/>
        <v>1</v>
      </c>
      <c r="Q1431" s="144">
        <f t="shared" ca="1" si="167"/>
        <v>0.76716532412734939</v>
      </c>
    </row>
    <row r="1432" spans="1:17" x14ac:dyDescent="0.25">
      <c r="A1432" s="145">
        <v>41338</v>
      </c>
      <c r="B1432" s="144">
        <v>1.3033999999999999</v>
      </c>
      <c r="C1432" s="144">
        <v>40.03</v>
      </c>
      <c r="D1432" s="144">
        <v>7.44</v>
      </c>
      <c r="E1432" s="144">
        <v>121.45</v>
      </c>
      <c r="F1432" s="144">
        <v>0.85980000000000001</v>
      </c>
      <c r="G1432" s="144">
        <v>1.2277</v>
      </c>
      <c r="I1432" s="144">
        <v>1</v>
      </c>
      <c r="J1432" s="145">
        <f t="shared" si="165"/>
        <v>41338</v>
      </c>
      <c r="K1432" s="144">
        <f t="shared" ca="1" si="167"/>
        <v>0.9419211293539973</v>
      </c>
      <c r="L1432" s="144">
        <f t="shared" ca="1" si="167"/>
        <v>0.65965935246278973</v>
      </c>
      <c r="M1432" s="144">
        <f t="shared" ca="1" si="167"/>
        <v>93.179377013963489</v>
      </c>
      <c r="N1432" s="144">
        <f t="shared" ca="1" si="167"/>
        <v>5.7081479208224648</v>
      </c>
      <c r="O1432" s="144">
        <f t="shared" ca="1" si="167"/>
        <v>30.711984041737001</v>
      </c>
      <c r="P1432" s="144">
        <f t="shared" ca="1" si="167"/>
        <v>1</v>
      </c>
      <c r="Q1432" s="144">
        <f t="shared" ca="1" si="167"/>
        <v>0.76722418290624528</v>
      </c>
    </row>
    <row r="1433" spans="1:17" x14ac:dyDescent="0.25">
      <c r="A1433" s="145">
        <v>41337</v>
      </c>
      <c r="B1433" s="144">
        <v>1.3007</v>
      </c>
      <c r="C1433" s="144">
        <v>39.998699999999999</v>
      </c>
      <c r="D1433" s="144">
        <v>7.4455</v>
      </c>
      <c r="E1433" s="144">
        <v>121.67</v>
      </c>
      <c r="F1433" s="144">
        <v>0.86399999999999999</v>
      </c>
      <c r="G1433" s="144">
        <v>1.2256</v>
      </c>
      <c r="I1433" s="144">
        <v>1</v>
      </c>
      <c r="J1433" s="145">
        <f t="shared" si="165"/>
        <v>41337</v>
      </c>
      <c r="K1433" s="144">
        <f t="shared" ca="1" si="167"/>
        <v>0.94226185899900061</v>
      </c>
      <c r="L1433" s="144">
        <f t="shared" ca="1" si="167"/>
        <v>0.66425770738832934</v>
      </c>
      <c r="M1433" s="144">
        <f t="shared" ca="1" si="167"/>
        <v>93.541938955946804</v>
      </c>
      <c r="N1433" s="144">
        <f t="shared" ca="1" si="167"/>
        <v>5.7242254170831091</v>
      </c>
      <c r="O1433" s="144">
        <f t="shared" ca="1" si="167"/>
        <v>30.751672176520337</v>
      </c>
      <c r="P1433" s="144">
        <f t="shared" ca="1" si="167"/>
        <v>1</v>
      </c>
      <c r="Q1433" s="144">
        <f t="shared" ca="1" si="167"/>
        <v>0.76881679095871458</v>
      </c>
    </row>
    <row r="1434" spans="1:17" x14ac:dyDescent="0.25">
      <c r="A1434" s="145">
        <v>41336</v>
      </c>
      <c r="B1434" s="144">
        <v>1.3</v>
      </c>
      <c r="C1434" s="144">
        <v>39.975000000000001</v>
      </c>
      <c r="D1434" s="144">
        <v>7.4855</v>
      </c>
      <c r="E1434" s="144">
        <v>120.53</v>
      </c>
      <c r="F1434" s="144">
        <v>0.86470000000000002</v>
      </c>
      <c r="G1434" s="144">
        <v>1.2244999999999999</v>
      </c>
      <c r="I1434" s="144">
        <v>1</v>
      </c>
      <c r="J1434" s="145">
        <f t="shared" si="165"/>
        <v>41336</v>
      </c>
      <c r="K1434" s="144">
        <f t="shared" ca="1" si="167"/>
        <v>0.94192307692307686</v>
      </c>
      <c r="L1434" s="144">
        <f t="shared" ca="1" si="167"/>
        <v>0.6651538461538461</v>
      </c>
      <c r="M1434" s="144">
        <f t="shared" ca="1" si="167"/>
        <v>92.715384615384608</v>
      </c>
      <c r="N1434" s="144">
        <f t="shared" ca="1" si="167"/>
        <v>5.7580769230769233</v>
      </c>
      <c r="O1434" s="144">
        <f t="shared" ca="1" si="167"/>
        <v>30.75</v>
      </c>
      <c r="P1434" s="144">
        <f t="shared" ca="1" si="167"/>
        <v>1</v>
      </c>
      <c r="Q1434" s="144">
        <f t="shared" ca="1" si="167"/>
        <v>0.76923076923076916</v>
      </c>
    </row>
    <row r="1435" spans="1:17" x14ac:dyDescent="0.25">
      <c r="A1435" s="145">
        <v>41335</v>
      </c>
      <c r="B1435" s="144">
        <v>1.3</v>
      </c>
      <c r="C1435" s="144">
        <v>39.975000000000001</v>
      </c>
      <c r="D1435" s="144">
        <v>7.4855</v>
      </c>
      <c r="E1435" s="144">
        <v>120.53</v>
      </c>
      <c r="F1435" s="144">
        <v>0.86470000000000002</v>
      </c>
      <c r="G1435" s="144">
        <v>1.2244999999999999</v>
      </c>
      <c r="I1435" s="144">
        <v>1</v>
      </c>
      <c r="J1435" s="145">
        <f t="shared" si="165"/>
        <v>41335</v>
      </c>
      <c r="K1435" s="144">
        <f t="shared" ref="K1435:Q1444" ca="1" si="168">OFFSET($A1435,0,K$3)/OFFSET($A1435,0,$P$3)</f>
        <v>0.94192307692307686</v>
      </c>
      <c r="L1435" s="144">
        <f t="shared" ca="1" si="168"/>
        <v>0.6651538461538461</v>
      </c>
      <c r="M1435" s="144">
        <f t="shared" ca="1" si="168"/>
        <v>92.715384615384608</v>
      </c>
      <c r="N1435" s="144">
        <f t="shared" ca="1" si="168"/>
        <v>5.7580769230769233</v>
      </c>
      <c r="O1435" s="144">
        <f t="shared" ca="1" si="168"/>
        <v>30.75</v>
      </c>
      <c r="P1435" s="144">
        <f t="shared" ca="1" si="168"/>
        <v>1</v>
      </c>
      <c r="Q1435" s="144">
        <f t="shared" ca="1" si="168"/>
        <v>0.76923076923076916</v>
      </c>
    </row>
    <row r="1436" spans="1:17" x14ac:dyDescent="0.25">
      <c r="A1436" s="145">
        <v>41334</v>
      </c>
      <c r="B1436" s="144">
        <v>1.3</v>
      </c>
      <c r="C1436" s="144">
        <v>39.975000000000001</v>
      </c>
      <c r="D1436" s="144">
        <v>7.4855</v>
      </c>
      <c r="E1436" s="144">
        <v>120.53</v>
      </c>
      <c r="F1436" s="144">
        <v>0.86470000000000002</v>
      </c>
      <c r="G1436" s="144">
        <v>1.2244999999999999</v>
      </c>
      <c r="I1436" s="144">
        <v>1</v>
      </c>
      <c r="J1436" s="145">
        <f t="shared" si="165"/>
        <v>41334</v>
      </c>
      <c r="K1436" s="144">
        <f t="shared" ca="1" si="168"/>
        <v>0.94192307692307686</v>
      </c>
      <c r="L1436" s="144">
        <f t="shared" ca="1" si="168"/>
        <v>0.6651538461538461</v>
      </c>
      <c r="M1436" s="144">
        <f t="shared" ca="1" si="168"/>
        <v>92.715384615384608</v>
      </c>
      <c r="N1436" s="144">
        <f t="shared" ca="1" si="168"/>
        <v>5.7580769230769233</v>
      </c>
      <c r="O1436" s="144">
        <f t="shared" ca="1" si="168"/>
        <v>30.75</v>
      </c>
      <c r="P1436" s="144">
        <f t="shared" ca="1" si="168"/>
        <v>1</v>
      </c>
      <c r="Q1436" s="144">
        <f t="shared" ca="1" si="168"/>
        <v>0.76923076923076916</v>
      </c>
    </row>
    <row r="1437" spans="1:17" x14ac:dyDescent="0.25">
      <c r="A1437" s="145">
        <v>41333</v>
      </c>
      <c r="B1437" s="144">
        <v>1.3129</v>
      </c>
      <c r="C1437" s="144">
        <v>40.083300000000001</v>
      </c>
      <c r="D1437" s="144">
        <v>7.4870000000000001</v>
      </c>
      <c r="E1437" s="144">
        <v>121.07</v>
      </c>
      <c r="F1437" s="144">
        <v>0.86299999999999999</v>
      </c>
      <c r="G1437" s="144">
        <v>1.2209000000000001</v>
      </c>
      <c r="I1437" s="144">
        <v>1</v>
      </c>
      <c r="J1437" s="145">
        <f t="shared" si="165"/>
        <v>41333</v>
      </c>
      <c r="K1437" s="144">
        <f t="shared" ca="1" si="168"/>
        <v>0.92992611775458922</v>
      </c>
      <c r="L1437" s="144">
        <f t="shared" ca="1" si="168"/>
        <v>0.65732348236727856</v>
      </c>
      <c r="M1437" s="144">
        <f t="shared" ca="1" si="168"/>
        <v>92.215705689694573</v>
      </c>
      <c r="N1437" s="144">
        <f t="shared" ca="1" si="168"/>
        <v>5.7026430040368652</v>
      </c>
      <c r="O1437" s="144">
        <f t="shared" ca="1" si="168"/>
        <v>30.530352654429127</v>
      </c>
      <c r="P1437" s="144">
        <f t="shared" ca="1" si="168"/>
        <v>1</v>
      </c>
      <c r="Q1437" s="144">
        <f t="shared" ca="1" si="168"/>
        <v>0.76167263310229261</v>
      </c>
    </row>
    <row r="1438" spans="1:17" x14ac:dyDescent="0.25">
      <c r="A1438" s="145">
        <v>41332</v>
      </c>
      <c r="B1438" s="144">
        <v>1.3097000000000001</v>
      </c>
      <c r="C1438" s="144">
        <v>40.024000000000001</v>
      </c>
      <c r="D1438" s="144">
        <v>7.4669999999999996</v>
      </c>
      <c r="E1438" s="144">
        <v>120.06</v>
      </c>
      <c r="F1438" s="144">
        <v>0.86404999999999998</v>
      </c>
      <c r="G1438" s="144">
        <v>1.2177</v>
      </c>
      <c r="I1438" s="144">
        <v>1</v>
      </c>
      <c r="J1438" s="145">
        <f t="shared" si="165"/>
        <v>41332</v>
      </c>
      <c r="K1438" s="144">
        <f t="shared" ca="1" si="168"/>
        <v>0.9297549057035962</v>
      </c>
      <c r="L1438" s="144">
        <f t="shared" ca="1" si="168"/>
        <v>0.65973123616095286</v>
      </c>
      <c r="M1438" s="144">
        <f t="shared" ca="1" si="168"/>
        <v>91.669848056806899</v>
      </c>
      <c r="N1438" s="144">
        <f t="shared" ca="1" si="168"/>
        <v>5.7013056425135522</v>
      </c>
      <c r="O1438" s="144">
        <f t="shared" ca="1" si="168"/>
        <v>30.559670153470258</v>
      </c>
      <c r="P1438" s="144">
        <f t="shared" ca="1" si="168"/>
        <v>1</v>
      </c>
      <c r="Q1438" s="144">
        <f t="shared" ca="1" si="168"/>
        <v>0.76353363365656257</v>
      </c>
    </row>
    <row r="1439" spans="1:17" x14ac:dyDescent="0.25">
      <c r="A1439" s="145">
        <v>41331</v>
      </c>
      <c r="B1439" s="144">
        <v>1.3077000000000001</v>
      </c>
      <c r="C1439" s="144">
        <v>40.0105</v>
      </c>
      <c r="D1439" s="144">
        <v>7.4595000000000002</v>
      </c>
      <c r="E1439" s="144">
        <v>120.2</v>
      </c>
      <c r="F1439" s="144">
        <v>0.86329999999999996</v>
      </c>
      <c r="G1439" s="144">
        <v>1.2166999999999999</v>
      </c>
      <c r="I1439" s="144">
        <v>1</v>
      </c>
      <c r="J1439" s="145">
        <f t="shared" si="165"/>
        <v>41331</v>
      </c>
      <c r="K1439" s="144">
        <f t="shared" ca="1" si="168"/>
        <v>0.93041217404603493</v>
      </c>
      <c r="L1439" s="144">
        <f t="shared" ca="1" si="168"/>
        <v>0.66016670490173579</v>
      </c>
      <c r="M1439" s="144">
        <f t="shared" ca="1" si="168"/>
        <v>91.917106369962525</v>
      </c>
      <c r="N1439" s="144">
        <f t="shared" ca="1" si="168"/>
        <v>5.7042899747648539</v>
      </c>
      <c r="O1439" s="144">
        <f t="shared" ca="1" si="168"/>
        <v>30.596084728913358</v>
      </c>
      <c r="P1439" s="144">
        <f t="shared" ca="1" si="168"/>
        <v>1</v>
      </c>
      <c r="Q1439" s="144">
        <f t="shared" ca="1" si="168"/>
        <v>0.76470138410950517</v>
      </c>
    </row>
    <row r="1440" spans="1:17" x14ac:dyDescent="0.25">
      <c r="A1440" s="145">
        <v>41330</v>
      </c>
      <c r="B1440" s="144">
        <v>1.3304</v>
      </c>
      <c r="C1440" s="144">
        <v>40.234999999999999</v>
      </c>
      <c r="D1440" s="144">
        <v>7.4675000000000002</v>
      </c>
      <c r="E1440" s="144">
        <v>125</v>
      </c>
      <c r="F1440" s="144">
        <v>0.87890000000000001</v>
      </c>
      <c r="G1440" s="144">
        <v>1.2304999999999999</v>
      </c>
      <c r="I1440" s="144">
        <v>1</v>
      </c>
      <c r="J1440" s="145">
        <f t="shared" si="165"/>
        <v>41330</v>
      </c>
      <c r="K1440" s="144">
        <f t="shared" ca="1" si="168"/>
        <v>0.92490980156343949</v>
      </c>
      <c r="L1440" s="144">
        <f t="shared" ca="1" si="168"/>
        <v>0.66062838244137101</v>
      </c>
      <c r="M1440" s="144">
        <f t="shared" ca="1" si="168"/>
        <v>93.956704750450996</v>
      </c>
      <c r="N1440" s="144">
        <f t="shared" ca="1" si="168"/>
        <v>5.6129735417919422</v>
      </c>
      <c r="O1440" s="144">
        <f t="shared" ca="1" si="168"/>
        <v>30.242784125075165</v>
      </c>
      <c r="P1440" s="144">
        <f t="shared" ca="1" si="168"/>
        <v>1</v>
      </c>
      <c r="Q1440" s="144">
        <f t="shared" ca="1" si="168"/>
        <v>0.75165363800360796</v>
      </c>
    </row>
    <row r="1441" spans="1:17" x14ac:dyDescent="0.25">
      <c r="A1441" s="145">
        <v>41329</v>
      </c>
      <c r="B1441" s="144">
        <v>1.3186</v>
      </c>
      <c r="C1441" s="144">
        <v>40.06</v>
      </c>
      <c r="D1441" s="144">
        <v>7.4669999999999996</v>
      </c>
      <c r="E1441" s="144">
        <v>122.98</v>
      </c>
      <c r="F1441" s="144">
        <v>0.86204999999999998</v>
      </c>
      <c r="G1441" s="144">
        <v>1.2272000000000001</v>
      </c>
      <c r="I1441" s="144">
        <v>1</v>
      </c>
      <c r="J1441" s="145">
        <f t="shared" si="165"/>
        <v>41329</v>
      </c>
      <c r="K1441" s="144">
        <f t="shared" ca="1" si="168"/>
        <v>0.93068405885029581</v>
      </c>
      <c r="L1441" s="144">
        <f t="shared" ca="1" si="168"/>
        <v>0.65376156529652663</v>
      </c>
      <c r="M1441" s="144">
        <f t="shared" ca="1" si="168"/>
        <v>93.265584711057187</v>
      </c>
      <c r="N1441" s="144">
        <f t="shared" ca="1" si="168"/>
        <v>5.662824207492795</v>
      </c>
      <c r="O1441" s="144">
        <f t="shared" ca="1" si="168"/>
        <v>30.380706810253301</v>
      </c>
      <c r="P1441" s="144">
        <f t="shared" ca="1" si="168"/>
        <v>1</v>
      </c>
      <c r="Q1441" s="144">
        <f t="shared" ca="1" si="168"/>
        <v>0.75838010010617318</v>
      </c>
    </row>
    <row r="1442" spans="1:17" x14ac:dyDescent="0.25">
      <c r="A1442" s="145">
        <v>41328</v>
      </c>
      <c r="B1442" s="144">
        <v>1.3186</v>
      </c>
      <c r="C1442" s="144">
        <v>40.06</v>
      </c>
      <c r="D1442" s="144">
        <v>7.4669999999999996</v>
      </c>
      <c r="E1442" s="144">
        <v>122.98</v>
      </c>
      <c r="F1442" s="144">
        <v>0.86204999999999998</v>
      </c>
      <c r="G1442" s="144">
        <v>1.2272000000000001</v>
      </c>
      <c r="I1442" s="144">
        <v>1</v>
      </c>
      <c r="J1442" s="145">
        <f t="shared" si="165"/>
        <v>41328</v>
      </c>
      <c r="K1442" s="144">
        <f t="shared" ca="1" si="168"/>
        <v>0.93068405885029581</v>
      </c>
      <c r="L1442" s="144">
        <f t="shared" ca="1" si="168"/>
        <v>0.65376156529652663</v>
      </c>
      <c r="M1442" s="144">
        <f t="shared" ca="1" si="168"/>
        <v>93.265584711057187</v>
      </c>
      <c r="N1442" s="144">
        <f t="shared" ca="1" si="168"/>
        <v>5.662824207492795</v>
      </c>
      <c r="O1442" s="144">
        <f t="shared" ca="1" si="168"/>
        <v>30.380706810253301</v>
      </c>
      <c r="P1442" s="144">
        <f t="shared" ca="1" si="168"/>
        <v>1</v>
      </c>
      <c r="Q1442" s="144">
        <f t="shared" ca="1" si="168"/>
        <v>0.75838010010617318</v>
      </c>
    </row>
    <row r="1443" spans="1:17" x14ac:dyDescent="0.25">
      <c r="A1443" s="145">
        <v>41327</v>
      </c>
      <c r="B1443" s="144">
        <v>1.3186</v>
      </c>
      <c r="C1443" s="144">
        <v>40.06</v>
      </c>
      <c r="D1443" s="144">
        <v>7.4669999999999996</v>
      </c>
      <c r="E1443" s="144">
        <v>122.98</v>
      </c>
      <c r="F1443" s="144">
        <v>0.86204999999999998</v>
      </c>
      <c r="G1443" s="144">
        <v>1.2272000000000001</v>
      </c>
      <c r="I1443" s="144">
        <v>1</v>
      </c>
      <c r="J1443" s="145">
        <f t="shared" si="165"/>
        <v>41327</v>
      </c>
      <c r="K1443" s="144">
        <f t="shared" ca="1" si="168"/>
        <v>0.93068405885029581</v>
      </c>
      <c r="L1443" s="144">
        <f t="shared" ca="1" si="168"/>
        <v>0.65376156529652663</v>
      </c>
      <c r="M1443" s="144">
        <f t="shared" ca="1" si="168"/>
        <v>93.265584711057187</v>
      </c>
      <c r="N1443" s="144">
        <f t="shared" ca="1" si="168"/>
        <v>5.662824207492795</v>
      </c>
      <c r="O1443" s="144">
        <f t="shared" ca="1" si="168"/>
        <v>30.380706810253301</v>
      </c>
      <c r="P1443" s="144">
        <f t="shared" ca="1" si="168"/>
        <v>1</v>
      </c>
      <c r="Q1443" s="144">
        <f t="shared" ca="1" si="168"/>
        <v>0.75838010010617318</v>
      </c>
    </row>
    <row r="1444" spans="1:17" x14ac:dyDescent="0.25">
      <c r="A1444" s="145">
        <v>41326</v>
      </c>
      <c r="B1444" s="144">
        <v>1.3186</v>
      </c>
      <c r="C1444" s="144">
        <v>40.067999999999998</v>
      </c>
      <c r="D1444" s="144">
        <v>7.4755000000000003</v>
      </c>
      <c r="E1444" s="144">
        <v>122.85</v>
      </c>
      <c r="F1444" s="144">
        <v>0.86419999999999997</v>
      </c>
      <c r="G1444" s="144">
        <v>1.2290000000000001</v>
      </c>
      <c r="I1444" s="144">
        <v>1</v>
      </c>
      <c r="J1444" s="145">
        <f t="shared" si="165"/>
        <v>41326</v>
      </c>
      <c r="K1444" s="144">
        <f t="shared" ca="1" si="168"/>
        <v>0.93204914303048692</v>
      </c>
      <c r="L1444" s="144">
        <f t="shared" ca="1" si="168"/>
        <v>0.65539208251175485</v>
      </c>
      <c r="M1444" s="144">
        <f t="shared" ca="1" si="168"/>
        <v>93.166995298043375</v>
      </c>
      <c r="N1444" s="144">
        <f t="shared" ca="1" si="168"/>
        <v>5.6692704383436983</v>
      </c>
      <c r="O1444" s="144">
        <f t="shared" ca="1" si="168"/>
        <v>30.386773851054148</v>
      </c>
      <c r="P1444" s="144">
        <f t="shared" ca="1" si="168"/>
        <v>1</v>
      </c>
      <c r="Q1444" s="144">
        <f t="shared" ca="1" si="168"/>
        <v>0.75838010010617318</v>
      </c>
    </row>
    <row r="1445" spans="1:17" x14ac:dyDescent="0.25">
      <c r="A1445" s="145">
        <v>41325</v>
      </c>
      <c r="B1445" s="144">
        <v>1.337</v>
      </c>
      <c r="C1445" s="144">
        <v>40.230200000000004</v>
      </c>
      <c r="D1445" s="144">
        <v>7.4065000000000003</v>
      </c>
      <c r="E1445" s="144">
        <v>125.09</v>
      </c>
      <c r="F1445" s="144">
        <v>0.87329999999999997</v>
      </c>
      <c r="G1445" s="144">
        <v>1.2346999999999999</v>
      </c>
      <c r="I1445" s="144">
        <v>1</v>
      </c>
      <c r="J1445" s="145">
        <f t="shared" si="165"/>
        <v>41325</v>
      </c>
      <c r="K1445" s="144">
        <f t="shared" ref="K1445:Q1454" ca="1" si="169">OFFSET($A1445,0,K$3)/OFFSET($A1445,0,$P$3)</f>
        <v>0.92348541510845172</v>
      </c>
      <c r="L1445" s="144">
        <f t="shared" ca="1" si="169"/>
        <v>0.65317875841436046</v>
      </c>
      <c r="M1445" s="144">
        <f t="shared" ca="1" si="169"/>
        <v>93.56020942408378</v>
      </c>
      <c r="N1445" s="144">
        <f t="shared" ca="1" si="169"/>
        <v>5.539640987284967</v>
      </c>
      <c r="O1445" s="144">
        <f t="shared" ca="1" si="169"/>
        <v>30.089902767389681</v>
      </c>
      <c r="P1445" s="144">
        <f t="shared" ca="1" si="169"/>
        <v>1</v>
      </c>
      <c r="Q1445" s="144">
        <f t="shared" ca="1" si="169"/>
        <v>0.74794315632011965</v>
      </c>
    </row>
    <row r="1446" spans="1:17" x14ac:dyDescent="0.25">
      <c r="A1446" s="145">
        <v>41324</v>
      </c>
      <c r="B1446" s="144">
        <v>1.3349</v>
      </c>
      <c r="C1446" s="144">
        <v>40.21</v>
      </c>
      <c r="D1446" s="144">
        <v>7.4169999999999998</v>
      </c>
      <c r="E1446" s="144">
        <v>124.81</v>
      </c>
      <c r="F1446" s="144">
        <v>0.86309999999999998</v>
      </c>
      <c r="G1446" s="144">
        <v>1.2332000000000001</v>
      </c>
      <c r="I1446" s="144">
        <v>1</v>
      </c>
      <c r="J1446" s="145">
        <f t="shared" si="165"/>
        <v>41324</v>
      </c>
      <c r="K1446" s="144">
        <f t="shared" ca="1" si="169"/>
        <v>0.92381451794141889</v>
      </c>
      <c r="L1446" s="144">
        <f t="shared" ca="1" si="169"/>
        <v>0.6465652857891977</v>
      </c>
      <c r="M1446" s="144">
        <f t="shared" ca="1" si="169"/>
        <v>93.497640272679604</v>
      </c>
      <c r="N1446" s="144">
        <f t="shared" ca="1" si="169"/>
        <v>5.5562214398082252</v>
      </c>
      <c r="O1446" s="144">
        <f t="shared" ca="1" si="169"/>
        <v>30.12210652483332</v>
      </c>
      <c r="P1446" s="144">
        <f t="shared" ca="1" si="169"/>
        <v>1</v>
      </c>
      <c r="Q1446" s="144">
        <f t="shared" ca="1" si="169"/>
        <v>0.74911978425350212</v>
      </c>
    </row>
    <row r="1447" spans="1:17" x14ac:dyDescent="0.25">
      <c r="A1447" s="145">
        <v>41323</v>
      </c>
      <c r="B1447" s="144">
        <v>1.3351999999999999</v>
      </c>
      <c r="C1447" s="144">
        <v>40.229999999999997</v>
      </c>
      <c r="D1447" s="144">
        <v>7.407</v>
      </c>
      <c r="E1447" s="144">
        <v>125.24</v>
      </c>
      <c r="F1447" s="144">
        <v>0.8619</v>
      </c>
      <c r="G1447" s="144">
        <v>1.2332000000000001</v>
      </c>
      <c r="I1447" s="144">
        <v>1</v>
      </c>
      <c r="J1447" s="145">
        <f t="shared" si="165"/>
        <v>41323</v>
      </c>
      <c r="K1447" s="144">
        <f t="shared" ca="1" si="169"/>
        <v>0.92360695026962258</v>
      </c>
      <c r="L1447" s="144">
        <f t="shared" ca="1" si="169"/>
        <v>0.6455212702216897</v>
      </c>
      <c r="M1447" s="144">
        <f t="shared" ca="1" si="169"/>
        <v>93.798681845416411</v>
      </c>
      <c r="N1447" s="144">
        <f t="shared" ca="1" si="169"/>
        <v>5.5474835230677053</v>
      </c>
      <c r="O1447" s="144">
        <f t="shared" ca="1" si="169"/>
        <v>30.130317555422408</v>
      </c>
      <c r="P1447" s="144">
        <f t="shared" ca="1" si="169"/>
        <v>1</v>
      </c>
      <c r="Q1447" s="144">
        <f t="shared" ca="1" si="169"/>
        <v>0.74895146794487721</v>
      </c>
    </row>
    <row r="1448" spans="1:17" x14ac:dyDescent="0.25">
      <c r="A1448" s="145">
        <v>41322</v>
      </c>
      <c r="B1448" s="144">
        <v>1.3325</v>
      </c>
      <c r="C1448" s="144">
        <v>40.155000000000001</v>
      </c>
      <c r="D1448" s="144">
        <v>7.3944999999999999</v>
      </c>
      <c r="E1448" s="144">
        <v>124.03</v>
      </c>
      <c r="F1448" s="144">
        <v>0.86040000000000005</v>
      </c>
      <c r="G1448" s="144">
        <v>1.2302999999999999</v>
      </c>
      <c r="I1448" s="144">
        <v>1</v>
      </c>
      <c r="J1448" s="145">
        <f t="shared" si="165"/>
        <v>41322</v>
      </c>
      <c r="K1448" s="144">
        <f t="shared" ca="1" si="169"/>
        <v>0.92330206378986857</v>
      </c>
      <c r="L1448" s="144">
        <f t="shared" ca="1" si="169"/>
        <v>0.64570356472795498</v>
      </c>
      <c r="M1448" s="144">
        <f t="shared" ca="1" si="169"/>
        <v>93.080675422138839</v>
      </c>
      <c r="N1448" s="144">
        <f t="shared" ca="1" si="169"/>
        <v>5.5493433395872422</v>
      </c>
      <c r="O1448" s="144">
        <f t="shared" ca="1" si="169"/>
        <v>30.135084427767357</v>
      </c>
      <c r="P1448" s="144">
        <f t="shared" ca="1" si="169"/>
        <v>1</v>
      </c>
      <c r="Q1448" s="144">
        <f t="shared" ca="1" si="169"/>
        <v>0.75046904315196994</v>
      </c>
    </row>
    <row r="1449" spans="1:17" x14ac:dyDescent="0.25">
      <c r="A1449" s="145">
        <v>41321</v>
      </c>
      <c r="B1449" s="144">
        <v>1.3325</v>
      </c>
      <c r="C1449" s="144">
        <v>40.155000000000001</v>
      </c>
      <c r="D1449" s="144">
        <v>7.3944999999999999</v>
      </c>
      <c r="E1449" s="144">
        <v>124.03</v>
      </c>
      <c r="F1449" s="144">
        <v>0.86040000000000005</v>
      </c>
      <c r="G1449" s="144">
        <v>1.2302999999999999</v>
      </c>
      <c r="I1449" s="144">
        <v>1</v>
      </c>
      <c r="J1449" s="145">
        <f t="shared" si="165"/>
        <v>41321</v>
      </c>
      <c r="K1449" s="144">
        <f t="shared" ca="1" si="169"/>
        <v>0.92330206378986857</v>
      </c>
      <c r="L1449" s="144">
        <f t="shared" ca="1" si="169"/>
        <v>0.64570356472795498</v>
      </c>
      <c r="M1449" s="144">
        <f t="shared" ca="1" si="169"/>
        <v>93.080675422138839</v>
      </c>
      <c r="N1449" s="144">
        <f t="shared" ca="1" si="169"/>
        <v>5.5493433395872422</v>
      </c>
      <c r="O1449" s="144">
        <f t="shared" ca="1" si="169"/>
        <v>30.135084427767357</v>
      </c>
      <c r="P1449" s="144">
        <f t="shared" ca="1" si="169"/>
        <v>1</v>
      </c>
      <c r="Q1449" s="144">
        <f t="shared" ca="1" si="169"/>
        <v>0.75046904315196994</v>
      </c>
    </row>
    <row r="1450" spans="1:17" x14ac:dyDescent="0.25">
      <c r="A1450" s="145">
        <v>41320</v>
      </c>
      <c r="B1450" s="144">
        <v>1.3325</v>
      </c>
      <c r="C1450" s="144">
        <v>40.155000000000001</v>
      </c>
      <c r="D1450" s="144">
        <v>7.3944999999999999</v>
      </c>
      <c r="E1450" s="144">
        <v>124.03</v>
      </c>
      <c r="F1450" s="144">
        <v>0.86040000000000005</v>
      </c>
      <c r="G1450" s="144">
        <v>1.2302999999999999</v>
      </c>
      <c r="I1450" s="144">
        <v>1</v>
      </c>
      <c r="J1450" s="145">
        <f t="shared" si="165"/>
        <v>41320</v>
      </c>
      <c r="K1450" s="144">
        <f t="shared" ca="1" si="169"/>
        <v>0.92330206378986857</v>
      </c>
      <c r="L1450" s="144">
        <f t="shared" ca="1" si="169"/>
        <v>0.64570356472795498</v>
      </c>
      <c r="M1450" s="144">
        <f t="shared" ca="1" si="169"/>
        <v>93.080675422138839</v>
      </c>
      <c r="N1450" s="144">
        <f t="shared" ca="1" si="169"/>
        <v>5.5493433395872422</v>
      </c>
      <c r="O1450" s="144">
        <f t="shared" ca="1" si="169"/>
        <v>30.135084427767357</v>
      </c>
      <c r="P1450" s="144">
        <f t="shared" ca="1" si="169"/>
        <v>1</v>
      </c>
      <c r="Q1450" s="144">
        <f t="shared" ca="1" si="169"/>
        <v>0.75046904315196994</v>
      </c>
    </row>
    <row r="1451" spans="1:17" x14ac:dyDescent="0.25">
      <c r="A1451" s="145">
        <v>41319</v>
      </c>
      <c r="B1451" s="144">
        <v>1.3327</v>
      </c>
      <c r="C1451" s="144">
        <v>40.171199999999999</v>
      </c>
      <c r="D1451" s="144">
        <v>7.3605</v>
      </c>
      <c r="E1451" s="144">
        <v>124.39</v>
      </c>
      <c r="F1451" s="144">
        <v>0.85940000000000005</v>
      </c>
      <c r="G1451" s="144">
        <v>1.2293000000000001</v>
      </c>
      <c r="I1451" s="144">
        <v>1</v>
      </c>
      <c r="J1451" s="145">
        <f t="shared" si="165"/>
        <v>41319</v>
      </c>
      <c r="K1451" s="144">
        <f t="shared" ca="1" si="169"/>
        <v>0.92241314624446613</v>
      </c>
      <c r="L1451" s="144">
        <f t="shared" ca="1" si="169"/>
        <v>0.64485630674570427</v>
      </c>
      <c r="M1451" s="144">
        <f t="shared" ca="1" si="169"/>
        <v>93.336834996623395</v>
      </c>
      <c r="N1451" s="144">
        <f t="shared" ca="1" si="169"/>
        <v>5.5229984242515195</v>
      </c>
      <c r="O1451" s="144">
        <f t="shared" ca="1" si="169"/>
        <v>30.142717790950702</v>
      </c>
      <c r="P1451" s="144">
        <f t="shared" ca="1" si="169"/>
        <v>1</v>
      </c>
      <c r="Q1451" s="144">
        <f t="shared" ca="1" si="169"/>
        <v>0.75035641929916708</v>
      </c>
    </row>
    <row r="1452" spans="1:17" x14ac:dyDescent="0.25">
      <c r="A1452" s="145">
        <v>41318</v>
      </c>
      <c r="B1452" s="144">
        <v>1.3480000000000001</v>
      </c>
      <c r="C1452" s="144">
        <v>40.491999999999997</v>
      </c>
      <c r="D1452" s="144">
        <v>7.3710000000000004</v>
      </c>
      <c r="E1452" s="144">
        <v>125.95</v>
      </c>
      <c r="F1452" s="144">
        <v>0.86599999999999999</v>
      </c>
      <c r="G1452" s="144">
        <v>1.2364999999999999</v>
      </c>
      <c r="I1452" s="144">
        <v>1</v>
      </c>
      <c r="J1452" s="145">
        <f t="shared" si="165"/>
        <v>41318</v>
      </c>
      <c r="K1452" s="144">
        <f t="shared" ca="1" si="169"/>
        <v>0.91728486646884266</v>
      </c>
      <c r="L1452" s="144">
        <f t="shared" ca="1" si="169"/>
        <v>0.64243323442136491</v>
      </c>
      <c r="M1452" s="144">
        <f t="shared" ca="1" si="169"/>
        <v>93.434718100890208</v>
      </c>
      <c r="N1452" s="144">
        <f t="shared" ca="1" si="169"/>
        <v>5.4681008902077153</v>
      </c>
      <c r="O1452" s="144">
        <f t="shared" ca="1" si="169"/>
        <v>30.038575667655781</v>
      </c>
      <c r="P1452" s="144">
        <f t="shared" ca="1" si="169"/>
        <v>1</v>
      </c>
      <c r="Q1452" s="144">
        <f t="shared" ca="1" si="169"/>
        <v>0.74183976261127593</v>
      </c>
    </row>
    <row r="1453" spans="1:17" x14ac:dyDescent="0.25">
      <c r="A1453" s="145">
        <v>41317</v>
      </c>
      <c r="B1453" s="144">
        <v>1.3438000000000001</v>
      </c>
      <c r="C1453" s="144">
        <v>40.44</v>
      </c>
      <c r="D1453" s="144">
        <v>7.3869999999999996</v>
      </c>
      <c r="E1453" s="144">
        <v>126.6</v>
      </c>
      <c r="F1453" s="144">
        <v>0.86150000000000004</v>
      </c>
      <c r="G1453" s="144">
        <v>1.2327999999999999</v>
      </c>
      <c r="I1453" s="144">
        <v>1</v>
      </c>
      <c r="J1453" s="145">
        <f t="shared" si="165"/>
        <v>41317</v>
      </c>
      <c r="K1453" s="144">
        <f t="shared" ca="1" si="169"/>
        <v>0.91739842238428326</v>
      </c>
      <c r="L1453" s="144">
        <f t="shared" ca="1" si="169"/>
        <v>0.6410924244679268</v>
      </c>
      <c r="M1453" s="144">
        <f t="shared" ca="1" si="169"/>
        <v>94.210447983330837</v>
      </c>
      <c r="N1453" s="144">
        <f t="shared" ca="1" si="169"/>
        <v>5.4970977824080958</v>
      </c>
      <c r="O1453" s="144">
        <f t="shared" ca="1" si="169"/>
        <v>30.093763952969187</v>
      </c>
      <c r="P1453" s="144">
        <f t="shared" ca="1" si="169"/>
        <v>1</v>
      </c>
      <c r="Q1453" s="144">
        <f t="shared" ca="1" si="169"/>
        <v>0.74415835689834786</v>
      </c>
    </row>
    <row r="1454" spans="1:17" x14ac:dyDescent="0.25">
      <c r="A1454" s="145">
        <v>41316</v>
      </c>
      <c r="B1454" s="144">
        <v>1.3391</v>
      </c>
      <c r="C1454" s="144">
        <v>40.4</v>
      </c>
      <c r="D1454" s="144">
        <v>7.3795000000000002</v>
      </c>
      <c r="E1454" s="144">
        <v>125.12</v>
      </c>
      <c r="F1454" s="144">
        <v>0.85350000000000004</v>
      </c>
      <c r="G1454" s="144">
        <v>1.2294</v>
      </c>
      <c r="I1454" s="144">
        <v>1</v>
      </c>
      <c r="J1454" s="145">
        <f t="shared" si="165"/>
        <v>41316</v>
      </c>
      <c r="K1454" s="144">
        <f t="shared" ca="1" si="169"/>
        <v>0.91807930699723705</v>
      </c>
      <c r="L1454" s="144">
        <f t="shared" ca="1" si="169"/>
        <v>0.63736838174893595</v>
      </c>
      <c r="M1454" s="144">
        <f t="shared" ca="1" si="169"/>
        <v>93.435889776715712</v>
      </c>
      <c r="N1454" s="144">
        <f t="shared" ca="1" si="169"/>
        <v>5.5107908296617136</v>
      </c>
      <c r="O1454" s="144">
        <f t="shared" ca="1" si="169"/>
        <v>30.169516839668432</v>
      </c>
      <c r="P1454" s="144">
        <f t="shared" ca="1" si="169"/>
        <v>1</v>
      </c>
      <c r="Q1454" s="144">
        <f t="shared" ca="1" si="169"/>
        <v>0.74677021880367411</v>
      </c>
    </row>
    <row r="1455" spans="1:17" x14ac:dyDescent="0.25">
      <c r="A1455" s="145">
        <v>41315</v>
      </c>
      <c r="B1455" s="144">
        <v>1.3373999999999999</v>
      </c>
      <c r="C1455" s="144">
        <v>40.384</v>
      </c>
      <c r="D1455" s="144">
        <v>7.391</v>
      </c>
      <c r="E1455" s="144">
        <v>123.52</v>
      </c>
      <c r="F1455" s="144">
        <v>0.84635000000000005</v>
      </c>
      <c r="G1455" s="144">
        <v>1.2282</v>
      </c>
      <c r="I1455" s="144">
        <v>1</v>
      </c>
      <c r="J1455" s="145">
        <f t="shared" si="165"/>
        <v>41315</v>
      </c>
      <c r="K1455" s="144">
        <f t="shared" ref="K1455:Q1464" ca="1" si="170">OFFSET($A1455,0,K$3)/OFFSET($A1455,0,$P$3)</f>
        <v>0.91834903544190227</v>
      </c>
      <c r="L1455" s="144">
        <f t="shared" ca="1" si="170"/>
        <v>0.6328323612980411</v>
      </c>
      <c r="M1455" s="144">
        <f t="shared" ca="1" si="170"/>
        <v>92.358307163152389</v>
      </c>
      <c r="N1455" s="144">
        <f t="shared" ca="1" si="170"/>
        <v>5.5263944967848069</v>
      </c>
      <c r="O1455" s="144">
        <f t="shared" ca="1" si="170"/>
        <v>30.195902497382985</v>
      </c>
      <c r="P1455" s="144">
        <f t="shared" ca="1" si="170"/>
        <v>1</v>
      </c>
      <c r="Q1455" s="144">
        <f t="shared" ca="1" si="170"/>
        <v>0.74771945566023634</v>
      </c>
    </row>
    <row r="1456" spans="1:17" x14ac:dyDescent="0.25">
      <c r="A1456" s="145">
        <v>41314</v>
      </c>
      <c r="B1456" s="144">
        <v>1.3373999999999999</v>
      </c>
      <c r="C1456" s="144">
        <v>40.384</v>
      </c>
      <c r="D1456" s="144">
        <v>7.391</v>
      </c>
      <c r="E1456" s="144">
        <v>123.52</v>
      </c>
      <c r="F1456" s="144">
        <v>0.84635000000000005</v>
      </c>
      <c r="G1456" s="144">
        <v>1.2282</v>
      </c>
      <c r="I1456" s="144">
        <v>1</v>
      </c>
      <c r="J1456" s="145">
        <f t="shared" si="165"/>
        <v>41314</v>
      </c>
      <c r="K1456" s="144">
        <f t="shared" ca="1" si="170"/>
        <v>0.91834903544190227</v>
      </c>
      <c r="L1456" s="144">
        <f t="shared" ca="1" si="170"/>
        <v>0.6328323612980411</v>
      </c>
      <c r="M1456" s="144">
        <f t="shared" ca="1" si="170"/>
        <v>92.358307163152389</v>
      </c>
      <c r="N1456" s="144">
        <f t="shared" ca="1" si="170"/>
        <v>5.5263944967848069</v>
      </c>
      <c r="O1456" s="144">
        <f t="shared" ca="1" si="170"/>
        <v>30.195902497382985</v>
      </c>
      <c r="P1456" s="144">
        <f t="shared" ca="1" si="170"/>
        <v>1</v>
      </c>
      <c r="Q1456" s="144">
        <f t="shared" ca="1" si="170"/>
        <v>0.74771945566023634</v>
      </c>
    </row>
    <row r="1457" spans="1:17" x14ac:dyDescent="0.25">
      <c r="A1457" s="145">
        <v>41313</v>
      </c>
      <c r="B1457" s="144">
        <v>1.3373999999999999</v>
      </c>
      <c r="C1457" s="144">
        <v>40.384</v>
      </c>
      <c r="D1457" s="144">
        <v>7.391</v>
      </c>
      <c r="E1457" s="144">
        <v>123.52</v>
      </c>
      <c r="F1457" s="144">
        <v>0.84635000000000005</v>
      </c>
      <c r="G1457" s="144">
        <v>1.2282</v>
      </c>
      <c r="I1457" s="144">
        <v>1</v>
      </c>
      <c r="J1457" s="145">
        <f t="shared" si="165"/>
        <v>41313</v>
      </c>
      <c r="K1457" s="144">
        <f t="shared" ca="1" si="170"/>
        <v>0.91834903544190227</v>
      </c>
      <c r="L1457" s="144">
        <f t="shared" ca="1" si="170"/>
        <v>0.6328323612980411</v>
      </c>
      <c r="M1457" s="144">
        <f t="shared" ca="1" si="170"/>
        <v>92.358307163152389</v>
      </c>
      <c r="N1457" s="144">
        <f t="shared" ca="1" si="170"/>
        <v>5.5263944967848069</v>
      </c>
      <c r="O1457" s="144">
        <f t="shared" ca="1" si="170"/>
        <v>30.195902497382985</v>
      </c>
      <c r="P1457" s="144">
        <f t="shared" ca="1" si="170"/>
        <v>1</v>
      </c>
      <c r="Q1457" s="144">
        <f t="shared" ca="1" si="170"/>
        <v>0.74771945566023634</v>
      </c>
    </row>
    <row r="1458" spans="1:17" x14ac:dyDescent="0.25">
      <c r="A1458" s="145">
        <v>41312</v>
      </c>
      <c r="B1458" s="144">
        <v>1.3546</v>
      </c>
      <c r="C1458" s="144">
        <v>40.691000000000003</v>
      </c>
      <c r="D1458" s="144">
        <v>7.4349999999999996</v>
      </c>
      <c r="E1458" s="144">
        <v>126.88</v>
      </c>
      <c r="F1458" s="144">
        <v>0.86240000000000006</v>
      </c>
      <c r="G1458" s="144">
        <v>1.2312000000000001</v>
      </c>
      <c r="I1458" s="144">
        <v>1</v>
      </c>
      <c r="J1458" s="145">
        <f t="shared" si="165"/>
        <v>41312</v>
      </c>
      <c r="K1458" s="144">
        <f t="shared" ca="1" si="170"/>
        <v>0.90890299719474388</v>
      </c>
      <c r="L1458" s="144">
        <f t="shared" ca="1" si="170"/>
        <v>0.63664550420788424</v>
      </c>
      <c r="M1458" s="144">
        <f t="shared" ca="1" si="170"/>
        <v>93.666026871401144</v>
      </c>
      <c r="N1458" s="144">
        <f t="shared" ca="1" si="170"/>
        <v>5.4887051528126376</v>
      </c>
      <c r="O1458" s="144">
        <f t="shared" ca="1" si="170"/>
        <v>30.039125941237266</v>
      </c>
      <c r="P1458" s="144">
        <f t="shared" ca="1" si="170"/>
        <v>1</v>
      </c>
      <c r="Q1458" s="144">
        <f t="shared" ca="1" si="170"/>
        <v>0.73822530636350214</v>
      </c>
    </row>
    <row r="1459" spans="1:17" x14ac:dyDescent="0.25">
      <c r="A1459" s="145">
        <v>41311</v>
      </c>
      <c r="B1459" s="144">
        <v>1.3516999999999999</v>
      </c>
      <c r="C1459" s="144">
        <v>40.593400000000003</v>
      </c>
      <c r="D1459" s="144">
        <v>7.423</v>
      </c>
      <c r="E1459" s="144">
        <v>126.48</v>
      </c>
      <c r="F1459" s="144">
        <v>0.86309999999999998</v>
      </c>
      <c r="G1459" s="144">
        <v>1.2347999999999999</v>
      </c>
      <c r="I1459" s="144">
        <v>1</v>
      </c>
      <c r="J1459" s="145">
        <f t="shared" si="165"/>
        <v>41311</v>
      </c>
      <c r="K1459" s="144">
        <f t="shared" ca="1" si="170"/>
        <v>0.91351631279129986</v>
      </c>
      <c r="L1459" s="144">
        <f t="shared" ca="1" si="170"/>
        <v>0.63852925945106165</v>
      </c>
      <c r="M1459" s="144">
        <f t="shared" ca="1" si="170"/>
        <v>93.571058666863962</v>
      </c>
      <c r="N1459" s="144">
        <f t="shared" ca="1" si="170"/>
        <v>5.491603166383074</v>
      </c>
      <c r="O1459" s="144">
        <f t="shared" ca="1" si="170"/>
        <v>30.031367907079979</v>
      </c>
      <c r="P1459" s="144">
        <f t="shared" ca="1" si="170"/>
        <v>1</v>
      </c>
      <c r="Q1459" s="144">
        <f t="shared" ca="1" si="170"/>
        <v>0.73980912924465492</v>
      </c>
    </row>
    <row r="1460" spans="1:17" x14ac:dyDescent="0.25">
      <c r="A1460" s="145">
        <v>41310</v>
      </c>
      <c r="B1460" s="144">
        <v>1.3536999999999999</v>
      </c>
      <c r="C1460" s="144">
        <v>40.648000000000003</v>
      </c>
      <c r="D1460" s="144">
        <v>7.4139999999999997</v>
      </c>
      <c r="E1460" s="144">
        <v>126.33</v>
      </c>
      <c r="F1460" s="144">
        <v>0.8599</v>
      </c>
      <c r="G1460" s="144">
        <v>1.2299</v>
      </c>
      <c r="I1460" s="144">
        <v>1</v>
      </c>
      <c r="J1460" s="145">
        <f t="shared" si="165"/>
        <v>41310</v>
      </c>
      <c r="K1460" s="144">
        <f t="shared" ca="1" si="170"/>
        <v>0.90854694540887948</v>
      </c>
      <c r="L1460" s="144">
        <f t="shared" ca="1" si="170"/>
        <v>0.63522198419147524</v>
      </c>
      <c r="M1460" s="144">
        <f t="shared" ca="1" si="170"/>
        <v>93.322006352958567</v>
      </c>
      <c r="N1460" s="144">
        <f t="shared" ca="1" si="170"/>
        <v>5.4768412499076611</v>
      </c>
      <c r="O1460" s="144">
        <f t="shared" ca="1" si="170"/>
        <v>30.027332496121744</v>
      </c>
      <c r="P1460" s="144">
        <f t="shared" ca="1" si="170"/>
        <v>1</v>
      </c>
      <c r="Q1460" s="144">
        <f t="shared" ca="1" si="170"/>
        <v>0.73871611139838966</v>
      </c>
    </row>
    <row r="1461" spans="1:17" x14ac:dyDescent="0.25">
      <c r="A1461" s="145">
        <v>41309</v>
      </c>
      <c r="B1461" s="144">
        <v>1.3552</v>
      </c>
      <c r="C1461" s="144">
        <v>40.649000000000001</v>
      </c>
      <c r="D1461" s="144">
        <v>7.4275000000000002</v>
      </c>
      <c r="E1461" s="144">
        <v>125.63</v>
      </c>
      <c r="F1461" s="144">
        <v>0.8619</v>
      </c>
      <c r="G1461" s="144">
        <v>1.2350000000000001</v>
      </c>
      <c r="I1461" s="144">
        <v>1</v>
      </c>
      <c r="J1461" s="145">
        <f t="shared" si="165"/>
        <v>41309</v>
      </c>
      <c r="K1461" s="144">
        <f t="shared" ca="1" si="170"/>
        <v>0.91130460448642281</v>
      </c>
      <c r="L1461" s="144">
        <f t="shared" ca="1" si="170"/>
        <v>0.63599468713105078</v>
      </c>
      <c r="M1461" s="144">
        <f t="shared" ca="1" si="170"/>
        <v>92.702184179456907</v>
      </c>
      <c r="N1461" s="144">
        <f t="shared" ca="1" si="170"/>
        <v>5.480740850059032</v>
      </c>
      <c r="O1461" s="144">
        <f t="shared" ca="1" si="170"/>
        <v>29.994834710743802</v>
      </c>
      <c r="P1461" s="144">
        <f t="shared" ca="1" si="170"/>
        <v>1</v>
      </c>
      <c r="Q1461" s="144">
        <f t="shared" ca="1" si="170"/>
        <v>0.73789846517119251</v>
      </c>
    </row>
    <row r="1462" spans="1:17" x14ac:dyDescent="0.25">
      <c r="A1462" s="145">
        <v>41308</v>
      </c>
      <c r="B1462" s="144">
        <v>1.3644000000000001</v>
      </c>
      <c r="C1462" s="144">
        <v>40.909399999999998</v>
      </c>
      <c r="D1462" s="144">
        <v>7.4275000000000002</v>
      </c>
      <c r="E1462" s="144">
        <v>125.78</v>
      </c>
      <c r="F1462" s="144">
        <v>0.86170000000000002</v>
      </c>
      <c r="G1462" s="144">
        <v>1.2351000000000001</v>
      </c>
      <c r="I1462" s="144">
        <v>1</v>
      </c>
      <c r="J1462" s="145">
        <f t="shared" si="165"/>
        <v>41308</v>
      </c>
      <c r="K1462" s="144">
        <f t="shared" ca="1" si="170"/>
        <v>0.90523306948109061</v>
      </c>
      <c r="L1462" s="144">
        <f t="shared" ca="1" si="170"/>
        <v>0.63155965992377605</v>
      </c>
      <c r="M1462" s="144">
        <f t="shared" ca="1" si="170"/>
        <v>92.187041923189682</v>
      </c>
      <c r="N1462" s="144">
        <f t="shared" ca="1" si="170"/>
        <v>5.4437848138375839</v>
      </c>
      <c r="O1462" s="144">
        <f t="shared" ca="1" si="170"/>
        <v>29.983435942538843</v>
      </c>
      <c r="P1462" s="144">
        <f t="shared" ca="1" si="170"/>
        <v>1</v>
      </c>
      <c r="Q1462" s="144">
        <f t="shared" ca="1" si="170"/>
        <v>0.73292289651128695</v>
      </c>
    </row>
    <row r="1463" spans="1:17" x14ac:dyDescent="0.25">
      <c r="A1463" s="145">
        <v>41307</v>
      </c>
      <c r="B1463" s="144">
        <v>1.3644000000000001</v>
      </c>
      <c r="C1463" s="144">
        <v>40.909399999999998</v>
      </c>
      <c r="D1463" s="144">
        <v>7.4275000000000002</v>
      </c>
      <c r="E1463" s="144">
        <v>125.78</v>
      </c>
      <c r="F1463" s="144">
        <v>0.86170000000000002</v>
      </c>
      <c r="G1463" s="144">
        <v>1.2351000000000001</v>
      </c>
      <c r="I1463" s="144">
        <v>1</v>
      </c>
      <c r="J1463" s="145">
        <f t="shared" si="165"/>
        <v>41307</v>
      </c>
      <c r="K1463" s="144">
        <f t="shared" ca="1" si="170"/>
        <v>0.90523306948109061</v>
      </c>
      <c r="L1463" s="144">
        <f t="shared" ca="1" si="170"/>
        <v>0.63155965992377605</v>
      </c>
      <c r="M1463" s="144">
        <f t="shared" ca="1" si="170"/>
        <v>92.187041923189682</v>
      </c>
      <c r="N1463" s="144">
        <f t="shared" ca="1" si="170"/>
        <v>5.4437848138375839</v>
      </c>
      <c r="O1463" s="144">
        <f t="shared" ca="1" si="170"/>
        <v>29.983435942538843</v>
      </c>
      <c r="P1463" s="144">
        <f t="shared" ca="1" si="170"/>
        <v>1</v>
      </c>
      <c r="Q1463" s="144">
        <f t="shared" ca="1" si="170"/>
        <v>0.73292289651128695</v>
      </c>
    </row>
    <row r="1464" spans="1:17" x14ac:dyDescent="0.25">
      <c r="A1464" s="145">
        <v>41306</v>
      </c>
      <c r="B1464" s="144">
        <v>1.3644000000000001</v>
      </c>
      <c r="C1464" s="144">
        <v>40.909399999999998</v>
      </c>
      <c r="D1464" s="144">
        <v>7.4275000000000002</v>
      </c>
      <c r="E1464" s="144">
        <v>125.78</v>
      </c>
      <c r="F1464" s="144">
        <v>0.86170000000000002</v>
      </c>
      <c r="G1464" s="144">
        <v>1.2351000000000001</v>
      </c>
      <c r="I1464" s="144">
        <v>1</v>
      </c>
      <c r="J1464" s="145">
        <f t="shared" si="165"/>
        <v>41306</v>
      </c>
      <c r="K1464" s="144">
        <f t="shared" ca="1" si="170"/>
        <v>0.90523306948109061</v>
      </c>
      <c r="L1464" s="144">
        <f t="shared" ca="1" si="170"/>
        <v>0.63155965992377605</v>
      </c>
      <c r="M1464" s="144">
        <f t="shared" ca="1" si="170"/>
        <v>92.187041923189682</v>
      </c>
      <c r="N1464" s="144">
        <f t="shared" ca="1" si="170"/>
        <v>5.4437848138375839</v>
      </c>
      <c r="O1464" s="144">
        <f t="shared" ca="1" si="170"/>
        <v>29.983435942538843</v>
      </c>
      <c r="P1464" s="144">
        <f t="shared" ca="1" si="170"/>
        <v>1</v>
      </c>
      <c r="Q1464" s="144">
        <f t="shared" ca="1" si="170"/>
        <v>0.73292289651128695</v>
      </c>
    </row>
    <row r="1465" spans="1:17" x14ac:dyDescent="0.25">
      <c r="A1465" s="145">
        <v>41305</v>
      </c>
      <c r="B1465" s="144">
        <v>1.355</v>
      </c>
      <c r="C1465" s="144">
        <v>40.776499999999999</v>
      </c>
      <c r="D1465" s="144">
        <v>7.4349999999999996</v>
      </c>
      <c r="E1465" s="144">
        <v>123.32</v>
      </c>
      <c r="F1465" s="144">
        <v>0.85699999999999998</v>
      </c>
      <c r="G1465" s="144">
        <v>1.2342</v>
      </c>
      <c r="I1465" s="144">
        <v>1</v>
      </c>
      <c r="J1465" s="145">
        <f t="shared" si="165"/>
        <v>41305</v>
      </c>
      <c r="K1465" s="144">
        <f t="shared" ref="K1465:Q1474" ca="1" si="171">OFFSET($A1465,0,K$3)/OFFSET($A1465,0,$P$3)</f>
        <v>0.91084870848708488</v>
      </c>
      <c r="L1465" s="144">
        <f t="shared" ca="1" si="171"/>
        <v>0.63247232472324721</v>
      </c>
      <c r="M1465" s="144">
        <f t="shared" ca="1" si="171"/>
        <v>91.011070110701098</v>
      </c>
      <c r="N1465" s="144">
        <f t="shared" ca="1" si="171"/>
        <v>5.4870848708487081</v>
      </c>
      <c r="O1465" s="144">
        <f t="shared" ca="1" si="171"/>
        <v>30.093357933579334</v>
      </c>
      <c r="P1465" s="144">
        <f t="shared" ca="1" si="171"/>
        <v>1</v>
      </c>
      <c r="Q1465" s="144">
        <f t="shared" ca="1" si="171"/>
        <v>0.73800738007380073</v>
      </c>
    </row>
    <row r="1466" spans="1:17" x14ac:dyDescent="0.25">
      <c r="A1466" s="145">
        <v>41304</v>
      </c>
      <c r="B1466" s="144">
        <v>1.3541000000000001</v>
      </c>
      <c r="C1466" s="144">
        <v>40.634399999999999</v>
      </c>
      <c r="D1466" s="144">
        <v>7.4349999999999996</v>
      </c>
      <c r="E1466" s="144">
        <v>123.55</v>
      </c>
      <c r="F1466" s="144">
        <v>0.85829999999999995</v>
      </c>
      <c r="G1466" s="144">
        <v>1.2392000000000001</v>
      </c>
      <c r="I1466" s="144">
        <v>1</v>
      </c>
      <c r="J1466" s="145">
        <f t="shared" si="165"/>
        <v>41304</v>
      </c>
      <c r="K1466" s="144">
        <f t="shared" ca="1" si="171"/>
        <v>0.91514659183221325</v>
      </c>
      <c r="L1466" s="144">
        <f t="shared" ca="1" si="171"/>
        <v>0.63385274351968091</v>
      </c>
      <c r="M1466" s="144">
        <f t="shared" ca="1" si="171"/>
        <v>91.241414961967351</v>
      </c>
      <c r="N1466" s="144">
        <f t="shared" ca="1" si="171"/>
        <v>5.4907318514142229</v>
      </c>
      <c r="O1466" s="144">
        <f t="shared" ca="1" si="171"/>
        <v>30.0084188760062</v>
      </c>
      <c r="P1466" s="144">
        <f t="shared" ca="1" si="171"/>
        <v>1</v>
      </c>
      <c r="Q1466" s="144">
        <f t="shared" ca="1" si="171"/>
        <v>0.73849789528099841</v>
      </c>
    </row>
    <row r="1467" spans="1:17" x14ac:dyDescent="0.25">
      <c r="A1467" s="145">
        <v>41303</v>
      </c>
      <c r="B1467" s="144">
        <v>1.3432999999999999</v>
      </c>
      <c r="C1467" s="144">
        <v>40.49</v>
      </c>
      <c r="D1467" s="144">
        <v>7.4109999999999996</v>
      </c>
      <c r="E1467" s="144">
        <v>121.52</v>
      </c>
      <c r="F1467" s="144">
        <v>0.85360000000000003</v>
      </c>
      <c r="G1467" s="144">
        <v>1.2416</v>
      </c>
      <c r="I1467" s="144">
        <v>1</v>
      </c>
      <c r="J1467" s="145">
        <f t="shared" si="165"/>
        <v>41303</v>
      </c>
      <c r="K1467" s="144">
        <f t="shared" ca="1" si="171"/>
        <v>0.92429092533313484</v>
      </c>
      <c r="L1467" s="144">
        <f t="shared" ca="1" si="171"/>
        <v>0.63545001116653022</v>
      </c>
      <c r="M1467" s="144">
        <f t="shared" ca="1" si="171"/>
        <v>90.463783220427302</v>
      </c>
      <c r="N1467" s="144">
        <f t="shared" ca="1" si="171"/>
        <v>5.5170103476513068</v>
      </c>
      <c r="O1467" s="144">
        <f t="shared" ca="1" si="171"/>
        <v>30.142187151045935</v>
      </c>
      <c r="P1467" s="144">
        <f t="shared" ca="1" si="171"/>
        <v>1</v>
      </c>
      <c r="Q1467" s="144">
        <f t="shared" ca="1" si="171"/>
        <v>0.74443534579021819</v>
      </c>
    </row>
    <row r="1468" spans="1:17" x14ac:dyDescent="0.25">
      <c r="A1468" s="145">
        <v>41302</v>
      </c>
      <c r="B1468" s="144">
        <v>1.3444</v>
      </c>
      <c r="C1468" s="144">
        <v>40.502000000000002</v>
      </c>
      <c r="D1468" s="144">
        <v>7.4420000000000002</v>
      </c>
      <c r="E1468" s="144">
        <v>122.21</v>
      </c>
      <c r="F1468" s="144">
        <v>0.85450000000000004</v>
      </c>
      <c r="G1468" s="144">
        <v>1.2472000000000001</v>
      </c>
      <c r="I1468" s="144">
        <v>1</v>
      </c>
      <c r="J1468" s="145">
        <f t="shared" si="165"/>
        <v>41302</v>
      </c>
      <c r="K1468" s="144">
        <f t="shared" ca="1" si="171"/>
        <v>0.92770008925914915</v>
      </c>
      <c r="L1468" s="144">
        <f t="shared" ca="1" si="171"/>
        <v>0.635599523951205</v>
      </c>
      <c r="M1468" s="144">
        <f t="shared" ca="1" si="171"/>
        <v>90.903005058018437</v>
      </c>
      <c r="N1468" s="144">
        <f t="shared" ca="1" si="171"/>
        <v>5.5355548943766735</v>
      </c>
      <c r="O1468" s="144">
        <f t="shared" ca="1" si="171"/>
        <v>30.126450461172272</v>
      </c>
      <c r="P1468" s="144">
        <f t="shared" ca="1" si="171"/>
        <v>1</v>
      </c>
      <c r="Q1468" s="144">
        <f t="shared" ca="1" si="171"/>
        <v>0.7438262421898244</v>
      </c>
    </row>
    <row r="1469" spans="1:17" x14ac:dyDescent="0.25">
      <c r="A1469" s="145">
        <v>41301</v>
      </c>
      <c r="B1469" s="144">
        <v>1.3469</v>
      </c>
      <c r="C1469" s="144">
        <v>40.442999999999998</v>
      </c>
      <c r="D1469" s="144">
        <v>7.4240000000000004</v>
      </c>
      <c r="E1469" s="144">
        <v>122.71</v>
      </c>
      <c r="F1469" s="144">
        <v>0.85140000000000005</v>
      </c>
      <c r="G1469" s="144">
        <v>1.2444</v>
      </c>
      <c r="I1469" s="144">
        <v>1</v>
      </c>
      <c r="J1469" s="145">
        <f t="shared" si="165"/>
        <v>41301</v>
      </c>
      <c r="K1469" s="144">
        <f t="shared" ca="1" si="171"/>
        <v>0.92389932437448952</v>
      </c>
      <c r="L1469" s="144">
        <f t="shared" ca="1" si="171"/>
        <v>0.63211819734204477</v>
      </c>
      <c r="M1469" s="144">
        <f t="shared" ca="1" si="171"/>
        <v>91.105501522013512</v>
      </c>
      <c r="N1469" s="144">
        <f t="shared" ca="1" si="171"/>
        <v>5.5119162521345313</v>
      </c>
      <c r="O1469" s="144">
        <f t="shared" ca="1" si="171"/>
        <v>30.026728042170909</v>
      </c>
      <c r="P1469" s="144">
        <f t="shared" ca="1" si="171"/>
        <v>1</v>
      </c>
      <c r="Q1469" s="144">
        <f t="shared" ca="1" si="171"/>
        <v>0.74244561585863833</v>
      </c>
    </row>
    <row r="1470" spans="1:17" x14ac:dyDescent="0.25">
      <c r="A1470" s="145">
        <v>41300</v>
      </c>
      <c r="B1470" s="144">
        <v>1.3469</v>
      </c>
      <c r="C1470" s="144">
        <v>40.442999999999998</v>
      </c>
      <c r="D1470" s="144">
        <v>7.4240000000000004</v>
      </c>
      <c r="E1470" s="144">
        <v>122.71</v>
      </c>
      <c r="F1470" s="144">
        <v>0.85140000000000005</v>
      </c>
      <c r="G1470" s="144">
        <v>1.2444</v>
      </c>
      <c r="I1470" s="144">
        <v>1</v>
      </c>
      <c r="J1470" s="145">
        <f t="shared" si="165"/>
        <v>41300</v>
      </c>
      <c r="K1470" s="144">
        <f t="shared" ca="1" si="171"/>
        <v>0.92389932437448952</v>
      </c>
      <c r="L1470" s="144">
        <f t="shared" ca="1" si="171"/>
        <v>0.63211819734204477</v>
      </c>
      <c r="M1470" s="144">
        <f t="shared" ca="1" si="171"/>
        <v>91.105501522013512</v>
      </c>
      <c r="N1470" s="144">
        <f t="shared" ca="1" si="171"/>
        <v>5.5119162521345313</v>
      </c>
      <c r="O1470" s="144">
        <f t="shared" ca="1" si="171"/>
        <v>30.026728042170909</v>
      </c>
      <c r="P1470" s="144">
        <f t="shared" ca="1" si="171"/>
        <v>1</v>
      </c>
      <c r="Q1470" s="144">
        <f t="shared" ca="1" si="171"/>
        <v>0.74244561585863833</v>
      </c>
    </row>
    <row r="1471" spans="1:17" x14ac:dyDescent="0.25">
      <c r="A1471" s="145">
        <v>41299</v>
      </c>
      <c r="B1471" s="144">
        <v>1.3469</v>
      </c>
      <c r="C1471" s="144">
        <v>40.442999999999998</v>
      </c>
      <c r="D1471" s="144">
        <v>7.4240000000000004</v>
      </c>
      <c r="E1471" s="144">
        <v>122.71</v>
      </c>
      <c r="F1471" s="144">
        <v>0.85140000000000005</v>
      </c>
      <c r="G1471" s="144">
        <v>1.2444</v>
      </c>
      <c r="I1471" s="144">
        <v>1</v>
      </c>
      <c r="J1471" s="145">
        <f t="shared" si="165"/>
        <v>41299</v>
      </c>
      <c r="K1471" s="144">
        <f t="shared" ca="1" si="171"/>
        <v>0.92389932437448952</v>
      </c>
      <c r="L1471" s="144">
        <f t="shared" ca="1" si="171"/>
        <v>0.63211819734204477</v>
      </c>
      <c r="M1471" s="144">
        <f t="shared" ca="1" si="171"/>
        <v>91.105501522013512</v>
      </c>
      <c r="N1471" s="144">
        <f t="shared" ca="1" si="171"/>
        <v>5.5119162521345313</v>
      </c>
      <c r="O1471" s="144">
        <f t="shared" ca="1" si="171"/>
        <v>30.026728042170909</v>
      </c>
      <c r="P1471" s="144">
        <f t="shared" ca="1" si="171"/>
        <v>1</v>
      </c>
      <c r="Q1471" s="144">
        <f t="shared" ca="1" si="171"/>
        <v>0.74244561585863833</v>
      </c>
    </row>
    <row r="1472" spans="1:17" x14ac:dyDescent="0.25">
      <c r="A1472" s="145">
        <v>41298</v>
      </c>
      <c r="B1472" s="144">
        <v>1.3349</v>
      </c>
      <c r="C1472" s="144">
        <v>40.2012</v>
      </c>
      <c r="D1472" s="144">
        <v>7.4135</v>
      </c>
      <c r="E1472" s="144">
        <v>119.73</v>
      </c>
      <c r="F1472" s="144">
        <v>0.84389999999999998</v>
      </c>
      <c r="G1472" s="144">
        <v>1.2417</v>
      </c>
      <c r="I1472" s="144">
        <v>1</v>
      </c>
      <c r="J1472" s="145">
        <f t="shared" si="165"/>
        <v>41298</v>
      </c>
      <c r="K1472" s="144">
        <f t="shared" ca="1" si="171"/>
        <v>0.93018203610757366</v>
      </c>
      <c r="L1472" s="144">
        <f t="shared" ca="1" si="171"/>
        <v>0.63218218593153042</v>
      </c>
      <c r="M1472" s="144">
        <f t="shared" ca="1" si="171"/>
        <v>89.692111768671822</v>
      </c>
      <c r="N1472" s="144">
        <f t="shared" ca="1" si="171"/>
        <v>5.5535995205633384</v>
      </c>
      <c r="O1472" s="144">
        <f t="shared" ca="1" si="171"/>
        <v>30.115514270731889</v>
      </c>
      <c r="P1472" s="144">
        <f t="shared" ca="1" si="171"/>
        <v>1</v>
      </c>
      <c r="Q1472" s="144">
        <f t="shared" ca="1" si="171"/>
        <v>0.74911978425350212</v>
      </c>
    </row>
    <row r="1473" spans="1:17" x14ac:dyDescent="0.25">
      <c r="A1473" s="145">
        <v>41297</v>
      </c>
      <c r="B1473" s="144">
        <v>1.333</v>
      </c>
      <c r="C1473" s="144">
        <v>40.231400000000001</v>
      </c>
      <c r="D1473" s="144">
        <v>7.4015000000000004</v>
      </c>
      <c r="E1473" s="144">
        <v>117.98</v>
      </c>
      <c r="F1473" s="144">
        <v>0.8407</v>
      </c>
      <c r="G1473" s="144">
        <v>1.2384999999999999</v>
      </c>
      <c r="I1473" s="144">
        <v>1</v>
      </c>
      <c r="J1473" s="145">
        <f t="shared" si="165"/>
        <v>41297</v>
      </c>
      <c r="K1473" s="144">
        <f t="shared" ca="1" si="171"/>
        <v>0.9291072768192048</v>
      </c>
      <c r="L1473" s="144">
        <f t="shared" ca="1" si="171"/>
        <v>0.63068267066766692</v>
      </c>
      <c r="M1473" s="144">
        <f t="shared" ca="1" si="171"/>
        <v>88.507126781695433</v>
      </c>
      <c r="N1473" s="144">
        <f t="shared" ca="1" si="171"/>
        <v>5.5525131282820706</v>
      </c>
      <c r="O1473" s="144">
        <f t="shared" ca="1" si="171"/>
        <v>30.181095273818457</v>
      </c>
      <c r="P1473" s="144">
        <f t="shared" ca="1" si="171"/>
        <v>1</v>
      </c>
      <c r="Q1473" s="144">
        <f t="shared" ca="1" si="171"/>
        <v>0.75018754688672173</v>
      </c>
    </row>
    <row r="1474" spans="1:17" x14ac:dyDescent="0.25">
      <c r="A1474" s="145">
        <v>41296</v>
      </c>
      <c r="B1474" s="144">
        <v>1.3317000000000001</v>
      </c>
      <c r="C1474" s="144">
        <v>40.258800000000001</v>
      </c>
      <c r="D1474" s="144">
        <v>7.4420000000000002</v>
      </c>
      <c r="E1474" s="144">
        <v>118.18</v>
      </c>
      <c r="F1474" s="144">
        <v>0.83965000000000001</v>
      </c>
      <c r="G1474" s="144">
        <v>1.2383</v>
      </c>
      <c r="I1474" s="144">
        <v>1</v>
      </c>
      <c r="J1474" s="145">
        <f t="shared" si="165"/>
        <v>41296</v>
      </c>
      <c r="K1474" s="144">
        <f t="shared" ca="1" si="171"/>
        <v>0.92986408350229022</v>
      </c>
      <c r="L1474" s="144">
        <f t="shared" ca="1" si="171"/>
        <v>0.63050987459638053</v>
      </c>
      <c r="M1474" s="144">
        <f t="shared" ca="1" si="171"/>
        <v>88.743711046031393</v>
      </c>
      <c r="N1474" s="144">
        <f t="shared" ca="1" si="171"/>
        <v>5.588345723511301</v>
      </c>
      <c r="O1474" s="144">
        <f t="shared" ca="1" si="171"/>
        <v>30.231133138094165</v>
      </c>
      <c r="P1474" s="144">
        <f t="shared" ca="1" si="171"/>
        <v>1</v>
      </c>
      <c r="Q1474" s="144">
        <f t="shared" ca="1" si="171"/>
        <v>0.75091987684914019</v>
      </c>
    </row>
    <row r="1475" spans="1:17" x14ac:dyDescent="0.25">
      <c r="A1475" s="145">
        <v>41295</v>
      </c>
      <c r="B1475" s="144">
        <v>1.3323</v>
      </c>
      <c r="C1475" s="144">
        <v>40.299999999999997</v>
      </c>
      <c r="D1475" s="144">
        <v>7.444</v>
      </c>
      <c r="E1475" s="144">
        <v>119.37</v>
      </c>
      <c r="F1475" s="144">
        <v>0.83899999999999997</v>
      </c>
      <c r="G1475" s="144">
        <v>1.2421</v>
      </c>
      <c r="I1475" s="144">
        <v>1</v>
      </c>
      <c r="J1475" s="145">
        <f t="shared" si="165"/>
        <v>41295</v>
      </c>
      <c r="K1475" s="144">
        <f t="shared" ref="K1475:Q1484" ca="1" si="172">OFFSET($A1475,0,K$3)/OFFSET($A1475,0,$P$3)</f>
        <v>0.93229753058620424</v>
      </c>
      <c r="L1475" s="144">
        <f t="shared" ca="1" si="172"/>
        <v>0.62973804698641445</v>
      </c>
      <c r="M1475" s="144">
        <f t="shared" ca="1" si="172"/>
        <v>89.596937626660662</v>
      </c>
      <c r="N1475" s="144">
        <f t="shared" ca="1" si="172"/>
        <v>5.5873301808901896</v>
      </c>
      <c r="O1475" s="144">
        <f t="shared" ca="1" si="172"/>
        <v>30.2484425429708</v>
      </c>
      <c r="P1475" s="144">
        <f t="shared" ca="1" si="172"/>
        <v>1</v>
      </c>
      <c r="Q1475" s="144">
        <f t="shared" ca="1" si="172"/>
        <v>0.75058170081813402</v>
      </c>
    </row>
    <row r="1476" spans="1:17" x14ac:dyDescent="0.25">
      <c r="A1476" s="145">
        <v>41294</v>
      </c>
      <c r="B1476" s="144">
        <v>1.3324</v>
      </c>
      <c r="C1476" s="144">
        <v>40.342599999999997</v>
      </c>
      <c r="D1476" s="144">
        <v>7.46</v>
      </c>
      <c r="E1476" s="144">
        <v>119.87</v>
      </c>
      <c r="F1476" s="144">
        <v>0.83720000000000006</v>
      </c>
      <c r="G1476" s="144">
        <v>1.2445999999999999</v>
      </c>
      <c r="I1476" s="144">
        <v>1</v>
      </c>
      <c r="J1476" s="145">
        <f t="shared" si="165"/>
        <v>41294</v>
      </c>
      <c r="K1476" s="144">
        <f t="shared" ca="1" si="172"/>
        <v>0.93410387271089756</v>
      </c>
      <c r="L1476" s="144">
        <f t="shared" ca="1" si="172"/>
        <v>0.62833983788652059</v>
      </c>
      <c r="M1476" s="144">
        <f t="shared" ca="1" si="172"/>
        <v>89.965475833083161</v>
      </c>
      <c r="N1476" s="144">
        <f t="shared" ca="1" si="172"/>
        <v>5.5989192434704291</v>
      </c>
      <c r="O1476" s="144">
        <f t="shared" ca="1" si="172"/>
        <v>30.278144701290902</v>
      </c>
      <c r="P1476" s="144">
        <f t="shared" ca="1" si="172"/>
        <v>1</v>
      </c>
      <c r="Q1476" s="144">
        <f t="shared" ca="1" si="172"/>
        <v>0.75052536775743017</v>
      </c>
    </row>
    <row r="1477" spans="1:17" x14ac:dyDescent="0.25">
      <c r="A1477" s="145">
        <v>41293</v>
      </c>
      <c r="B1477" s="144">
        <v>1.3324</v>
      </c>
      <c r="C1477" s="144">
        <v>40.342599999999997</v>
      </c>
      <c r="D1477" s="144">
        <v>7.46</v>
      </c>
      <c r="E1477" s="144">
        <v>119.87</v>
      </c>
      <c r="F1477" s="144">
        <v>0.83720000000000006</v>
      </c>
      <c r="G1477" s="144">
        <v>1.2445999999999999</v>
      </c>
      <c r="I1477" s="144">
        <v>1</v>
      </c>
      <c r="J1477" s="145">
        <f t="shared" ref="J1477:J1540" si="173">A1477</f>
        <v>41293</v>
      </c>
      <c r="K1477" s="144">
        <f t="shared" ca="1" si="172"/>
        <v>0.93410387271089756</v>
      </c>
      <c r="L1477" s="144">
        <f t="shared" ca="1" si="172"/>
        <v>0.62833983788652059</v>
      </c>
      <c r="M1477" s="144">
        <f t="shared" ca="1" si="172"/>
        <v>89.965475833083161</v>
      </c>
      <c r="N1477" s="144">
        <f t="shared" ca="1" si="172"/>
        <v>5.5989192434704291</v>
      </c>
      <c r="O1477" s="144">
        <f t="shared" ca="1" si="172"/>
        <v>30.278144701290902</v>
      </c>
      <c r="P1477" s="144">
        <f t="shared" ca="1" si="172"/>
        <v>1</v>
      </c>
      <c r="Q1477" s="144">
        <f t="shared" ca="1" si="172"/>
        <v>0.75052536775743017</v>
      </c>
    </row>
    <row r="1478" spans="1:17" x14ac:dyDescent="0.25">
      <c r="A1478" s="145">
        <v>41292</v>
      </c>
      <c r="B1478" s="144">
        <v>1.3324</v>
      </c>
      <c r="C1478" s="144">
        <v>40.342599999999997</v>
      </c>
      <c r="D1478" s="144">
        <v>7.46</v>
      </c>
      <c r="E1478" s="144">
        <v>119.87</v>
      </c>
      <c r="F1478" s="144">
        <v>0.83720000000000006</v>
      </c>
      <c r="G1478" s="144">
        <v>1.2445999999999999</v>
      </c>
      <c r="I1478" s="144">
        <v>1</v>
      </c>
      <c r="J1478" s="145">
        <f t="shared" si="173"/>
        <v>41292</v>
      </c>
      <c r="K1478" s="144">
        <f t="shared" ca="1" si="172"/>
        <v>0.93410387271089756</v>
      </c>
      <c r="L1478" s="144">
        <f t="shared" ca="1" si="172"/>
        <v>0.62833983788652059</v>
      </c>
      <c r="M1478" s="144">
        <f t="shared" ca="1" si="172"/>
        <v>89.965475833083161</v>
      </c>
      <c r="N1478" s="144">
        <f t="shared" ca="1" si="172"/>
        <v>5.5989192434704291</v>
      </c>
      <c r="O1478" s="144">
        <f t="shared" ca="1" si="172"/>
        <v>30.278144701290902</v>
      </c>
      <c r="P1478" s="144">
        <f t="shared" ca="1" si="172"/>
        <v>1</v>
      </c>
      <c r="Q1478" s="144">
        <f t="shared" ca="1" si="172"/>
        <v>0.75052536775743017</v>
      </c>
    </row>
    <row r="1479" spans="1:17" x14ac:dyDescent="0.25">
      <c r="A1479" s="145">
        <v>41291</v>
      </c>
      <c r="B1479" s="144">
        <v>1.3368</v>
      </c>
      <c r="C1479" s="144">
        <v>40.456600000000002</v>
      </c>
      <c r="D1479" s="144">
        <v>7.4055</v>
      </c>
      <c r="E1479" s="144">
        <v>119.32</v>
      </c>
      <c r="F1479" s="144">
        <v>0.83409999999999995</v>
      </c>
      <c r="G1479" s="144">
        <v>1.2453000000000001</v>
      </c>
      <c r="I1479" s="144">
        <v>1</v>
      </c>
      <c r="J1479" s="145">
        <f t="shared" si="173"/>
        <v>41291</v>
      </c>
      <c r="K1479" s="144">
        <f t="shared" ca="1" si="172"/>
        <v>0.9315529622980252</v>
      </c>
      <c r="L1479" s="144">
        <f t="shared" ca="1" si="172"/>
        <v>0.62395272292040693</v>
      </c>
      <c r="M1479" s="144">
        <f t="shared" ca="1" si="172"/>
        <v>89.25792938360263</v>
      </c>
      <c r="N1479" s="144">
        <f t="shared" ca="1" si="172"/>
        <v>5.5397217235188512</v>
      </c>
      <c r="O1479" s="144">
        <f t="shared" ca="1" si="172"/>
        <v>30.26376421304608</v>
      </c>
      <c r="P1479" s="144">
        <f t="shared" ca="1" si="172"/>
        <v>1</v>
      </c>
      <c r="Q1479" s="144">
        <f t="shared" ca="1" si="172"/>
        <v>0.74805505685218432</v>
      </c>
    </row>
    <row r="1480" spans="1:17" x14ac:dyDescent="0.25">
      <c r="A1480" s="145">
        <v>41290</v>
      </c>
      <c r="B1480" s="144">
        <v>1.3277000000000001</v>
      </c>
      <c r="C1480" s="144">
        <v>40.375</v>
      </c>
      <c r="D1480" s="144">
        <v>7.42</v>
      </c>
      <c r="E1480" s="144">
        <v>117.06</v>
      </c>
      <c r="F1480" s="144">
        <v>0.83009999999999995</v>
      </c>
      <c r="G1480" s="144">
        <v>1.2359</v>
      </c>
      <c r="I1480" s="144">
        <v>1</v>
      </c>
      <c r="J1480" s="145">
        <f t="shared" si="173"/>
        <v>41290</v>
      </c>
      <c r="K1480" s="144">
        <f t="shared" ca="1" si="172"/>
        <v>0.93085787451984625</v>
      </c>
      <c r="L1480" s="144">
        <f t="shared" ca="1" si="172"/>
        <v>0.62521653988099712</v>
      </c>
      <c r="M1480" s="144">
        <f t="shared" ca="1" si="172"/>
        <v>88.167507720117484</v>
      </c>
      <c r="N1480" s="144">
        <f t="shared" ca="1" si="172"/>
        <v>5.588611885215033</v>
      </c>
      <c r="O1480" s="144">
        <f t="shared" ca="1" si="172"/>
        <v>30.409731113956465</v>
      </c>
      <c r="P1480" s="144">
        <f t="shared" ca="1" si="172"/>
        <v>1</v>
      </c>
      <c r="Q1480" s="144">
        <f t="shared" ca="1" si="172"/>
        <v>0.75318219477291548</v>
      </c>
    </row>
    <row r="1481" spans="1:17" x14ac:dyDescent="0.25">
      <c r="A1481" s="145">
        <v>41289</v>
      </c>
      <c r="B1481" s="144">
        <v>1.3327</v>
      </c>
      <c r="C1481" s="144">
        <v>40.343000000000004</v>
      </c>
      <c r="D1481" s="144">
        <v>7.3994999999999997</v>
      </c>
      <c r="E1481" s="144">
        <v>118.04</v>
      </c>
      <c r="F1481" s="144">
        <v>0.83025000000000004</v>
      </c>
      <c r="G1481" s="144">
        <v>1.2358</v>
      </c>
      <c r="I1481" s="144">
        <v>1</v>
      </c>
      <c r="J1481" s="145">
        <f t="shared" si="173"/>
        <v>41289</v>
      </c>
      <c r="K1481" s="144">
        <f t="shared" ca="1" si="172"/>
        <v>0.92729046296991069</v>
      </c>
      <c r="L1481" s="144">
        <f t="shared" ca="1" si="172"/>
        <v>0.62298341712313354</v>
      </c>
      <c r="M1481" s="144">
        <f t="shared" ca="1" si="172"/>
        <v>88.572071734073688</v>
      </c>
      <c r="N1481" s="144">
        <f t="shared" ca="1" si="172"/>
        <v>5.5522623246041869</v>
      </c>
      <c r="O1481" s="144">
        <f t="shared" ca="1" si="172"/>
        <v>30.2716290237863</v>
      </c>
      <c r="P1481" s="144">
        <f t="shared" ca="1" si="172"/>
        <v>1</v>
      </c>
      <c r="Q1481" s="144">
        <f t="shared" ca="1" si="172"/>
        <v>0.75035641929916708</v>
      </c>
    </row>
    <row r="1482" spans="1:17" x14ac:dyDescent="0.25">
      <c r="A1482" s="145">
        <v>41288</v>
      </c>
      <c r="B1482" s="144">
        <v>1.3341000000000001</v>
      </c>
      <c r="C1482" s="144">
        <v>40.353000000000002</v>
      </c>
      <c r="D1482" s="144">
        <v>7.3624999999999998</v>
      </c>
      <c r="E1482" s="144">
        <v>119.1</v>
      </c>
      <c r="F1482" s="144">
        <v>0.83120000000000005</v>
      </c>
      <c r="G1482" s="144">
        <v>1.2242999999999999</v>
      </c>
      <c r="I1482" s="144">
        <v>1</v>
      </c>
      <c r="J1482" s="145">
        <f t="shared" si="173"/>
        <v>41288</v>
      </c>
      <c r="K1482" s="144">
        <f t="shared" ca="1" si="172"/>
        <v>0.91769732403867765</v>
      </c>
      <c r="L1482" s="144">
        <f t="shared" ca="1" si="172"/>
        <v>0.62304175099317893</v>
      </c>
      <c r="M1482" s="144">
        <f t="shared" ca="1" si="172"/>
        <v>89.273667641106357</v>
      </c>
      <c r="N1482" s="144">
        <f t="shared" ca="1" si="172"/>
        <v>5.5187017464957648</v>
      </c>
      <c r="O1482" s="144">
        <f t="shared" ca="1" si="172"/>
        <v>30.247357769282662</v>
      </c>
      <c r="P1482" s="144">
        <f t="shared" ca="1" si="172"/>
        <v>1</v>
      </c>
      <c r="Q1482" s="144">
        <f t="shared" ca="1" si="172"/>
        <v>0.74956899782624986</v>
      </c>
    </row>
    <row r="1483" spans="1:17" x14ac:dyDescent="0.25">
      <c r="A1483" s="145">
        <v>41287</v>
      </c>
      <c r="B1483" s="144">
        <v>1.3273999999999999</v>
      </c>
      <c r="C1483" s="144">
        <v>40.230699999999999</v>
      </c>
      <c r="D1483" s="144">
        <v>7.3490000000000002</v>
      </c>
      <c r="E1483" s="144">
        <v>118.18</v>
      </c>
      <c r="F1483" s="144">
        <v>0.82320000000000004</v>
      </c>
      <c r="G1483" s="144">
        <v>1.2157</v>
      </c>
      <c r="I1483" s="144">
        <v>1</v>
      </c>
      <c r="J1483" s="145">
        <f t="shared" si="173"/>
        <v>41287</v>
      </c>
      <c r="K1483" s="144">
        <f t="shared" ca="1" si="172"/>
        <v>0.91585053488021706</v>
      </c>
      <c r="L1483" s="144">
        <f t="shared" ca="1" si="172"/>
        <v>0.62015971071267151</v>
      </c>
      <c r="M1483" s="144">
        <f t="shared" ca="1" si="172"/>
        <v>89.031188790116033</v>
      </c>
      <c r="N1483" s="144">
        <f t="shared" ca="1" si="172"/>
        <v>5.5363869218020199</v>
      </c>
      <c r="O1483" s="144">
        <f t="shared" ca="1" si="172"/>
        <v>30.307895133343379</v>
      </c>
      <c r="P1483" s="144">
        <f t="shared" ca="1" si="172"/>
        <v>1</v>
      </c>
      <c r="Q1483" s="144">
        <f t="shared" ca="1" si="172"/>
        <v>0.75335241826126265</v>
      </c>
    </row>
    <row r="1484" spans="1:17" x14ac:dyDescent="0.25">
      <c r="A1484" s="145">
        <v>41286</v>
      </c>
      <c r="B1484" s="144">
        <v>1.3273999999999999</v>
      </c>
      <c r="C1484" s="144">
        <v>40.230699999999999</v>
      </c>
      <c r="D1484" s="144">
        <v>7.3490000000000002</v>
      </c>
      <c r="E1484" s="144">
        <v>118.18</v>
      </c>
      <c r="F1484" s="144">
        <v>0.82320000000000004</v>
      </c>
      <c r="G1484" s="144">
        <v>1.2157</v>
      </c>
      <c r="I1484" s="144">
        <v>1</v>
      </c>
      <c r="J1484" s="145">
        <f t="shared" si="173"/>
        <v>41286</v>
      </c>
      <c r="K1484" s="144">
        <f t="shared" ca="1" si="172"/>
        <v>0.91585053488021706</v>
      </c>
      <c r="L1484" s="144">
        <f t="shared" ca="1" si="172"/>
        <v>0.62015971071267151</v>
      </c>
      <c r="M1484" s="144">
        <f t="shared" ca="1" si="172"/>
        <v>89.031188790116033</v>
      </c>
      <c r="N1484" s="144">
        <f t="shared" ca="1" si="172"/>
        <v>5.5363869218020199</v>
      </c>
      <c r="O1484" s="144">
        <f t="shared" ca="1" si="172"/>
        <v>30.307895133343379</v>
      </c>
      <c r="P1484" s="144">
        <f t="shared" ca="1" si="172"/>
        <v>1</v>
      </c>
      <c r="Q1484" s="144">
        <f t="shared" ca="1" si="172"/>
        <v>0.75335241826126265</v>
      </c>
    </row>
    <row r="1485" spans="1:17" x14ac:dyDescent="0.25">
      <c r="A1485" s="145">
        <v>41285</v>
      </c>
      <c r="B1485" s="144">
        <v>1.3273999999999999</v>
      </c>
      <c r="C1485" s="144">
        <v>40.230699999999999</v>
      </c>
      <c r="D1485" s="144">
        <v>7.3490000000000002</v>
      </c>
      <c r="E1485" s="144">
        <v>118.18</v>
      </c>
      <c r="F1485" s="144">
        <v>0.82320000000000004</v>
      </c>
      <c r="G1485" s="144">
        <v>1.2157</v>
      </c>
      <c r="I1485" s="144">
        <v>1</v>
      </c>
      <c r="J1485" s="145">
        <f t="shared" si="173"/>
        <v>41285</v>
      </c>
      <c r="K1485" s="144">
        <f t="shared" ref="K1485:Q1494" ca="1" si="174">OFFSET($A1485,0,K$3)/OFFSET($A1485,0,$P$3)</f>
        <v>0.91585053488021706</v>
      </c>
      <c r="L1485" s="144">
        <f t="shared" ca="1" si="174"/>
        <v>0.62015971071267151</v>
      </c>
      <c r="M1485" s="144">
        <f t="shared" ca="1" si="174"/>
        <v>89.031188790116033</v>
      </c>
      <c r="N1485" s="144">
        <f t="shared" ca="1" si="174"/>
        <v>5.5363869218020199</v>
      </c>
      <c r="O1485" s="144">
        <f t="shared" ca="1" si="174"/>
        <v>30.307895133343379</v>
      </c>
      <c r="P1485" s="144">
        <f t="shared" ca="1" si="174"/>
        <v>1</v>
      </c>
      <c r="Q1485" s="144">
        <f t="shared" ca="1" si="174"/>
        <v>0.75335241826126265</v>
      </c>
    </row>
    <row r="1486" spans="1:17" x14ac:dyDescent="0.25">
      <c r="A1486" s="145">
        <v>41284</v>
      </c>
      <c r="B1486" s="144">
        <v>1.3112999999999999</v>
      </c>
      <c r="C1486" s="144">
        <v>39.729199999999999</v>
      </c>
      <c r="D1486" s="144">
        <v>7.298</v>
      </c>
      <c r="E1486" s="144">
        <v>115.76</v>
      </c>
      <c r="F1486" s="144">
        <v>0.81720000000000004</v>
      </c>
      <c r="G1486" s="144">
        <v>1.2103999999999999</v>
      </c>
      <c r="I1486" s="144">
        <v>1</v>
      </c>
      <c r="J1486" s="145">
        <f t="shared" si="173"/>
        <v>41284</v>
      </c>
      <c r="K1486" s="144">
        <f t="shared" ca="1" si="174"/>
        <v>0.92305345840006103</v>
      </c>
      <c r="L1486" s="144">
        <f t="shared" ca="1" si="174"/>
        <v>0.62319835277968438</v>
      </c>
      <c r="M1486" s="144">
        <f t="shared" ca="1" si="174"/>
        <v>88.278807290475115</v>
      </c>
      <c r="N1486" s="144">
        <f t="shared" ca="1" si="174"/>
        <v>5.5654693815297804</v>
      </c>
      <c r="O1486" s="144">
        <f t="shared" ca="1" si="174"/>
        <v>30.297567299626326</v>
      </c>
      <c r="P1486" s="144">
        <f t="shared" ca="1" si="174"/>
        <v>1</v>
      </c>
      <c r="Q1486" s="144">
        <f t="shared" ca="1" si="174"/>
        <v>0.76260199801723483</v>
      </c>
    </row>
    <row r="1487" spans="1:17" x14ac:dyDescent="0.25">
      <c r="A1487" s="145">
        <v>41283</v>
      </c>
      <c r="B1487" s="144">
        <v>1.3056000000000001</v>
      </c>
      <c r="C1487" s="144">
        <v>39.707000000000001</v>
      </c>
      <c r="D1487" s="144">
        <v>7.3250000000000002</v>
      </c>
      <c r="E1487" s="144">
        <v>114.34</v>
      </c>
      <c r="F1487" s="144">
        <v>0.81505000000000005</v>
      </c>
      <c r="G1487" s="144">
        <v>1.2089000000000001</v>
      </c>
      <c r="I1487" s="144">
        <v>1</v>
      </c>
      <c r="J1487" s="145">
        <f t="shared" si="173"/>
        <v>41283</v>
      </c>
      <c r="K1487" s="144">
        <f t="shared" ca="1" si="174"/>
        <v>0.92593443627450978</v>
      </c>
      <c r="L1487" s="144">
        <f t="shared" ca="1" si="174"/>
        <v>0.62427236519607843</v>
      </c>
      <c r="M1487" s="144">
        <f t="shared" ca="1" si="174"/>
        <v>87.576593137254903</v>
      </c>
      <c r="N1487" s="144">
        <f t="shared" ca="1" si="174"/>
        <v>5.6104473039215685</v>
      </c>
      <c r="O1487" s="144">
        <f t="shared" ca="1" si="174"/>
        <v>30.412837009803919</v>
      </c>
      <c r="P1487" s="144">
        <f t="shared" ca="1" si="174"/>
        <v>1</v>
      </c>
      <c r="Q1487" s="144">
        <f t="shared" ca="1" si="174"/>
        <v>0.76593137254901955</v>
      </c>
    </row>
    <row r="1488" spans="1:17" x14ac:dyDescent="0.25">
      <c r="A1488" s="145">
        <v>41282</v>
      </c>
      <c r="B1488" s="144">
        <v>1.3086</v>
      </c>
      <c r="C1488" s="144">
        <v>39.609000000000002</v>
      </c>
      <c r="D1488" s="144">
        <v>7.3254999999999999</v>
      </c>
      <c r="E1488" s="144">
        <v>114.56</v>
      </c>
      <c r="F1488" s="144">
        <v>0.8145</v>
      </c>
      <c r="G1488" s="144">
        <v>1.2092000000000001</v>
      </c>
      <c r="I1488" s="144">
        <v>1</v>
      </c>
      <c r="J1488" s="145">
        <f t="shared" si="173"/>
        <v>41282</v>
      </c>
      <c r="K1488" s="144">
        <f t="shared" ca="1" si="174"/>
        <v>0.92404095980437118</v>
      </c>
      <c r="L1488" s="144">
        <f t="shared" ca="1" si="174"/>
        <v>0.62242090784044013</v>
      </c>
      <c r="M1488" s="144">
        <f t="shared" ca="1" si="174"/>
        <v>87.543940088644362</v>
      </c>
      <c r="N1488" s="144">
        <f t="shared" ca="1" si="174"/>
        <v>5.5979672932905391</v>
      </c>
      <c r="O1488" s="144">
        <f t="shared" ca="1" si="174"/>
        <v>30.268225584594223</v>
      </c>
      <c r="P1488" s="144">
        <f t="shared" ca="1" si="174"/>
        <v>1</v>
      </c>
      <c r="Q1488" s="144">
        <f t="shared" ca="1" si="174"/>
        <v>0.76417545468439552</v>
      </c>
    </row>
    <row r="1489" spans="1:17" x14ac:dyDescent="0.25">
      <c r="A1489" s="145">
        <v>41281</v>
      </c>
      <c r="B1489" s="144">
        <v>1.3039000000000001</v>
      </c>
      <c r="C1489" s="144">
        <v>39.690899999999999</v>
      </c>
      <c r="D1489" s="144">
        <v>7.306</v>
      </c>
      <c r="E1489" s="144">
        <v>114.48</v>
      </c>
      <c r="F1489" s="144">
        <v>0.81169999999999998</v>
      </c>
      <c r="G1489" s="144">
        <v>1.2087000000000001</v>
      </c>
      <c r="I1489" s="144">
        <v>1</v>
      </c>
      <c r="J1489" s="145">
        <f t="shared" si="173"/>
        <v>41281</v>
      </c>
      <c r="K1489" s="144">
        <f t="shared" ca="1" si="174"/>
        <v>0.92698826597131689</v>
      </c>
      <c r="L1489" s="144">
        <f t="shared" ca="1" si="174"/>
        <v>0.62251706419203923</v>
      </c>
      <c r="M1489" s="144">
        <f t="shared" ca="1" si="174"/>
        <v>87.798144029450114</v>
      </c>
      <c r="N1489" s="144">
        <f t="shared" ca="1" si="174"/>
        <v>5.6031904287138579</v>
      </c>
      <c r="O1489" s="144">
        <f t="shared" ca="1" si="174"/>
        <v>30.440141115116187</v>
      </c>
      <c r="P1489" s="144">
        <f t="shared" ca="1" si="174"/>
        <v>1</v>
      </c>
      <c r="Q1489" s="144">
        <f t="shared" ca="1" si="174"/>
        <v>0.76692997929289053</v>
      </c>
    </row>
    <row r="1490" spans="1:17" x14ac:dyDescent="0.25">
      <c r="A1490" s="145">
        <v>41280</v>
      </c>
      <c r="B1490" s="144">
        <v>1.3011999999999999</v>
      </c>
      <c r="C1490" s="144">
        <v>39.655999999999999</v>
      </c>
      <c r="D1490" s="144">
        <v>7.2990000000000004</v>
      </c>
      <c r="E1490" s="144">
        <v>114.96</v>
      </c>
      <c r="F1490" s="144">
        <v>0.81230000000000002</v>
      </c>
      <c r="G1490" s="144">
        <v>1.2092000000000001</v>
      </c>
      <c r="I1490" s="144">
        <v>1</v>
      </c>
      <c r="J1490" s="145">
        <f t="shared" si="173"/>
        <v>41280</v>
      </c>
      <c r="K1490" s="144">
        <f t="shared" ca="1" si="174"/>
        <v>0.92929603442975728</v>
      </c>
      <c r="L1490" s="144">
        <f t="shared" ca="1" si="174"/>
        <v>0.62426990470335086</v>
      </c>
      <c r="M1490" s="144">
        <f t="shared" ca="1" si="174"/>
        <v>88.349216108207813</v>
      </c>
      <c r="N1490" s="144">
        <f t="shared" ca="1" si="174"/>
        <v>5.6094374423608979</v>
      </c>
      <c r="O1490" s="144">
        <f t="shared" ca="1" si="174"/>
        <v>30.476483246234245</v>
      </c>
      <c r="P1490" s="144">
        <f t="shared" ca="1" si="174"/>
        <v>1</v>
      </c>
      <c r="Q1490" s="144">
        <f t="shared" ca="1" si="174"/>
        <v>0.76852136489394407</v>
      </c>
    </row>
    <row r="1491" spans="1:17" x14ac:dyDescent="0.25">
      <c r="A1491" s="145">
        <v>41279</v>
      </c>
      <c r="B1491" s="144">
        <v>1.3011999999999999</v>
      </c>
      <c r="C1491" s="144">
        <v>39.655999999999999</v>
      </c>
      <c r="D1491" s="144">
        <v>7.2990000000000004</v>
      </c>
      <c r="E1491" s="144">
        <v>114.96</v>
      </c>
      <c r="F1491" s="144">
        <v>0.81230000000000002</v>
      </c>
      <c r="G1491" s="144">
        <v>1.2092000000000001</v>
      </c>
      <c r="I1491" s="144">
        <v>1</v>
      </c>
      <c r="J1491" s="145">
        <f t="shared" si="173"/>
        <v>41279</v>
      </c>
      <c r="K1491" s="144">
        <f t="shared" ca="1" si="174"/>
        <v>0.92929603442975728</v>
      </c>
      <c r="L1491" s="144">
        <f t="shared" ca="1" si="174"/>
        <v>0.62426990470335086</v>
      </c>
      <c r="M1491" s="144">
        <f t="shared" ca="1" si="174"/>
        <v>88.349216108207813</v>
      </c>
      <c r="N1491" s="144">
        <f t="shared" ca="1" si="174"/>
        <v>5.6094374423608979</v>
      </c>
      <c r="O1491" s="144">
        <f t="shared" ca="1" si="174"/>
        <v>30.476483246234245</v>
      </c>
      <c r="P1491" s="144">
        <f t="shared" ca="1" si="174"/>
        <v>1</v>
      </c>
      <c r="Q1491" s="144">
        <f t="shared" ca="1" si="174"/>
        <v>0.76852136489394407</v>
      </c>
    </row>
    <row r="1492" spans="1:17" x14ac:dyDescent="0.25">
      <c r="A1492" s="145">
        <v>41278</v>
      </c>
      <c r="B1492" s="144">
        <v>1.3011999999999999</v>
      </c>
      <c r="C1492" s="144">
        <v>39.655999999999999</v>
      </c>
      <c r="D1492" s="144">
        <v>7.2990000000000004</v>
      </c>
      <c r="E1492" s="144">
        <v>114.96</v>
      </c>
      <c r="F1492" s="144">
        <v>0.81230000000000002</v>
      </c>
      <c r="G1492" s="144">
        <v>1.2092000000000001</v>
      </c>
      <c r="I1492" s="144">
        <v>1</v>
      </c>
      <c r="J1492" s="145">
        <f t="shared" si="173"/>
        <v>41278</v>
      </c>
      <c r="K1492" s="144">
        <f t="shared" ca="1" si="174"/>
        <v>0.92929603442975728</v>
      </c>
      <c r="L1492" s="144">
        <f t="shared" ca="1" si="174"/>
        <v>0.62426990470335086</v>
      </c>
      <c r="M1492" s="144">
        <f t="shared" ca="1" si="174"/>
        <v>88.349216108207813</v>
      </c>
      <c r="N1492" s="144">
        <f t="shared" ca="1" si="174"/>
        <v>5.6094374423608979</v>
      </c>
      <c r="O1492" s="144">
        <f t="shared" ca="1" si="174"/>
        <v>30.476483246234245</v>
      </c>
      <c r="P1492" s="144">
        <f t="shared" ca="1" si="174"/>
        <v>1</v>
      </c>
      <c r="Q1492" s="144">
        <f t="shared" ca="1" si="174"/>
        <v>0.76852136489394407</v>
      </c>
    </row>
    <row r="1493" spans="1:17" x14ac:dyDescent="0.25">
      <c r="A1493" s="145">
        <v>41277</v>
      </c>
      <c r="B1493" s="144">
        <v>1.3102</v>
      </c>
      <c r="C1493" s="144">
        <v>39.698999999999998</v>
      </c>
      <c r="D1493" s="144">
        <v>7.2915000000000001</v>
      </c>
      <c r="E1493" s="144">
        <v>113.93</v>
      </c>
      <c r="F1493" s="144">
        <v>0.81074999999999997</v>
      </c>
      <c r="G1493" s="144">
        <v>1.2090000000000001</v>
      </c>
      <c r="I1493" s="144">
        <v>1</v>
      </c>
      <c r="J1493" s="145">
        <f t="shared" si="173"/>
        <v>41277</v>
      </c>
      <c r="K1493" s="144">
        <f t="shared" ca="1" si="174"/>
        <v>0.92275988398717756</v>
      </c>
      <c r="L1493" s="144">
        <f t="shared" ca="1" si="174"/>
        <v>0.61879865669363454</v>
      </c>
      <c r="M1493" s="144">
        <f t="shared" ca="1" si="174"/>
        <v>86.956189894672576</v>
      </c>
      <c r="N1493" s="144">
        <f t="shared" ca="1" si="174"/>
        <v>5.5651808884139822</v>
      </c>
      <c r="O1493" s="144">
        <f t="shared" ca="1" si="174"/>
        <v>30.299954205464811</v>
      </c>
      <c r="P1493" s="144">
        <f t="shared" ca="1" si="174"/>
        <v>1</v>
      </c>
      <c r="Q1493" s="144">
        <f t="shared" ca="1" si="174"/>
        <v>0.76324225309113114</v>
      </c>
    </row>
    <row r="1494" spans="1:17" x14ac:dyDescent="0.25">
      <c r="A1494" s="145">
        <v>41276</v>
      </c>
      <c r="B1494" s="144">
        <v>1.3262</v>
      </c>
      <c r="C1494" s="144">
        <v>40.033999999999999</v>
      </c>
      <c r="D1494" s="144">
        <v>7.3174999999999999</v>
      </c>
      <c r="E1494" s="144">
        <v>115.38</v>
      </c>
      <c r="F1494" s="144">
        <v>0.81399999999999995</v>
      </c>
      <c r="G1494" s="144">
        <v>1.2090000000000001</v>
      </c>
      <c r="I1494" s="144">
        <v>1</v>
      </c>
      <c r="J1494" s="145">
        <f t="shared" si="173"/>
        <v>41276</v>
      </c>
      <c r="K1494" s="144">
        <f t="shared" ca="1" si="174"/>
        <v>0.9116272055496909</v>
      </c>
      <c r="L1494" s="144">
        <f t="shared" ca="1" si="174"/>
        <v>0.61378374302518468</v>
      </c>
      <c r="M1494" s="144">
        <f t="shared" ca="1" si="174"/>
        <v>87.000452420449392</v>
      </c>
      <c r="N1494" s="144">
        <f t="shared" ca="1" si="174"/>
        <v>5.5176443975267677</v>
      </c>
      <c r="O1494" s="144">
        <f t="shared" ca="1" si="174"/>
        <v>30.187000452420449</v>
      </c>
      <c r="P1494" s="144">
        <f t="shared" ca="1" si="174"/>
        <v>1</v>
      </c>
      <c r="Q1494" s="144">
        <f t="shared" ca="1" si="174"/>
        <v>0.75403408234052172</v>
      </c>
    </row>
    <row r="1495" spans="1:17" x14ac:dyDescent="0.25">
      <c r="A1495" s="145">
        <v>41275</v>
      </c>
      <c r="B1495" s="144">
        <v>1.3193999999999999</v>
      </c>
      <c r="C1495" s="144">
        <v>40.329500000000003</v>
      </c>
      <c r="D1495" s="144">
        <v>7.3483000000000001</v>
      </c>
      <c r="E1495" s="144">
        <v>113.61</v>
      </c>
      <c r="F1495" s="144">
        <v>0.81610000000000005</v>
      </c>
      <c r="G1495" s="144">
        <v>1.2072000000000001</v>
      </c>
      <c r="I1495" s="144">
        <v>1</v>
      </c>
      <c r="J1495" s="145">
        <f t="shared" si="173"/>
        <v>41275</v>
      </c>
      <c r="K1495" s="144">
        <f t="shared" ref="K1495:Q1504" ca="1" si="175">OFFSET($A1495,0,K$3)/OFFSET($A1495,0,$P$3)</f>
        <v>0.9149613460663939</v>
      </c>
      <c r="L1495" s="144">
        <f t="shared" ca="1" si="175"/>
        <v>0.61853872972563295</v>
      </c>
      <c r="M1495" s="144">
        <f t="shared" ca="1" si="175"/>
        <v>86.107321509777179</v>
      </c>
      <c r="N1495" s="144">
        <f t="shared" ca="1" si="175"/>
        <v>5.5694254964377752</v>
      </c>
      <c r="O1495" s="144">
        <f t="shared" ca="1" si="175"/>
        <v>30.566545399423983</v>
      </c>
      <c r="P1495" s="144">
        <f t="shared" ca="1" si="175"/>
        <v>1</v>
      </c>
      <c r="Q1495" s="144">
        <f t="shared" ca="1" si="175"/>
        <v>0.757920266787934</v>
      </c>
    </row>
    <row r="1496" spans="1:17" x14ac:dyDescent="0.25">
      <c r="A1496" s="145">
        <v>41274</v>
      </c>
      <c r="B1496" s="144">
        <v>1.3193999999999999</v>
      </c>
      <c r="C1496" s="144">
        <v>40.329500000000003</v>
      </c>
      <c r="D1496" s="144">
        <v>7.3483000000000001</v>
      </c>
      <c r="E1496" s="144">
        <v>113.61</v>
      </c>
      <c r="F1496" s="144">
        <v>0.81610000000000005</v>
      </c>
      <c r="G1496" s="144">
        <v>1.2072000000000001</v>
      </c>
      <c r="I1496" s="144">
        <v>1</v>
      </c>
      <c r="J1496" s="145">
        <f t="shared" si="173"/>
        <v>41274</v>
      </c>
      <c r="K1496" s="144">
        <f t="shared" ca="1" si="175"/>
        <v>0.9149613460663939</v>
      </c>
      <c r="L1496" s="144">
        <f t="shared" ca="1" si="175"/>
        <v>0.61853872972563295</v>
      </c>
      <c r="M1496" s="144">
        <f t="shared" ca="1" si="175"/>
        <v>86.107321509777179</v>
      </c>
      <c r="N1496" s="144">
        <f t="shared" ca="1" si="175"/>
        <v>5.5694254964377752</v>
      </c>
      <c r="O1496" s="144">
        <f t="shared" ca="1" si="175"/>
        <v>30.566545399423983</v>
      </c>
      <c r="P1496" s="144">
        <f t="shared" ca="1" si="175"/>
        <v>1</v>
      </c>
      <c r="Q1496" s="144">
        <f t="shared" ca="1" si="175"/>
        <v>0.757920266787934</v>
      </c>
    </row>
    <row r="1497" spans="1:17" x14ac:dyDescent="0.25">
      <c r="A1497" s="145">
        <v>41273</v>
      </c>
      <c r="B1497" s="144">
        <v>1.3183</v>
      </c>
      <c r="C1497" s="144">
        <v>40.229999999999997</v>
      </c>
      <c r="D1497" s="144">
        <v>7.3375000000000004</v>
      </c>
      <c r="E1497" s="144">
        <v>113.5</v>
      </c>
      <c r="F1497" s="144">
        <v>0.81694999999999995</v>
      </c>
      <c r="G1497" s="144">
        <v>1.208</v>
      </c>
      <c r="I1497" s="144">
        <v>1</v>
      </c>
      <c r="J1497" s="145">
        <f t="shared" si="173"/>
        <v>41273</v>
      </c>
      <c r="K1497" s="144">
        <f t="shared" ca="1" si="175"/>
        <v>0.91633163923234462</v>
      </c>
      <c r="L1497" s="144">
        <f t="shared" ca="1" si="175"/>
        <v>0.61969961313813238</v>
      </c>
      <c r="M1497" s="144">
        <f t="shared" ca="1" si="175"/>
        <v>86.095729348403239</v>
      </c>
      <c r="N1497" s="144">
        <f t="shared" ca="1" si="175"/>
        <v>5.565880300386862</v>
      </c>
      <c r="O1497" s="144">
        <f t="shared" ca="1" si="175"/>
        <v>30.516574376090418</v>
      </c>
      <c r="P1497" s="144">
        <f t="shared" ca="1" si="175"/>
        <v>1</v>
      </c>
      <c r="Q1497" s="144">
        <f t="shared" ca="1" si="175"/>
        <v>0.75855268148372901</v>
      </c>
    </row>
    <row r="1498" spans="1:17" x14ac:dyDescent="0.25">
      <c r="A1498" s="145">
        <v>41272</v>
      </c>
      <c r="B1498" s="144">
        <v>1.3183</v>
      </c>
      <c r="C1498" s="144">
        <v>40.229999999999997</v>
      </c>
      <c r="D1498" s="144">
        <v>7.3375000000000004</v>
      </c>
      <c r="E1498" s="144">
        <v>113.5</v>
      </c>
      <c r="F1498" s="144">
        <v>0.81694999999999995</v>
      </c>
      <c r="G1498" s="144">
        <v>1.208</v>
      </c>
      <c r="I1498" s="144">
        <v>1</v>
      </c>
      <c r="J1498" s="145">
        <f t="shared" si="173"/>
        <v>41272</v>
      </c>
      <c r="K1498" s="144">
        <f t="shared" ca="1" si="175"/>
        <v>0.91633163923234462</v>
      </c>
      <c r="L1498" s="144">
        <f t="shared" ca="1" si="175"/>
        <v>0.61969961313813238</v>
      </c>
      <c r="M1498" s="144">
        <f t="shared" ca="1" si="175"/>
        <v>86.095729348403239</v>
      </c>
      <c r="N1498" s="144">
        <f t="shared" ca="1" si="175"/>
        <v>5.565880300386862</v>
      </c>
      <c r="O1498" s="144">
        <f t="shared" ca="1" si="175"/>
        <v>30.516574376090418</v>
      </c>
      <c r="P1498" s="144">
        <f t="shared" ca="1" si="175"/>
        <v>1</v>
      </c>
      <c r="Q1498" s="144">
        <f t="shared" ca="1" si="175"/>
        <v>0.75855268148372901</v>
      </c>
    </row>
    <row r="1499" spans="1:17" x14ac:dyDescent="0.25">
      <c r="A1499" s="145">
        <v>41271</v>
      </c>
      <c r="B1499" s="144">
        <v>1.3183</v>
      </c>
      <c r="C1499" s="144">
        <v>40.229999999999997</v>
      </c>
      <c r="D1499" s="144">
        <v>7.3375000000000004</v>
      </c>
      <c r="E1499" s="144">
        <v>113.5</v>
      </c>
      <c r="F1499" s="144">
        <v>0.81694999999999995</v>
      </c>
      <c r="G1499" s="144">
        <v>1.208</v>
      </c>
      <c r="I1499" s="144">
        <v>1</v>
      </c>
      <c r="J1499" s="145">
        <f t="shared" si="173"/>
        <v>41271</v>
      </c>
      <c r="K1499" s="144">
        <f t="shared" ca="1" si="175"/>
        <v>0.91633163923234462</v>
      </c>
      <c r="L1499" s="144">
        <f t="shared" ca="1" si="175"/>
        <v>0.61969961313813238</v>
      </c>
      <c r="M1499" s="144">
        <f t="shared" ca="1" si="175"/>
        <v>86.095729348403239</v>
      </c>
      <c r="N1499" s="144">
        <f t="shared" ca="1" si="175"/>
        <v>5.565880300386862</v>
      </c>
      <c r="O1499" s="144">
        <f t="shared" ca="1" si="175"/>
        <v>30.516574376090418</v>
      </c>
      <c r="P1499" s="144">
        <f t="shared" ca="1" si="175"/>
        <v>1</v>
      </c>
      <c r="Q1499" s="144">
        <f t="shared" ca="1" si="175"/>
        <v>0.75855268148372901</v>
      </c>
    </row>
    <row r="1500" spans="1:17" x14ac:dyDescent="0.25">
      <c r="A1500" s="145">
        <v>41270</v>
      </c>
      <c r="B1500" s="144">
        <v>1.3266</v>
      </c>
      <c r="C1500" s="144">
        <v>40.370600000000003</v>
      </c>
      <c r="D1500" s="144">
        <v>7.3760000000000003</v>
      </c>
      <c r="E1500" s="144">
        <v>113.87</v>
      </c>
      <c r="F1500" s="144">
        <v>0.81989999999999996</v>
      </c>
      <c r="G1500" s="144">
        <v>1.2081999999999999</v>
      </c>
      <c r="I1500" s="144">
        <v>1</v>
      </c>
      <c r="J1500" s="145">
        <f t="shared" si="173"/>
        <v>41270</v>
      </c>
      <c r="K1500" s="144">
        <f t="shared" ca="1" si="175"/>
        <v>0.9107492838836122</v>
      </c>
      <c r="L1500" s="144">
        <f t="shared" ca="1" si="175"/>
        <v>0.61804613297150612</v>
      </c>
      <c r="M1500" s="144">
        <f t="shared" ca="1" si="175"/>
        <v>85.835971656867187</v>
      </c>
      <c r="N1500" s="144">
        <f t="shared" ca="1" si="175"/>
        <v>5.5600783958992919</v>
      </c>
      <c r="O1500" s="144">
        <f t="shared" ca="1" si="175"/>
        <v>30.431629730137196</v>
      </c>
      <c r="P1500" s="144">
        <f t="shared" ca="1" si="175"/>
        <v>1</v>
      </c>
      <c r="Q1500" s="144">
        <f t="shared" ca="1" si="175"/>
        <v>0.7538067239559777</v>
      </c>
    </row>
    <row r="1501" spans="1:17" x14ac:dyDescent="0.25">
      <c r="A1501" s="145">
        <v>41269</v>
      </c>
      <c r="B1501" s="144">
        <v>1.3218000000000001</v>
      </c>
      <c r="C1501" s="144">
        <v>40.503</v>
      </c>
      <c r="D1501" s="144">
        <v>7.3695000000000004</v>
      </c>
      <c r="E1501" s="144">
        <v>111.64</v>
      </c>
      <c r="F1501" s="144">
        <v>0.8175</v>
      </c>
      <c r="G1501" s="144">
        <v>1.2070000000000001</v>
      </c>
      <c r="I1501" s="144">
        <v>1</v>
      </c>
      <c r="J1501" s="145">
        <f t="shared" si="173"/>
        <v>41269</v>
      </c>
      <c r="K1501" s="144">
        <f t="shared" ca="1" si="175"/>
        <v>0.9131487365713421</v>
      </c>
      <c r="L1501" s="144">
        <f t="shared" ca="1" si="175"/>
        <v>0.6184748070812528</v>
      </c>
      <c r="M1501" s="144">
        <f t="shared" ca="1" si="175"/>
        <v>84.460584052050223</v>
      </c>
      <c r="N1501" s="144">
        <f t="shared" ca="1" si="175"/>
        <v>5.5753517930095322</v>
      </c>
      <c r="O1501" s="144">
        <f t="shared" ca="1" si="175"/>
        <v>30.642305946436675</v>
      </c>
      <c r="P1501" s="144">
        <f t="shared" ca="1" si="175"/>
        <v>1</v>
      </c>
      <c r="Q1501" s="144">
        <f t="shared" ca="1" si="175"/>
        <v>0.75654410652141013</v>
      </c>
    </row>
    <row r="1502" spans="1:17" x14ac:dyDescent="0.25">
      <c r="A1502" s="145">
        <v>41268</v>
      </c>
      <c r="B1502" s="144">
        <v>1.3218000000000001</v>
      </c>
      <c r="C1502" s="144">
        <v>40.503</v>
      </c>
      <c r="D1502" s="144">
        <v>7.3695000000000004</v>
      </c>
      <c r="E1502" s="144">
        <v>111.64</v>
      </c>
      <c r="F1502" s="144">
        <v>0.8175</v>
      </c>
      <c r="G1502" s="144">
        <v>1.2070000000000001</v>
      </c>
      <c r="I1502" s="144">
        <v>1</v>
      </c>
      <c r="J1502" s="145">
        <f t="shared" si="173"/>
        <v>41268</v>
      </c>
      <c r="K1502" s="144">
        <f t="shared" ca="1" si="175"/>
        <v>0.9131487365713421</v>
      </c>
      <c r="L1502" s="144">
        <f t="shared" ca="1" si="175"/>
        <v>0.6184748070812528</v>
      </c>
      <c r="M1502" s="144">
        <f t="shared" ca="1" si="175"/>
        <v>84.460584052050223</v>
      </c>
      <c r="N1502" s="144">
        <f t="shared" ca="1" si="175"/>
        <v>5.5753517930095322</v>
      </c>
      <c r="O1502" s="144">
        <f t="shared" ca="1" si="175"/>
        <v>30.642305946436675</v>
      </c>
      <c r="P1502" s="144">
        <f t="shared" ca="1" si="175"/>
        <v>1</v>
      </c>
      <c r="Q1502" s="144">
        <f t="shared" ca="1" si="175"/>
        <v>0.75654410652141013</v>
      </c>
    </row>
    <row r="1503" spans="1:17" x14ac:dyDescent="0.25">
      <c r="A1503" s="145">
        <v>41267</v>
      </c>
      <c r="B1503" s="144">
        <v>1.3218000000000001</v>
      </c>
      <c r="C1503" s="144">
        <v>40.503</v>
      </c>
      <c r="D1503" s="144">
        <v>7.3695000000000004</v>
      </c>
      <c r="E1503" s="144">
        <v>111.64</v>
      </c>
      <c r="F1503" s="144">
        <v>0.8175</v>
      </c>
      <c r="G1503" s="144">
        <v>1.2070000000000001</v>
      </c>
      <c r="I1503" s="144">
        <v>1</v>
      </c>
      <c r="J1503" s="145">
        <f t="shared" si="173"/>
        <v>41267</v>
      </c>
      <c r="K1503" s="144">
        <f t="shared" ca="1" si="175"/>
        <v>0.9131487365713421</v>
      </c>
      <c r="L1503" s="144">
        <f t="shared" ca="1" si="175"/>
        <v>0.6184748070812528</v>
      </c>
      <c r="M1503" s="144">
        <f t="shared" ca="1" si="175"/>
        <v>84.460584052050223</v>
      </c>
      <c r="N1503" s="144">
        <f t="shared" ca="1" si="175"/>
        <v>5.5753517930095322</v>
      </c>
      <c r="O1503" s="144">
        <f t="shared" ca="1" si="175"/>
        <v>30.642305946436675</v>
      </c>
      <c r="P1503" s="144">
        <f t="shared" ca="1" si="175"/>
        <v>1</v>
      </c>
      <c r="Q1503" s="144">
        <f t="shared" ca="1" si="175"/>
        <v>0.75654410652141013</v>
      </c>
    </row>
    <row r="1504" spans="1:17" x14ac:dyDescent="0.25">
      <c r="A1504" s="145">
        <v>41266</v>
      </c>
      <c r="B1504" s="144">
        <v>1.3209</v>
      </c>
      <c r="C1504" s="144">
        <v>40.594999999999999</v>
      </c>
      <c r="D1504" s="144">
        <v>7.3155000000000001</v>
      </c>
      <c r="E1504" s="144">
        <v>110.99</v>
      </c>
      <c r="F1504" s="144">
        <v>0.81420000000000003</v>
      </c>
      <c r="G1504" s="144">
        <v>1.2077</v>
      </c>
      <c r="I1504" s="144">
        <v>1</v>
      </c>
      <c r="J1504" s="145">
        <f t="shared" si="173"/>
        <v>41266</v>
      </c>
      <c r="K1504" s="144">
        <f t="shared" ca="1" si="175"/>
        <v>0.91430085547732609</v>
      </c>
      <c r="L1504" s="144">
        <f t="shared" ca="1" si="175"/>
        <v>0.61639791051555759</v>
      </c>
      <c r="M1504" s="144">
        <f t="shared" ca="1" si="175"/>
        <v>84.026042849572264</v>
      </c>
      <c r="N1504" s="144">
        <f t="shared" ca="1" si="175"/>
        <v>5.5382693617987737</v>
      </c>
      <c r="O1504" s="144">
        <f t="shared" ca="1" si="175"/>
        <v>30.732833674010145</v>
      </c>
      <c r="P1504" s="144">
        <f t="shared" ca="1" si="175"/>
        <v>1</v>
      </c>
      <c r="Q1504" s="144">
        <f t="shared" ca="1" si="175"/>
        <v>0.75705958058899236</v>
      </c>
    </row>
    <row r="1505" spans="1:17" x14ac:dyDescent="0.25">
      <c r="A1505" s="145">
        <v>41265</v>
      </c>
      <c r="B1505" s="144">
        <v>1.3209</v>
      </c>
      <c r="C1505" s="144">
        <v>40.594999999999999</v>
      </c>
      <c r="D1505" s="144">
        <v>7.3155000000000001</v>
      </c>
      <c r="E1505" s="144">
        <v>110.99</v>
      </c>
      <c r="F1505" s="144">
        <v>0.81420000000000003</v>
      </c>
      <c r="G1505" s="144">
        <v>1.2077</v>
      </c>
      <c r="I1505" s="144">
        <v>1</v>
      </c>
      <c r="J1505" s="145">
        <f t="shared" si="173"/>
        <v>41265</v>
      </c>
      <c r="K1505" s="144">
        <f t="shared" ref="K1505:Q1514" ca="1" si="176">OFFSET($A1505,0,K$3)/OFFSET($A1505,0,$P$3)</f>
        <v>0.91430085547732609</v>
      </c>
      <c r="L1505" s="144">
        <f t="shared" ca="1" si="176"/>
        <v>0.61639791051555759</v>
      </c>
      <c r="M1505" s="144">
        <f t="shared" ca="1" si="176"/>
        <v>84.026042849572264</v>
      </c>
      <c r="N1505" s="144">
        <f t="shared" ca="1" si="176"/>
        <v>5.5382693617987737</v>
      </c>
      <c r="O1505" s="144">
        <f t="shared" ca="1" si="176"/>
        <v>30.732833674010145</v>
      </c>
      <c r="P1505" s="144">
        <f t="shared" ca="1" si="176"/>
        <v>1</v>
      </c>
      <c r="Q1505" s="144">
        <f t="shared" ca="1" si="176"/>
        <v>0.75705958058899236</v>
      </c>
    </row>
    <row r="1506" spans="1:17" x14ac:dyDescent="0.25">
      <c r="A1506" s="145">
        <v>41264</v>
      </c>
      <c r="B1506" s="144">
        <v>1.3209</v>
      </c>
      <c r="C1506" s="144">
        <v>40.594999999999999</v>
      </c>
      <c r="D1506" s="144">
        <v>7.3155000000000001</v>
      </c>
      <c r="E1506" s="144">
        <v>110.99</v>
      </c>
      <c r="F1506" s="144">
        <v>0.81420000000000003</v>
      </c>
      <c r="G1506" s="144">
        <v>1.2077</v>
      </c>
      <c r="I1506" s="144">
        <v>1</v>
      </c>
      <c r="J1506" s="145">
        <f t="shared" si="173"/>
        <v>41264</v>
      </c>
      <c r="K1506" s="144">
        <f t="shared" ca="1" si="176"/>
        <v>0.91430085547732609</v>
      </c>
      <c r="L1506" s="144">
        <f t="shared" ca="1" si="176"/>
        <v>0.61639791051555759</v>
      </c>
      <c r="M1506" s="144">
        <f t="shared" ca="1" si="176"/>
        <v>84.026042849572264</v>
      </c>
      <c r="N1506" s="144">
        <f t="shared" ca="1" si="176"/>
        <v>5.5382693617987737</v>
      </c>
      <c r="O1506" s="144">
        <f t="shared" ca="1" si="176"/>
        <v>30.732833674010145</v>
      </c>
      <c r="P1506" s="144">
        <f t="shared" ca="1" si="176"/>
        <v>1</v>
      </c>
      <c r="Q1506" s="144">
        <f t="shared" ca="1" si="176"/>
        <v>0.75705958058899236</v>
      </c>
    </row>
    <row r="1507" spans="1:17" x14ac:dyDescent="0.25">
      <c r="A1507" s="145">
        <v>41263</v>
      </c>
      <c r="B1507" s="144">
        <v>1.3246</v>
      </c>
      <c r="C1507" s="144">
        <v>40.656999999999996</v>
      </c>
      <c r="D1507" s="144">
        <v>7.3644999999999996</v>
      </c>
      <c r="E1507" s="144">
        <v>111.52</v>
      </c>
      <c r="F1507" s="144">
        <v>0.81459999999999999</v>
      </c>
      <c r="G1507" s="144">
        <v>1.2079</v>
      </c>
      <c r="I1507" s="144">
        <v>1</v>
      </c>
      <c r="J1507" s="145">
        <f t="shared" si="173"/>
        <v>41263</v>
      </c>
      <c r="K1507" s="144">
        <f t="shared" ca="1" si="176"/>
        <v>0.91189793145100406</v>
      </c>
      <c r="L1507" s="144">
        <f t="shared" ca="1" si="176"/>
        <v>0.61497810659821828</v>
      </c>
      <c r="M1507" s="144">
        <f t="shared" ca="1" si="176"/>
        <v>84.191454023856252</v>
      </c>
      <c r="N1507" s="144">
        <f t="shared" ca="1" si="176"/>
        <v>5.5597916352106296</v>
      </c>
      <c r="O1507" s="144">
        <f t="shared" ca="1" si="176"/>
        <v>30.693794353012226</v>
      </c>
      <c r="P1507" s="144">
        <f t="shared" ca="1" si="176"/>
        <v>1</v>
      </c>
      <c r="Q1507" s="144">
        <f t="shared" ca="1" si="176"/>
        <v>0.75494488902310131</v>
      </c>
    </row>
    <row r="1508" spans="1:17" x14ac:dyDescent="0.25">
      <c r="A1508" s="145">
        <v>41262</v>
      </c>
      <c r="B1508" s="144">
        <v>1.3302</v>
      </c>
      <c r="C1508" s="144">
        <v>40.79</v>
      </c>
      <c r="D1508" s="144">
        <v>7.3754999999999997</v>
      </c>
      <c r="E1508" s="144">
        <v>112.36</v>
      </c>
      <c r="F1508" s="144">
        <v>0.81610000000000005</v>
      </c>
      <c r="G1508" s="144">
        <v>1.2096</v>
      </c>
      <c r="I1508" s="144">
        <v>1</v>
      </c>
      <c r="J1508" s="145">
        <f t="shared" si="173"/>
        <v>41262</v>
      </c>
      <c r="K1508" s="144">
        <f t="shared" ca="1" si="176"/>
        <v>0.90933694181326119</v>
      </c>
      <c r="L1508" s="144">
        <f t="shared" ca="1" si="176"/>
        <v>0.6135167643963314</v>
      </c>
      <c r="M1508" s="144">
        <f t="shared" ca="1" si="176"/>
        <v>84.468500977296642</v>
      </c>
      <c r="N1508" s="144">
        <f t="shared" ca="1" si="176"/>
        <v>5.5446549391069011</v>
      </c>
      <c r="O1508" s="144">
        <f t="shared" ca="1" si="176"/>
        <v>30.664561720042098</v>
      </c>
      <c r="P1508" s="144">
        <f t="shared" ca="1" si="176"/>
        <v>1</v>
      </c>
      <c r="Q1508" s="144">
        <f t="shared" ca="1" si="176"/>
        <v>0.7517666516313336</v>
      </c>
    </row>
    <row r="1509" spans="1:17" x14ac:dyDescent="0.25">
      <c r="A1509" s="145">
        <v>41261</v>
      </c>
      <c r="B1509" s="144">
        <v>1.3178000000000001</v>
      </c>
      <c r="C1509" s="144">
        <v>40.685000000000002</v>
      </c>
      <c r="D1509" s="144">
        <v>7.3849999999999998</v>
      </c>
      <c r="E1509" s="144">
        <v>110.53</v>
      </c>
      <c r="F1509" s="144">
        <v>0.81279999999999997</v>
      </c>
      <c r="G1509" s="144">
        <v>1.208</v>
      </c>
      <c r="I1509" s="144">
        <v>1</v>
      </c>
      <c r="J1509" s="145">
        <f t="shared" si="173"/>
        <v>41261</v>
      </c>
      <c r="K1509" s="144">
        <f t="shared" ca="1" si="176"/>
        <v>0.91667931400819536</v>
      </c>
      <c r="L1509" s="144">
        <f t="shared" ca="1" si="176"/>
        <v>0.61678555167703741</v>
      </c>
      <c r="M1509" s="144">
        <f t="shared" ca="1" si="176"/>
        <v>83.874639550766418</v>
      </c>
      <c r="N1509" s="144">
        <f t="shared" ca="1" si="176"/>
        <v>5.604037031415996</v>
      </c>
      <c r="O1509" s="144">
        <f t="shared" ca="1" si="176"/>
        <v>30.873425405979663</v>
      </c>
      <c r="P1509" s="144">
        <f t="shared" ca="1" si="176"/>
        <v>1</v>
      </c>
      <c r="Q1509" s="144">
        <f t="shared" ca="1" si="176"/>
        <v>0.75884049172863854</v>
      </c>
    </row>
    <row r="1510" spans="1:17" x14ac:dyDescent="0.25">
      <c r="A1510" s="145">
        <v>41260</v>
      </c>
      <c r="B1510" s="144">
        <v>1.3160000000000001</v>
      </c>
      <c r="C1510" s="144">
        <v>40.564999999999998</v>
      </c>
      <c r="D1510" s="144">
        <v>7.3704999999999998</v>
      </c>
      <c r="E1510" s="144">
        <v>110.39</v>
      </c>
      <c r="F1510" s="144">
        <v>0.81200000000000006</v>
      </c>
      <c r="G1510" s="144">
        <v>1.2081999999999999</v>
      </c>
      <c r="I1510" s="144">
        <v>1</v>
      </c>
      <c r="J1510" s="145">
        <f t="shared" si="173"/>
        <v>41260</v>
      </c>
      <c r="K1510" s="144">
        <f t="shared" ca="1" si="176"/>
        <v>0.91808510638297869</v>
      </c>
      <c r="L1510" s="144">
        <f t="shared" ca="1" si="176"/>
        <v>0.61702127659574468</v>
      </c>
      <c r="M1510" s="144">
        <f t="shared" ca="1" si="176"/>
        <v>83.88297872340425</v>
      </c>
      <c r="N1510" s="144">
        <f t="shared" ca="1" si="176"/>
        <v>5.6006838905775069</v>
      </c>
      <c r="O1510" s="144">
        <f t="shared" ca="1" si="176"/>
        <v>30.824468085106378</v>
      </c>
      <c r="P1510" s="144">
        <f t="shared" ca="1" si="176"/>
        <v>1</v>
      </c>
      <c r="Q1510" s="144">
        <f t="shared" ca="1" si="176"/>
        <v>0.75987841945288748</v>
      </c>
    </row>
    <row r="1511" spans="1:17" x14ac:dyDescent="0.25">
      <c r="A1511" s="145">
        <v>41259</v>
      </c>
      <c r="B1511" s="144">
        <v>1.3081</v>
      </c>
      <c r="C1511" s="144">
        <v>40.250700000000002</v>
      </c>
      <c r="D1511" s="144">
        <v>7.3715000000000002</v>
      </c>
      <c r="E1511" s="144">
        <v>109.55</v>
      </c>
      <c r="F1511" s="144">
        <v>0.8115</v>
      </c>
      <c r="G1511" s="144">
        <v>1.2089000000000001</v>
      </c>
      <c r="I1511" s="144">
        <v>1</v>
      </c>
      <c r="J1511" s="145">
        <f t="shared" si="173"/>
        <v>41259</v>
      </c>
      <c r="K1511" s="144">
        <f t="shared" ca="1" si="176"/>
        <v>0.92416481920342486</v>
      </c>
      <c r="L1511" s="144">
        <f t="shared" ca="1" si="176"/>
        <v>0.62036541548811253</v>
      </c>
      <c r="M1511" s="144">
        <f t="shared" ca="1" si="176"/>
        <v>83.747419922024307</v>
      </c>
      <c r="N1511" s="144">
        <f t="shared" ca="1" si="176"/>
        <v>5.6352725326809878</v>
      </c>
      <c r="O1511" s="144">
        <f t="shared" ca="1" si="176"/>
        <v>30.770353948474888</v>
      </c>
      <c r="P1511" s="144">
        <f t="shared" ca="1" si="176"/>
        <v>1</v>
      </c>
      <c r="Q1511" s="144">
        <f t="shared" ca="1" si="176"/>
        <v>0.76446754835257236</v>
      </c>
    </row>
    <row r="1512" spans="1:17" x14ac:dyDescent="0.25">
      <c r="A1512" s="145">
        <v>41258</v>
      </c>
      <c r="B1512" s="144">
        <v>1.3081</v>
      </c>
      <c r="C1512" s="144">
        <v>40.250700000000002</v>
      </c>
      <c r="D1512" s="144">
        <v>7.3715000000000002</v>
      </c>
      <c r="E1512" s="144">
        <v>109.55</v>
      </c>
      <c r="F1512" s="144">
        <v>0.8115</v>
      </c>
      <c r="G1512" s="144">
        <v>1.2089000000000001</v>
      </c>
      <c r="I1512" s="144">
        <v>1</v>
      </c>
      <c r="J1512" s="145">
        <f t="shared" si="173"/>
        <v>41258</v>
      </c>
      <c r="K1512" s="144">
        <f t="shared" ca="1" si="176"/>
        <v>0.92416481920342486</v>
      </c>
      <c r="L1512" s="144">
        <f t="shared" ca="1" si="176"/>
        <v>0.62036541548811253</v>
      </c>
      <c r="M1512" s="144">
        <f t="shared" ca="1" si="176"/>
        <v>83.747419922024307</v>
      </c>
      <c r="N1512" s="144">
        <f t="shared" ca="1" si="176"/>
        <v>5.6352725326809878</v>
      </c>
      <c r="O1512" s="144">
        <f t="shared" ca="1" si="176"/>
        <v>30.770353948474888</v>
      </c>
      <c r="P1512" s="144">
        <f t="shared" ca="1" si="176"/>
        <v>1</v>
      </c>
      <c r="Q1512" s="144">
        <f t="shared" ca="1" si="176"/>
        <v>0.76446754835257236</v>
      </c>
    </row>
    <row r="1513" spans="1:17" x14ac:dyDescent="0.25">
      <c r="A1513" s="145">
        <v>41257</v>
      </c>
      <c r="B1513" s="144">
        <v>1.3081</v>
      </c>
      <c r="C1513" s="144">
        <v>40.250700000000002</v>
      </c>
      <c r="D1513" s="144">
        <v>7.3715000000000002</v>
      </c>
      <c r="E1513" s="144">
        <v>109.55</v>
      </c>
      <c r="F1513" s="144">
        <v>0.8115</v>
      </c>
      <c r="G1513" s="144">
        <v>1.2089000000000001</v>
      </c>
      <c r="I1513" s="144">
        <v>1</v>
      </c>
      <c r="J1513" s="145">
        <f t="shared" si="173"/>
        <v>41257</v>
      </c>
      <c r="K1513" s="144">
        <f t="shared" ca="1" si="176"/>
        <v>0.92416481920342486</v>
      </c>
      <c r="L1513" s="144">
        <f t="shared" ca="1" si="176"/>
        <v>0.62036541548811253</v>
      </c>
      <c r="M1513" s="144">
        <f t="shared" ca="1" si="176"/>
        <v>83.747419922024307</v>
      </c>
      <c r="N1513" s="144">
        <f t="shared" ca="1" si="176"/>
        <v>5.6352725326809878</v>
      </c>
      <c r="O1513" s="144">
        <f t="shared" ca="1" si="176"/>
        <v>30.770353948474888</v>
      </c>
      <c r="P1513" s="144">
        <f t="shared" ca="1" si="176"/>
        <v>1</v>
      </c>
      <c r="Q1513" s="144">
        <f t="shared" ca="1" si="176"/>
        <v>0.76446754835257236</v>
      </c>
    </row>
    <row r="1514" spans="1:17" x14ac:dyDescent="0.25">
      <c r="A1514" s="145">
        <v>41256</v>
      </c>
      <c r="B1514" s="144">
        <v>1.3077000000000001</v>
      </c>
      <c r="C1514" s="144">
        <v>40.090000000000003</v>
      </c>
      <c r="D1514" s="144">
        <v>7.3324999999999996</v>
      </c>
      <c r="E1514" s="144">
        <v>109.18</v>
      </c>
      <c r="F1514" s="144">
        <v>0.81005000000000005</v>
      </c>
      <c r="G1514" s="144">
        <v>1.2090000000000001</v>
      </c>
      <c r="I1514" s="144">
        <v>1</v>
      </c>
      <c r="J1514" s="145">
        <f t="shared" si="173"/>
        <v>41256</v>
      </c>
      <c r="K1514" s="144">
        <f t="shared" ca="1" si="176"/>
        <v>0.92452397338839187</v>
      </c>
      <c r="L1514" s="144">
        <f t="shared" ca="1" si="176"/>
        <v>0.61944635619790467</v>
      </c>
      <c r="M1514" s="144">
        <f t="shared" ca="1" si="176"/>
        <v>83.490097117075777</v>
      </c>
      <c r="N1514" s="144">
        <f t="shared" ca="1" si="176"/>
        <v>5.6071728989829461</v>
      </c>
      <c r="O1514" s="144">
        <f t="shared" ca="1" si="176"/>
        <v>30.656878488950067</v>
      </c>
      <c r="P1514" s="144">
        <f t="shared" ca="1" si="176"/>
        <v>1</v>
      </c>
      <c r="Q1514" s="144">
        <f t="shared" ca="1" si="176"/>
        <v>0.76470138410950517</v>
      </c>
    </row>
    <row r="1515" spans="1:17" x14ac:dyDescent="0.25">
      <c r="A1515" s="145">
        <v>41255</v>
      </c>
      <c r="B1515" s="144">
        <v>1.304</v>
      </c>
      <c r="C1515" s="144">
        <v>39.964500000000001</v>
      </c>
      <c r="D1515" s="144">
        <v>7.3295000000000003</v>
      </c>
      <c r="E1515" s="144">
        <v>108.12</v>
      </c>
      <c r="F1515" s="144">
        <v>0.80774999999999997</v>
      </c>
      <c r="G1515" s="144">
        <v>1.2109000000000001</v>
      </c>
      <c r="I1515" s="144">
        <v>1</v>
      </c>
      <c r="J1515" s="145">
        <f t="shared" si="173"/>
        <v>41255</v>
      </c>
      <c r="K1515" s="144">
        <f t="shared" ref="K1515:Q1524" ca="1" si="177">OFFSET($A1515,0,K$3)/OFFSET($A1515,0,$P$3)</f>
        <v>0.92860429447852766</v>
      </c>
      <c r="L1515" s="144">
        <f t="shared" ca="1" si="177"/>
        <v>0.61944018404907975</v>
      </c>
      <c r="M1515" s="144">
        <f t="shared" ca="1" si="177"/>
        <v>82.914110429447859</v>
      </c>
      <c r="N1515" s="144">
        <f t="shared" ca="1" si="177"/>
        <v>5.6207822085889569</v>
      </c>
      <c r="O1515" s="144">
        <f t="shared" ca="1" si="177"/>
        <v>30.647622699386503</v>
      </c>
      <c r="P1515" s="144">
        <f t="shared" ca="1" si="177"/>
        <v>1</v>
      </c>
      <c r="Q1515" s="144">
        <f t="shared" ca="1" si="177"/>
        <v>0.76687116564417179</v>
      </c>
    </row>
    <row r="1516" spans="1:17" x14ac:dyDescent="0.25">
      <c r="A1516" s="145">
        <v>41254</v>
      </c>
      <c r="B1516" s="144">
        <v>1.2992999999999999</v>
      </c>
      <c r="C1516" s="144">
        <v>39.865000000000002</v>
      </c>
      <c r="D1516" s="144">
        <v>7.3375000000000004</v>
      </c>
      <c r="E1516" s="144">
        <v>107.11</v>
      </c>
      <c r="F1516" s="144">
        <v>0.80740000000000001</v>
      </c>
      <c r="G1516" s="144">
        <v>1.2115</v>
      </c>
      <c r="I1516" s="144">
        <v>1</v>
      </c>
      <c r="J1516" s="145">
        <f t="shared" si="173"/>
        <v>41254</v>
      </c>
      <c r="K1516" s="144">
        <f t="shared" ca="1" si="177"/>
        <v>0.93242515200492582</v>
      </c>
      <c r="L1516" s="144">
        <f t="shared" ca="1" si="177"/>
        <v>0.62141152928499965</v>
      </c>
      <c r="M1516" s="144">
        <f t="shared" ca="1" si="177"/>
        <v>82.436696682829222</v>
      </c>
      <c r="N1516" s="144">
        <f t="shared" ca="1" si="177"/>
        <v>5.6472716077888103</v>
      </c>
      <c r="O1516" s="144">
        <f t="shared" ca="1" si="177"/>
        <v>30.681905641499274</v>
      </c>
      <c r="P1516" s="144">
        <f t="shared" ca="1" si="177"/>
        <v>1</v>
      </c>
      <c r="Q1516" s="144">
        <f t="shared" ca="1" si="177"/>
        <v>0.76964519356576622</v>
      </c>
    </row>
    <row r="1517" spans="1:17" x14ac:dyDescent="0.25">
      <c r="A1517" s="145">
        <v>41253</v>
      </c>
      <c r="B1517" s="144">
        <v>1.2929999999999999</v>
      </c>
      <c r="C1517" s="144">
        <v>39.744</v>
      </c>
      <c r="D1517" s="144">
        <v>7.3250000000000002</v>
      </c>
      <c r="E1517" s="144">
        <v>106.23</v>
      </c>
      <c r="F1517" s="144">
        <v>0.8044</v>
      </c>
      <c r="G1517" s="144">
        <v>1.2068000000000001</v>
      </c>
      <c r="I1517" s="144">
        <v>1</v>
      </c>
      <c r="J1517" s="145">
        <f t="shared" si="173"/>
        <v>41253</v>
      </c>
      <c r="K1517" s="144">
        <f t="shared" ca="1" si="177"/>
        <v>0.93333333333333346</v>
      </c>
      <c r="L1517" s="144">
        <f t="shared" ca="1" si="177"/>
        <v>0.62211910286156225</v>
      </c>
      <c r="M1517" s="144">
        <f t="shared" ca="1" si="177"/>
        <v>82.157772621809755</v>
      </c>
      <c r="N1517" s="144">
        <f t="shared" ca="1" si="177"/>
        <v>5.6651198762567674</v>
      </c>
      <c r="O1517" s="144">
        <f t="shared" ca="1" si="177"/>
        <v>30.737819025522043</v>
      </c>
      <c r="P1517" s="144">
        <f t="shared" ca="1" si="177"/>
        <v>1</v>
      </c>
      <c r="Q1517" s="144">
        <f t="shared" ca="1" si="177"/>
        <v>0.77339520494972935</v>
      </c>
    </row>
    <row r="1518" spans="1:17" x14ac:dyDescent="0.25">
      <c r="A1518" s="145">
        <v>41252</v>
      </c>
      <c r="B1518" s="144">
        <v>1.2905</v>
      </c>
      <c r="C1518" s="144">
        <v>39.950299999999999</v>
      </c>
      <c r="D1518" s="144">
        <v>7.3304999999999998</v>
      </c>
      <c r="E1518" s="144">
        <v>106.19</v>
      </c>
      <c r="F1518" s="144">
        <v>0.80610000000000004</v>
      </c>
      <c r="G1518" s="144">
        <v>1.2077</v>
      </c>
      <c r="I1518" s="144">
        <v>1</v>
      </c>
      <c r="J1518" s="145">
        <f t="shared" si="173"/>
        <v>41252</v>
      </c>
      <c r="K1518" s="144">
        <f t="shared" ca="1" si="177"/>
        <v>0.93583882216195269</v>
      </c>
      <c r="L1518" s="144">
        <f t="shared" ca="1" si="177"/>
        <v>0.62464161177838051</v>
      </c>
      <c r="M1518" s="144">
        <f t="shared" ca="1" si="177"/>
        <v>82.285935683843476</v>
      </c>
      <c r="N1518" s="144">
        <f t="shared" ca="1" si="177"/>
        <v>5.6803564509879889</v>
      </c>
      <c r="O1518" s="144">
        <f t="shared" ca="1" si="177"/>
        <v>30.9572258814413</v>
      </c>
      <c r="P1518" s="144">
        <f t="shared" ca="1" si="177"/>
        <v>1</v>
      </c>
      <c r="Q1518" s="144">
        <f t="shared" ca="1" si="177"/>
        <v>0.77489345215032934</v>
      </c>
    </row>
    <row r="1519" spans="1:17" x14ac:dyDescent="0.25">
      <c r="A1519" s="145">
        <v>41251</v>
      </c>
      <c r="B1519" s="144">
        <v>1.2905</v>
      </c>
      <c r="C1519" s="144">
        <v>39.950299999999999</v>
      </c>
      <c r="D1519" s="144">
        <v>7.3304999999999998</v>
      </c>
      <c r="E1519" s="144">
        <v>106.19</v>
      </c>
      <c r="F1519" s="144">
        <v>0.80610000000000004</v>
      </c>
      <c r="G1519" s="144">
        <v>1.2077</v>
      </c>
      <c r="I1519" s="144">
        <v>1</v>
      </c>
      <c r="J1519" s="145">
        <f t="shared" si="173"/>
        <v>41251</v>
      </c>
      <c r="K1519" s="144">
        <f t="shared" ca="1" si="177"/>
        <v>0.93583882216195269</v>
      </c>
      <c r="L1519" s="144">
        <f t="shared" ca="1" si="177"/>
        <v>0.62464161177838051</v>
      </c>
      <c r="M1519" s="144">
        <f t="shared" ca="1" si="177"/>
        <v>82.285935683843476</v>
      </c>
      <c r="N1519" s="144">
        <f t="shared" ca="1" si="177"/>
        <v>5.6803564509879889</v>
      </c>
      <c r="O1519" s="144">
        <f t="shared" ca="1" si="177"/>
        <v>30.9572258814413</v>
      </c>
      <c r="P1519" s="144">
        <f t="shared" ca="1" si="177"/>
        <v>1</v>
      </c>
      <c r="Q1519" s="144">
        <f t="shared" ca="1" si="177"/>
        <v>0.77489345215032934</v>
      </c>
    </row>
    <row r="1520" spans="1:17" x14ac:dyDescent="0.25">
      <c r="A1520" s="145">
        <v>41250</v>
      </c>
      <c r="B1520" s="144">
        <v>1.2905</v>
      </c>
      <c r="C1520" s="144">
        <v>39.950299999999999</v>
      </c>
      <c r="D1520" s="144">
        <v>7.3304999999999998</v>
      </c>
      <c r="E1520" s="144">
        <v>106.19</v>
      </c>
      <c r="F1520" s="144">
        <v>0.80610000000000004</v>
      </c>
      <c r="G1520" s="144">
        <v>1.2077</v>
      </c>
      <c r="I1520" s="144">
        <v>1</v>
      </c>
      <c r="J1520" s="145">
        <f t="shared" si="173"/>
        <v>41250</v>
      </c>
      <c r="K1520" s="144">
        <f t="shared" ca="1" si="177"/>
        <v>0.93583882216195269</v>
      </c>
      <c r="L1520" s="144">
        <f t="shared" ca="1" si="177"/>
        <v>0.62464161177838051</v>
      </c>
      <c r="M1520" s="144">
        <f t="shared" ca="1" si="177"/>
        <v>82.285935683843476</v>
      </c>
      <c r="N1520" s="144">
        <f t="shared" ca="1" si="177"/>
        <v>5.6803564509879889</v>
      </c>
      <c r="O1520" s="144">
        <f t="shared" ca="1" si="177"/>
        <v>30.9572258814413</v>
      </c>
      <c r="P1520" s="144">
        <f t="shared" ca="1" si="177"/>
        <v>1</v>
      </c>
      <c r="Q1520" s="144">
        <f t="shared" ca="1" si="177"/>
        <v>0.77489345215032934</v>
      </c>
    </row>
    <row r="1521" spans="1:17" x14ac:dyDescent="0.25">
      <c r="A1521" s="145">
        <v>41249</v>
      </c>
      <c r="B1521" s="144">
        <v>1.3071999999999999</v>
      </c>
      <c r="C1521" s="144">
        <v>40.333199999999998</v>
      </c>
      <c r="D1521" s="144">
        <v>7.3360000000000003</v>
      </c>
      <c r="E1521" s="144">
        <v>107.66</v>
      </c>
      <c r="F1521" s="144">
        <v>0.81135000000000002</v>
      </c>
      <c r="G1521" s="144">
        <v>1.2114</v>
      </c>
      <c r="I1521" s="144">
        <v>1</v>
      </c>
      <c r="J1521" s="145">
        <f t="shared" si="173"/>
        <v>41249</v>
      </c>
      <c r="K1521" s="144">
        <f t="shared" ca="1" si="177"/>
        <v>0.92671358629130973</v>
      </c>
      <c r="L1521" s="144">
        <f t="shared" ca="1" si="177"/>
        <v>0.62067778457772338</v>
      </c>
      <c r="M1521" s="144">
        <f t="shared" ca="1" si="177"/>
        <v>82.359241126070998</v>
      </c>
      <c r="N1521" s="144">
        <f t="shared" ca="1" si="177"/>
        <v>5.6119951040391687</v>
      </c>
      <c r="O1521" s="144">
        <f t="shared" ca="1" si="177"/>
        <v>30.854651162790699</v>
      </c>
      <c r="P1521" s="144">
        <f t="shared" ca="1" si="177"/>
        <v>1</v>
      </c>
      <c r="Q1521" s="144">
        <f t="shared" ca="1" si="177"/>
        <v>0.76499388004895963</v>
      </c>
    </row>
    <row r="1522" spans="1:17" x14ac:dyDescent="0.25">
      <c r="A1522" s="145">
        <v>41248</v>
      </c>
      <c r="B1522" s="144">
        <v>1.3065</v>
      </c>
      <c r="C1522" s="144">
        <v>40.267000000000003</v>
      </c>
      <c r="D1522" s="144">
        <v>7.3559999999999999</v>
      </c>
      <c r="E1522" s="144">
        <v>107.31</v>
      </c>
      <c r="F1522" s="144">
        <v>0.81189999999999996</v>
      </c>
      <c r="G1522" s="144">
        <v>1.2128000000000001</v>
      </c>
      <c r="I1522" s="144">
        <v>1</v>
      </c>
      <c r="J1522" s="145">
        <f t="shared" si="173"/>
        <v>41248</v>
      </c>
      <c r="K1522" s="144">
        <f t="shared" ca="1" si="177"/>
        <v>0.92828166858017613</v>
      </c>
      <c r="L1522" s="144">
        <f t="shared" ca="1" si="177"/>
        <v>0.6214313050133945</v>
      </c>
      <c r="M1522" s="144">
        <f t="shared" ca="1" si="177"/>
        <v>82.135476463834678</v>
      </c>
      <c r="N1522" s="144">
        <f t="shared" ca="1" si="177"/>
        <v>5.6303099885189436</v>
      </c>
      <c r="O1522" s="144">
        <f t="shared" ca="1" si="177"/>
        <v>30.820512820512825</v>
      </c>
      <c r="P1522" s="144">
        <f t="shared" ca="1" si="177"/>
        <v>1</v>
      </c>
      <c r="Q1522" s="144">
        <f t="shared" ca="1" si="177"/>
        <v>0.76540375047837739</v>
      </c>
    </row>
    <row r="1523" spans="1:17" x14ac:dyDescent="0.25">
      <c r="A1523" s="145">
        <v>41247</v>
      </c>
      <c r="B1523" s="144">
        <v>1.3091999999999999</v>
      </c>
      <c r="C1523" s="144">
        <v>40.351500000000001</v>
      </c>
      <c r="D1523" s="144">
        <v>7.3464999999999998</v>
      </c>
      <c r="E1523" s="144">
        <v>107.28</v>
      </c>
      <c r="F1523" s="144">
        <v>0.81230000000000002</v>
      </c>
      <c r="G1523" s="144">
        <v>1.2136</v>
      </c>
      <c r="I1523" s="144">
        <v>1</v>
      </c>
      <c r="J1523" s="145">
        <f t="shared" si="173"/>
        <v>41247</v>
      </c>
      <c r="K1523" s="144">
        <f t="shared" ca="1" si="177"/>
        <v>0.92697830736327536</v>
      </c>
      <c r="L1523" s="144">
        <f t="shared" ca="1" si="177"/>
        <v>0.62045523984112438</v>
      </c>
      <c r="M1523" s="144">
        <f t="shared" ca="1" si="177"/>
        <v>81.943171402383143</v>
      </c>
      <c r="N1523" s="144">
        <f t="shared" ca="1" si="177"/>
        <v>5.611442102047052</v>
      </c>
      <c r="O1523" s="144">
        <f t="shared" ca="1" si="177"/>
        <v>30.821494042163156</v>
      </c>
      <c r="P1523" s="144">
        <f t="shared" ca="1" si="177"/>
        <v>1</v>
      </c>
      <c r="Q1523" s="144">
        <f t="shared" ca="1" si="177"/>
        <v>0.76382523678582348</v>
      </c>
    </row>
    <row r="1524" spans="1:17" x14ac:dyDescent="0.25">
      <c r="A1524" s="145">
        <v>41246</v>
      </c>
      <c r="B1524" s="144">
        <v>1.3057000000000001</v>
      </c>
      <c r="C1524" s="144">
        <v>40.375100000000003</v>
      </c>
      <c r="D1524" s="144">
        <v>7.3490000000000002</v>
      </c>
      <c r="E1524" s="144">
        <v>107.36</v>
      </c>
      <c r="F1524" s="144">
        <v>0.81210000000000004</v>
      </c>
      <c r="G1524" s="144">
        <v>1.2087000000000001</v>
      </c>
      <c r="I1524" s="144">
        <v>1</v>
      </c>
      <c r="J1524" s="145">
        <f t="shared" si="173"/>
        <v>41246</v>
      </c>
      <c r="K1524" s="144">
        <f t="shared" ca="1" si="177"/>
        <v>0.92571034694033849</v>
      </c>
      <c r="L1524" s="144">
        <f t="shared" ca="1" si="177"/>
        <v>0.62196522937887722</v>
      </c>
      <c r="M1524" s="144">
        <f t="shared" ca="1" si="177"/>
        <v>82.224094355518105</v>
      </c>
      <c r="N1524" s="144">
        <f t="shared" ca="1" si="177"/>
        <v>5.628398560159301</v>
      </c>
      <c r="O1524" s="144">
        <f t="shared" ca="1" si="177"/>
        <v>30.922187332465345</v>
      </c>
      <c r="P1524" s="144">
        <f t="shared" ca="1" si="177"/>
        <v>1</v>
      </c>
      <c r="Q1524" s="144">
        <f t="shared" ca="1" si="177"/>
        <v>0.76587271195527296</v>
      </c>
    </row>
    <row r="1525" spans="1:17" x14ac:dyDescent="0.25">
      <c r="A1525" s="145">
        <v>41245</v>
      </c>
      <c r="B1525" s="144">
        <v>1.2986</v>
      </c>
      <c r="C1525" s="144">
        <v>40.178600000000003</v>
      </c>
      <c r="D1525" s="144">
        <v>7.3760000000000003</v>
      </c>
      <c r="E1525" s="144">
        <v>107.37</v>
      </c>
      <c r="F1525" s="144">
        <v>0.81079999999999997</v>
      </c>
      <c r="G1525" s="144">
        <v>1.2054</v>
      </c>
      <c r="I1525" s="144">
        <v>1</v>
      </c>
      <c r="J1525" s="145">
        <f t="shared" si="173"/>
        <v>41245</v>
      </c>
      <c r="K1525" s="144">
        <f t="shared" ref="K1525:Q1534" ca="1" si="178">OFFSET($A1525,0,K$3)/OFFSET($A1525,0,$P$3)</f>
        <v>0.92823040197135376</v>
      </c>
      <c r="L1525" s="144">
        <f t="shared" ca="1" si="178"/>
        <v>0.62436470044663483</v>
      </c>
      <c r="M1525" s="144">
        <f t="shared" ca="1" si="178"/>
        <v>82.681349145233327</v>
      </c>
      <c r="N1525" s="144">
        <f t="shared" ca="1" si="178"/>
        <v>5.6799630371168952</v>
      </c>
      <c r="O1525" s="144">
        <f t="shared" ca="1" si="178"/>
        <v>30.939935314954571</v>
      </c>
      <c r="P1525" s="144">
        <f t="shared" ca="1" si="178"/>
        <v>1</v>
      </c>
      <c r="Q1525" s="144">
        <f t="shared" ca="1" si="178"/>
        <v>0.7700600646850454</v>
      </c>
    </row>
    <row r="1526" spans="1:17" x14ac:dyDescent="0.25">
      <c r="A1526" s="145">
        <v>41244</v>
      </c>
      <c r="B1526" s="144">
        <v>1.2986</v>
      </c>
      <c r="C1526" s="144">
        <v>40.178600000000003</v>
      </c>
      <c r="D1526" s="144">
        <v>7.3760000000000003</v>
      </c>
      <c r="E1526" s="144">
        <v>107.37</v>
      </c>
      <c r="F1526" s="144">
        <v>0.81079999999999997</v>
      </c>
      <c r="G1526" s="144">
        <v>1.2054</v>
      </c>
      <c r="I1526" s="144">
        <v>1</v>
      </c>
      <c r="J1526" s="145">
        <f t="shared" si="173"/>
        <v>41244</v>
      </c>
      <c r="K1526" s="144">
        <f t="shared" ca="1" si="178"/>
        <v>0.92823040197135376</v>
      </c>
      <c r="L1526" s="144">
        <f t="shared" ca="1" si="178"/>
        <v>0.62436470044663483</v>
      </c>
      <c r="M1526" s="144">
        <f t="shared" ca="1" si="178"/>
        <v>82.681349145233327</v>
      </c>
      <c r="N1526" s="144">
        <f t="shared" ca="1" si="178"/>
        <v>5.6799630371168952</v>
      </c>
      <c r="O1526" s="144">
        <f t="shared" ca="1" si="178"/>
        <v>30.939935314954571</v>
      </c>
      <c r="P1526" s="144">
        <f t="shared" ca="1" si="178"/>
        <v>1</v>
      </c>
      <c r="Q1526" s="144">
        <f t="shared" ca="1" si="178"/>
        <v>0.7700600646850454</v>
      </c>
    </row>
    <row r="1527" spans="1:17" x14ac:dyDescent="0.25">
      <c r="A1527" s="145">
        <v>41243</v>
      </c>
      <c r="B1527" s="144">
        <v>1.2986</v>
      </c>
      <c r="C1527" s="144">
        <v>40.178600000000003</v>
      </c>
      <c r="D1527" s="144">
        <v>7.3760000000000003</v>
      </c>
      <c r="E1527" s="144">
        <v>107.37</v>
      </c>
      <c r="F1527" s="144">
        <v>0.81079999999999997</v>
      </c>
      <c r="G1527" s="144">
        <v>1.2054</v>
      </c>
      <c r="I1527" s="144">
        <v>1</v>
      </c>
      <c r="J1527" s="145">
        <f t="shared" si="173"/>
        <v>41243</v>
      </c>
      <c r="K1527" s="144">
        <f t="shared" ca="1" si="178"/>
        <v>0.92823040197135376</v>
      </c>
      <c r="L1527" s="144">
        <f t="shared" ca="1" si="178"/>
        <v>0.62436470044663483</v>
      </c>
      <c r="M1527" s="144">
        <f t="shared" ca="1" si="178"/>
        <v>82.681349145233327</v>
      </c>
      <c r="N1527" s="144">
        <f t="shared" ca="1" si="178"/>
        <v>5.6799630371168952</v>
      </c>
      <c r="O1527" s="144">
        <f t="shared" ca="1" si="178"/>
        <v>30.939935314954571</v>
      </c>
      <c r="P1527" s="144">
        <f t="shared" ca="1" si="178"/>
        <v>1</v>
      </c>
      <c r="Q1527" s="144">
        <f t="shared" ca="1" si="178"/>
        <v>0.7700600646850454</v>
      </c>
    </row>
    <row r="1528" spans="1:17" x14ac:dyDescent="0.25">
      <c r="A1528" s="145">
        <v>41242</v>
      </c>
      <c r="B1528" s="144">
        <v>1.2994000000000001</v>
      </c>
      <c r="C1528" s="144">
        <v>40.06</v>
      </c>
      <c r="D1528" s="144">
        <v>7.35</v>
      </c>
      <c r="E1528" s="144">
        <v>106.72</v>
      </c>
      <c r="F1528" s="144">
        <v>0.81052999999999997</v>
      </c>
      <c r="G1528" s="144">
        <v>1.2042999999999999</v>
      </c>
      <c r="I1528" s="144">
        <v>1</v>
      </c>
      <c r="J1528" s="145">
        <f t="shared" si="173"/>
        <v>41242</v>
      </c>
      <c r="K1528" s="144">
        <f t="shared" ca="1" si="178"/>
        <v>0.92681237494228097</v>
      </c>
      <c r="L1528" s="144">
        <f t="shared" ca="1" si="178"/>
        <v>0.6237725103894104</v>
      </c>
      <c r="M1528" s="144">
        <f t="shared" ca="1" si="178"/>
        <v>82.130213944897633</v>
      </c>
      <c r="N1528" s="144">
        <f t="shared" ca="1" si="178"/>
        <v>5.6564568262274886</v>
      </c>
      <c r="O1528" s="144">
        <f t="shared" ca="1" si="178"/>
        <v>30.829613667846697</v>
      </c>
      <c r="P1528" s="144">
        <f t="shared" ca="1" si="178"/>
        <v>1</v>
      </c>
      <c r="Q1528" s="144">
        <f t="shared" ca="1" si="178"/>
        <v>0.76958596275203939</v>
      </c>
    </row>
    <row r="1529" spans="1:17" x14ac:dyDescent="0.25">
      <c r="A1529" s="145">
        <v>41241</v>
      </c>
      <c r="B1529" s="144">
        <v>1.2890999999999999</v>
      </c>
      <c r="C1529" s="144">
        <v>40.152999999999999</v>
      </c>
      <c r="D1529" s="144">
        <v>7.3414999999999999</v>
      </c>
      <c r="E1529" s="144">
        <v>105.44</v>
      </c>
      <c r="F1529" s="144">
        <v>0.80686999999999998</v>
      </c>
      <c r="G1529" s="144">
        <v>1.2033</v>
      </c>
      <c r="I1529" s="144">
        <v>1</v>
      </c>
      <c r="J1529" s="145">
        <f t="shared" si="173"/>
        <v>41241</v>
      </c>
      <c r="K1529" s="144">
        <f t="shared" ca="1" si="178"/>
        <v>0.93344193623458238</v>
      </c>
      <c r="L1529" s="144">
        <f t="shared" ca="1" si="178"/>
        <v>0.62591730664804901</v>
      </c>
      <c r="M1529" s="144">
        <f t="shared" ca="1" si="178"/>
        <v>81.793499340625246</v>
      </c>
      <c r="N1529" s="144">
        <f t="shared" ca="1" si="178"/>
        <v>5.6950585679931738</v>
      </c>
      <c r="O1529" s="144">
        <f t="shared" ca="1" si="178"/>
        <v>31.148087813203009</v>
      </c>
      <c r="P1529" s="144">
        <f t="shared" ca="1" si="178"/>
        <v>1</v>
      </c>
      <c r="Q1529" s="144">
        <f t="shared" ca="1" si="178"/>
        <v>0.77573500892095271</v>
      </c>
    </row>
    <row r="1530" spans="1:17" x14ac:dyDescent="0.25">
      <c r="A1530" s="145">
        <v>41240</v>
      </c>
      <c r="B1530" s="144">
        <v>1.2961</v>
      </c>
      <c r="C1530" s="144">
        <v>40.151000000000003</v>
      </c>
      <c r="D1530" s="144">
        <v>7.3574999999999999</v>
      </c>
      <c r="E1530" s="144">
        <v>106.46</v>
      </c>
      <c r="F1530" s="144">
        <v>0.80810000000000004</v>
      </c>
      <c r="G1530" s="144">
        <v>1.2042999999999999</v>
      </c>
      <c r="I1530" s="144">
        <v>1</v>
      </c>
      <c r="J1530" s="145">
        <f t="shared" si="173"/>
        <v>41240</v>
      </c>
      <c r="K1530" s="144">
        <f t="shared" ca="1" si="178"/>
        <v>0.92917213177995517</v>
      </c>
      <c r="L1530" s="144">
        <f t="shared" ca="1" si="178"/>
        <v>0.62348584214181002</v>
      </c>
      <c r="M1530" s="144">
        <f t="shared" ca="1" si="178"/>
        <v>82.138723863899386</v>
      </c>
      <c r="N1530" s="144">
        <f t="shared" ca="1" si="178"/>
        <v>5.6766453205771157</v>
      </c>
      <c r="O1530" s="144">
        <f t="shared" ca="1" si="178"/>
        <v>30.978319574106937</v>
      </c>
      <c r="P1530" s="144">
        <f t="shared" ca="1" si="178"/>
        <v>1</v>
      </c>
      <c r="Q1530" s="144">
        <f t="shared" ca="1" si="178"/>
        <v>0.77154540544711059</v>
      </c>
    </row>
    <row r="1531" spans="1:17" x14ac:dyDescent="0.25">
      <c r="A1531" s="145">
        <v>41239</v>
      </c>
      <c r="B1531" s="144">
        <v>1.2964</v>
      </c>
      <c r="C1531" s="144">
        <v>40.210999999999999</v>
      </c>
      <c r="D1531" s="144">
        <v>7.3369999999999997</v>
      </c>
      <c r="E1531" s="144">
        <v>106.47</v>
      </c>
      <c r="F1531" s="144">
        <v>0.80994999999999995</v>
      </c>
      <c r="G1531" s="144">
        <v>1.2045999999999999</v>
      </c>
      <c r="I1531" s="144">
        <v>1</v>
      </c>
      <c r="J1531" s="145">
        <f t="shared" si="173"/>
        <v>41239</v>
      </c>
      <c r="K1531" s="144">
        <f t="shared" ca="1" si="178"/>
        <v>0.92918852206109215</v>
      </c>
      <c r="L1531" s="144">
        <f t="shared" ca="1" si="178"/>
        <v>0.62476858994137607</v>
      </c>
      <c r="M1531" s="144">
        <f t="shared" ca="1" si="178"/>
        <v>82.127429805615549</v>
      </c>
      <c r="N1531" s="144">
        <f t="shared" ca="1" si="178"/>
        <v>5.6595186670780624</v>
      </c>
      <c r="O1531" s="144">
        <f t="shared" ca="1" si="178"/>
        <v>31.017432891082997</v>
      </c>
      <c r="P1531" s="144">
        <f t="shared" ca="1" si="178"/>
        <v>1</v>
      </c>
      <c r="Q1531" s="144">
        <f t="shared" ca="1" si="178"/>
        <v>0.77136686207960503</v>
      </c>
    </row>
    <row r="1532" spans="1:17" x14ac:dyDescent="0.25">
      <c r="A1532" s="145">
        <v>41238</v>
      </c>
      <c r="B1532" s="144">
        <v>1.2908999999999999</v>
      </c>
      <c r="C1532" s="144">
        <v>40.1967</v>
      </c>
      <c r="D1532" s="144">
        <v>7.3289999999999997</v>
      </c>
      <c r="E1532" s="144">
        <v>106.19</v>
      </c>
      <c r="F1532" s="144">
        <v>0.81010000000000004</v>
      </c>
      <c r="G1532" s="144">
        <v>1.2050000000000001</v>
      </c>
      <c r="I1532" s="144">
        <v>1</v>
      </c>
      <c r="J1532" s="145">
        <f t="shared" si="173"/>
        <v>41238</v>
      </c>
      <c r="K1532" s="144">
        <f t="shared" ca="1" si="178"/>
        <v>0.93345727786815413</v>
      </c>
      <c r="L1532" s="144">
        <f t="shared" ca="1" si="178"/>
        <v>0.62754667286389343</v>
      </c>
      <c r="M1532" s="144">
        <f t="shared" ca="1" si="178"/>
        <v>82.260438453791934</v>
      </c>
      <c r="N1532" s="144">
        <f t="shared" ca="1" si="178"/>
        <v>5.6774343481292124</v>
      </c>
      <c r="O1532" s="144">
        <f t="shared" ca="1" si="178"/>
        <v>31.138508017662097</v>
      </c>
      <c r="P1532" s="144">
        <f t="shared" ca="1" si="178"/>
        <v>1</v>
      </c>
      <c r="Q1532" s="144">
        <f t="shared" ca="1" si="178"/>
        <v>0.77465334262917351</v>
      </c>
    </row>
    <row r="1533" spans="1:17" x14ac:dyDescent="0.25">
      <c r="A1533" s="145">
        <v>41237</v>
      </c>
      <c r="B1533" s="144">
        <v>1.2908999999999999</v>
      </c>
      <c r="C1533" s="144">
        <v>40.1967</v>
      </c>
      <c r="D1533" s="144">
        <v>7.3289999999999997</v>
      </c>
      <c r="E1533" s="144">
        <v>106.19</v>
      </c>
      <c r="F1533" s="144">
        <v>0.81010000000000004</v>
      </c>
      <c r="G1533" s="144">
        <v>1.2050000000000001</v>
      </c>
      <c r="I1533" s="144">
        <v>1</v>
      </c>
      <c r="J1533" s="145">
        <f t="shared" si="173"/>
        <v>41237</v>
      </c>
      <c r="K1533" s="144">
        <f t="shared" ca="1" si="178"/>
        <v>0.93345727786815413</v>
      </c>
      <c r="L1533" s="144">
        <f t="shared" ca="1" si="178"/>
        <v>0.62754667286389343</v>
      </c>
      <c r="M1533" s="144">
        <f t="shared" ca="1" si="178"/>
        <v>82.260438453791934</v>
      </c>
      <c r="N1533" s="144">
        <f t="shared" ca="1" si="178"/>
        <v>5.6774343481292124</v>
      </c>
      <c r="O1533" s="144">
        <f t="shared" ca="1" si="178"/>
        <v>31.138508017662097</v>
      </c>
      <c r="P1533" s="144">
        <f t="shared" ca="1" si="178"/>
        <v>1</v>
      </c>
      <c r="Q1533" s="144">
        <f t="shared" ca="1" si="178"/>
        <v>0.77465334262917351</v>
      </c>
    </row>
    <row r="1534" spans="1:17" x14ac:dyDescent="0.25">
      <c r="A1534" s="145">
        <v>41236</v>
      </c>
      <c r="B1534" s="144">
        <v>1.2908999999999999</v>
      </c>
      <c r="C1534" s="144">
        <v>40.1967</v>
      </c>
      <c r="D1534" s="144">
        <v>7.3289999999999997</v>
      </c>
      <c r="E1534" s="144">
        <v>106.19</v>
      </c>
      <c r="F1534" s="144">
        <v>0.81010000000000004</v>
      </c>
      <c r="G1534" s="144">
        <v>1.2050000000000001</v>
      </c>
      <c r="I1534" s="144">
        <v>1</v>
      </c>
      <c r="J1534" s="145">
        <f t="shared" si="173"/>
        <v>41236</v>
      </c>
      <c r="K1534" s="144">
        <f t="shared" ca="1" si="178"/>
        <v>0.93345727786815413</v>
      </c>
      <c r="L1534" s="144">
        <f t="shared" ca="1" si="178"/>
        <v>0.62754667286389343</v>
      </c>
      <c r="M1534" s="144">
        <f t="shared" ca="1" si="178"/>
        <v>82.260438453791934</v>
      </c>
      <c r="N1534" s="144">
        <f t="shared" ca="1" si="178"/>
        <v>5.6774343481292124</v>
      </c>
      <c r="O1534" s="144">
        <f t="shared" ca="1" si="178"/>
        <v>31.138508017662097</v>
      </c>
      <c r="P1534" s="144">
        <f t="shared" ca="1" si="178"/>
        <v>1</v>
      </c>
      <c r="Q1534" s="144">
        <f t="shared" ca="1" si="178"/>
        <v>0.77465334262917351</v>
      </c>
    </row>
    <row r="1535" spans="1:17" x14ac:dyDescent="0.25">
      <c r="A1535" s="145">
        <v>41235</v>
      </c>
      <c r="B1535" s="144">
        <v>1.2892999999999999</v>
      </c>
      <c r="C1535" s="144">
        <v>40.152000000000001</v>
      </c>
      <c r="D1535" s="144">
        <v>7.3250000000000002</v>
      </c>
      <c r="E1535" s="144">
        <v>106.42</v>
      </c>
      <c r="F1535" s="144">
        <v>0.80769999999999997</v>
      </c>
      <c r="G1535" s="144">
        <v>1.2044999999999999</v>
      </c>
      <c r="I1535" s="144">
        <v>1</v>
      </c>
      <c r="J1535" s="145">
        <f t="shared" si="173"/>
        <v>41235</v>
      </c>
      <c r="K1535" s="144">
        <f t="shared" ref="K1535:Q1544" ca="1" si="179">OFFSET($A1535,0,K$3)/OFFSET($A1535,0,$P$3)</f>
        <v>0.93422787559140619</v>
      </c>
      <c r="L1535" s="144">
        <f t="shared" ca="1" si="179"/>
        <v>0.62646397269836351</v>
      </c>
      <c r="M1535" s="144">
        <f t="shared" ca="1" si="179"/>
        <v>82.540913674086724</v>
      </c>
      <c r="N1535" s="144">
        <f t="shared" ca="1" si="179"/>
        <v>5.6813774916621425</v>
      </c>
      <c r="O1535" s="144">
        <f t="shared" ca="1" si="179"/>
        <v>31.142480415729469</v>
      </c>
      <c r="P1535" s="144">
        <f t="shared" ca="1" si="179"/>
        <v>1</v>
      </c>
      <c r="Q1535" s="144">
        <f t="shared" ca="1" si="179"/>
        <v>0.77561467462964406</v>
      </c>
    </row>
    <row r="1536" spans="1:17" x14ac:dyDescent="0.25">
      <c r="A1536" s="145">
        <v>41234</v>
      </c>
      <c r="B1536" s="144">
        <v>1.2805</v>
      </c>
      <c r="C1536" s="144">
        <v>39.987200000000001</v>
      </c>
      <c r="D1536" s="144">
        <v>7.3259999999999996</v>
      </c>
      <c r="E1536" s="144">
        <v>105.49</v>
      </c>
      <c r="F1536" s="144">
        <v>0.80369999999999997</v>
      </c>
      <c r="G1536" s="144">
        <v>1.2040999999999999</v>
      </c>
      <c r="I1536" s="144">
        <v>1</v>
      </c>
      <c r="J1536" s="145">
        <f t="shared" si="173"/>
        <v>41234</v>
      </c>
      <c r="K1536" s="144">
        <f t="shared" ca="1" si="179"/>
        <v>0.94033580632565406</v>
      </c>
      <c r="L1536" s="144">
        <f t="shared" ca="1" si="179"/>
        <v>0.62764545099570479</v>
      </c>
      <c r="M1536" s="144">
        <f t="shared" ca="1" si="179"/>
        <v>82.381882077313549</v>
      </c>
      <c r="N1536" s="144">
        <f t="shared" ca="1" si="179"/>
        <v>5.7212026552128075</v>
      </c>
      <c r="O1536" s="144">
        <f t="shared" ca="1" si="179"/>
        <v>31.227801639984381</v>
      </c>
      <c r="P1536" s="144">
        <f t="shared" ca="1" si="179"/>
        <v>1</v>
      </c>
      <c r="Q1536" s="144">
        <f t="shared" ca="1" si="179"/>
        <v>0.78094494338149167</v>
      </c>
    </row>
    <row r="1537" spans="1:17" x14ac:dyDescent="0.25">
      <c r="A1537" s="145">
        <v>41233</v>
      </c>
      <c r="B1537" s="144">
        <v>1.2808999999999999</v>
      </c>
      <c r="C1537" s="144">
        <v>40.177399999999999</v>
      </c>
      <c r="D1537" s="144">
        <v>7.335</v>
      </c>
      <c r="E1537" s="144">
        <v>104.39</v>
      </c>
      <c r="F1537" s="144">
        <v>0.80464999999999998</v>
      </c>
      <c r="G1537" s="144">
        <v>1.2049000000000001</v>
      </c>
      <c r="I1537" s="144">
        <v>1</v>
      </c>
      <c r="J1537" s="145">
        <f t="shared" si="173"/>
        <v>41233</v>
      </c>
      <c r="K1537" s="144">
        <f t="shared" ca="1" si="179"/>
        <v>0.94066671871340479</v>
      </c>
      <c r="L1537" s="144">
        <f t="shared" ca="1" si="179"/>
        <v>0.62819111562182839</v>
      </c>
      <c r="M1537" s="144">
        <f t="shared" ca="1" si="179"/>
        <v>81.497384651416979</v>
      </c>
      <c r="N1537" s="144">
        <f t="shared" ca="1" si="179"/>
        <v>5.7264423452260136</v>
      </c>
      <c r="O1537" s="144">
        <f t="shared" ca="1" si="179"/>
        <v>31.366539152158641</v>
      </c>
      <c r="P1537" s="144">
        <f t="shared" ca="1" si="179"/>
        <v>1</v>
      </c>
      <c r="Q1537" s="144">
        <f t="shared" ca="1" si="179"/>
        <v>0.78070106956046537</v>
      </c>
    </row>
    <row r="1538" spans="1:17" x14ac:dyDescent="0.25">
      <c r="A1538" s="145">
        <v>41232</v>
      </c>
      <c r="B1538" s="144">
        <v>1.2762</v>
      </c>
      <c r="C1538" s="144">
        <v>40.31</v>
      </c>
      <c r="D1538" s="144">
        <v>7.3715000000000002</v>
      </c>
      <c r="E1538" s="144">
        <v>103.6</v>
      </c>
      <c r="F1538" s="144">
        <v>0.80320000000000003</v>
      </c>
      <c r="G1538" s="144">
        <v>1.2044999999999999</v>
      </c>
      <c r="I1538" s="144">
        <v>1</v>
      </c>
      <c r="J1538" s="145">
        <f t="shared" si="173"/>
        <v>41232</v>
      </c>
      <c r="K1538" s="144">
        <f t="shared" ca="1" si="179"/>
        <v>0.94381758345086975</v>
      </c>
      <c r="L1538" s="144">
        <f t="shared" ca="1" si="179"/>
        <v>0.62936843754897354</v>
      </c>
      <c r="M1538" s="144">
        <f t="shared" ca="1" si="179"/>
        <v>81.17849866792038</v>
      </c>
      <c r="N1538" s="144">
        <f t="shared" ca="1" si="179"/>
        <v>5.7761322676696443</v>
      </c>
      <c r="O1538" s="144">
        <f t="shared" ca="1" si="179"/>
        <v>31.58595831374393</v>
      </c>
      <c r="P1538" s="144">
        <f t="shared" ca="1" si="179"/>
        <v>1</v>
      </c>
      <c r="Q1538" s="144">
        <f t="shared" ca="1" si="179"/>
        <v>0.78357624196834352</v>
      </c>
    </row>
    <row r="1539" spans="1:17" x14ac:dyDescent="0.25">
      <c r="A1539" s="145">
        <v>41231</v>
      </c>
      <c r="B1539" s="144">
        <v>1.2745</v>
      </c>
      <c r="C1539" s="144">
        <v>40.436799999999998</v>
      </c>
      <c r="D1539" s="144">
        <v>7.3695000000000004</v>
      </c>
      <c r="E1539" s="144">
        <v>103.44</v>
      </c>
      <c r="F1539" s="144">
        <v>0.80245</v>
      </c>
      <c r="G1539" s="144">
        <v>1.2041999999999999</v>
      </c>
      <c r="I1539" s="144">
        <v>1</v>
      </c>
      <c r="J1539" s="145">
        <f t="shared" si="173"/>
        <v>41231</v>
      </c>
      <c r="K1539" s="144">
        <f t="shared" ca="1" si="179"/>
        <v>0.94484111416241656</v>
      </c>
      <c r="L1539" s="144">
        <f t="shared" ca="1" si="179"/>
        <v>0.62961945861122015</v>
      </c>
      <c r="M1539" s="144">
        <f t="shared" ca="1" si="179"/>
        <v>81.161239701843854</v>
      </c>
      <c r="N1539" s="144">
        <f t="shared" ca="1" si="179"/>
        <v>5.7822675559042764</v>
      </c>
      <c r="O1539" s="144">
        <f t="shared" ca="1" si="179"/>
        <v>31.727579442918792</v>
      </c>
      <c r="P1539" s="144">
        <f t="shared" ca="1" si="179"/>
        <v>1</v>
      </c>
      <c r="Q1539" s="144">
        <f t="shared" ca="1" si="179"/>
        <v>0.78462142016477054</v>
      </c>
    </row>
    <row r="1540" spans="1:17" x14ac:dyDescent="0.25">
      <c r="A1540" s="145">
        <v>41230</v>
      </c>
      <c r="B1540" s="144">
        <v>1.2745</v>
      </c>
      <c r="C1540" s="144">
        <v>40.436799999999998</v>
      </c>
      <c r="D1540" s="144">
        <v>7.3695000000000004</v>
      </c>
      <c r="E1540" s="144">
        <v>103.44</v>
      </c>
      <c r="F1540" s="144">
        <v>0.80245</v>
      </c>
      <c r="G1540" s="144">
        <v>1.2041999999999999</v>
      </c>
      <c r="I1540" s="144">
        <v>1</v>
      </c>
      <c r="J1540" s="145">
        <f t="shared" si="173"/>
        <v>41230</v>
      </c>
      <c r="K1540" s="144">
        <f t="shared" ca="1" si="179"/>
        <v>0.94484111416241656</v>
      </c>
      <c r="L1540" s="144">
        <f t="shared" ca="1" si="179"/>
        <v>0.62961945861122015</v>
      </c>
      <c r="M1540" s="144">
        <f t="shared" ca="1" si="179"/>
        <v>81.161239701843854</v>
      </c>
      <c r="N1540" s="144">
        <f t="shared" ca="1" si="179"/>
        <v>5.7822675559042764</v>
      </c>
      <c r="O1540" s="144">
        <f t="shared" ca="1" si="179"/>
        <v>31.727579442918792</v>
      </c>
      <c r="P1540" s="144">
        <f t="shared" ca="1" si="179"/>
        <v>1</v>
      </c>
      <c r="Q1540" s="144">
        <f t="shared" ca="1" si="179"/>
        <v>0.78462142016477054</v>
      </c>
    </row>
    <row r="1541" spans="1:17" x14ac:dyDescent="0.25">
      <c r="A1541" s="145">
        <v>41229</v>
      </c>
      <c r="B1541" s="144">
        <v>1.2745</v>
      </c>
      <c r="C1541" s="144">
        <v>40.436799999999998</v>
      </c>
      <c r="D1541" s="144">
        <v>7.3695000000000004</v>
      </c>
      <c r="E1541" s="144">
        <v>103.44</v>
      </c>
      <c r="F1541" s="144">
        <v>0.80245</v>
      </c>
      <c r="G1541" s="144">
        <v>1.2041999999999999</v>
      </c>
      <c r="I1541" s="144">
        <v>1</v>
      </c>
      <c r="J1541" s="145">
        <f t="shared" ref="J1541:J1604" si="180">A1541</f>
        <v>41229</v>
      </c>
      <c r="K1541" s="144">
        <f t="shared" ca="1" si="179"/>
        <v>0.94484111416241656</v>
      </c>
      <c r="L1541" s="144">
        <f t="shared" ca="1" si="179"/>
        <v>0.62961945861122015</v>
      </c>
      <c r="M1541" s="144">
        <f t="shared" ca="1" si="179"/>
        <v>81.161239701843854</v>
      </c>
      <c r="N1541" s="144">
        <f t="shared" ca="1" si="179"/>
        <v>5.7822675559042764</v>
      </c>
      <c r="O1541" s="144">
        <f t="shared" ca="1" si="179"/>
        <v>31.727579442918792</v>
      </c>
      <c r="P1541" s="144">
        <f t="shared" ca="1" si="179"/>
        <v>1</v>
      </c>
      <c r="Q1541" s="144">
        <f t="shared" ca="1" si="179"/>
        <v>0.78462142016477054</v>
      </c>
    </row>
    <row r="1542" spans="1:17" x14ac:dyDescent="0.25">
      <c r="A1542" s="145">
        <v>41228</v>
      </c>
      <c r="B1542" s="144">
        <v>1.2756000000000001</v>
      </c>
      <c r="C1542" s="144">
        <v>40.384799999999998</v>
      </c>
      <c r="D1542" s="144">
        <v>7.3594999999999997</v>
      </c>
      <c r="E1542" s="144">
        <v>103.66</v>
      </c>
      <c r="F1542" s="144">
        <v>0.80545</v>
      </c>
      <c r="G1542" s="144">
        <v>1.2041999999999999</v>
      </c>
      <c r="I1542" s="144">
        <v>1</v>
      </c>
      <c r="J1542" s="145">
        <f t="shared" si="180"/>
        <v>41228</v>
      </c>
      <c r="K1542" s="144">
        <f t="shared" ca="1" si="179"/>
        <v>0.94402634054562551</v>
      </c>
      <c r="L1542" s="144">
        <f t="shared" ca="1" si="179"/>
        <v>0.63142834744433984</v>
      </c>
      <c r="M1542" s="144">
        <f t="shared" ca="1" si="179"/>
        <v>81.263719034179985</v>
      </c>
      <c r="N1542" s="144">
        <f t="shared" ca="1" si="179"/>
        <v>5.7694418312950759</v>
      </c>
      <c r="O1542" s="144">
        <f t="shared" ca="1" si="179"/>
        <v>31.659454374412039</v>
      </c>
      <c r="P1542" s="144">
        <f t="shared" ca="1" si="179"/>
        <v>1</v>
      </c>
      <c r="Q1542" s="144">
        <f t="shared" ca="1" si="179"/>
        <v>0.7839448102853559</v>
      </c>
    </row>
    <row r="1543" spans="1:17" x14ac:dyDescent="0.25">
      <c r="A1543" s="145">
        <v>41227</v>
      </c>
      <c r="B1543" s="144">
        <v>1.2726</v>
      </c>
      <c r="C1543" s="144">
        <v>40.344999999999999</v>
      </c>
      <c r="D1543" s="144">
        <v>7.3220000000000001</v>
      </c>
      <c r="E1543" s="144">
        <v>102</v>
      </c>
      <c r="F1543" s="144">
        <v>0.80259999999999998</v>
      </c>
      <c r="G1543" s="144">
        <v>1.204</v>
      </c>
      <c r="I1543" s="144">
        <v>1</v>
      </c>
      <c r="J1543" s="145">
        <f t="shared" si="180"/>
        <v>41227</v>
      </c>
      <c r="K1543" s="144">
        <f t="shared" ca="1" si="179"/>
        <v>0.94609460946094615</v>
      </c>
      <c r="L1543" s="144">
        <f t="shared" ca="1" si="179"/>
        <v>0.63067735344963072</v>
      </c>
      <c r="M1543" s="144">
        <f t="shared" ca="1" si="179"/>
        <v>80.150872230080154</v>
      </c>
      <c r="N1543" s="144">
        <f t="shared" ca="1" si="179"/>
        <v>5.7535753575357536</v>
      </c>
      <c r="O1543" s="144">
        <f t="shared" ca="1" si="179"/>
        <v>31.702813138456705</v>
      </c>
      <c r="P1543" s="144">
        <f t="shared" ca="1" si="179"/>
        <v>1</v>
      </c>
      <c r="Q1543" s="144">
        <f t="shared" ca="1" si="179"/>
        <v>0.78579286500078582</v>
      </c>
    </row>
    <row r="1544" spans="1:17" x14ac:dyDescent="0.25">
      <c r="A1544" s="145">
        <v>41226</v>
      </c>
      <c r="B1544" s="144">
        <v>1.2696000000000001</v>
      </c>
      <c r="C1544" s="144">
        <v>40.36</v>
      </c>
      <c r="D1544" s="144">
        <v>7.3259999999999996</v>
      </c>
      <c r="E1544" s="144">
        <v>100.93</v>
      </c>
      <c r="F1544" s="144">
        <v>0.79964999999999997</v>
      </c>
      <c r="G1544" s="144">
        <v>1.2045999999999999</v>
      </c>
      <c r="I1544" s="144">
        <v>1</v>
      </c>
      <c r="J1544" s="145">
        <f t="shared" si="180"/>
        <v>41226</v>
      </c>
      <c r="K1544" s="144">
        <f t="shared" ca="1" si="179"/>
        <v>0.94880277252677991</v>
      </c>
      <c r="L1544" s="144">
        <f t="shared" ca="1" si="179"/>
        <v>0.62984404536861993</v>
      </c>
      <c r="M1544" s="144">
        <f t="shared" ca="1" si="179"/>
        <v>79.497479521109014</v>
      </c>
      <c r="N1544" s="144">
        <f t="shared" ca="1" si="179"/>
        <v>5.7703213610586008</v>
      </c>
      <c r="O1544" s="144">
        <f t="shared" ca="1" si="179"/>
        <v>31.789540012602391</v>
      </c>
      <c r="P1544" s="144">
        <f t="shared" ca="1" si="179"/>
        <v>1</v>
      </c>
      <c r="Q1544" s="144">
        <f t="shared" ca="1" si="179"/>
        <v>0.7876496534341525</v>
      </c>
    </row>
    <row r="1545" spans="1:17" x14ac:dyDescent="0.25">
      <c r="A1545" s="145">
        <v>41225</v>
      </c>
      <c r="B1545" s="144">
        <v>1.2735000000000001</v>
      </c>
      <c r="C1545" s="144">
        <v>40.239800000000002</v>
      </c>
      <c r="D1545" s="144">
        <v>7.3029999999999999</v>
      </c>
      <c r="E1545" s="144">
        <v>101.13</v>
      </c>
      <c r="F1545" s="144">
        <v>0.80200000000000005</v>
      </c>
      <c r="G1545" s="144">
        <v>1.2057</v>
      </c>
      <c r="I1545" s="144">
        <v>1</v>
      </c>
      <c r="J1545" s="145">
        <f t="shared" si="180"/>
        <v>41225</v>
      </c>
      <c r="K1545" s="144">
        <f t="shared" ref="K1545:Q1554" ca="1" si="181">OFFSET($A1545,0,K$3)/OFFSET($A1545,0,$P$3)</f>
        <v>0.9467608951707891</v>
      </c>
      <c r="L1545" s="144">
        <f t="shared" ca="1" si="181"/>
        <v>0.62976050255202198</v>
      </c>
      <c r="M1545" s="144">
        <f t="shared" ca="1" si="181"/>
        <v>79.411071849234389</v>
      </c>
      <c r="N1545" s="144">
        <f t="shared" ca="1" si="181"/>
        <v>5.7345897133882993</v>
      </c>
      <c r="O1545" s="144">
        <f t="shared" ca="1" si="181"/>
        <v>31.59780133490381</v>
      </c>
      <c r="P1545" s="144">
        <f t="shared" ca="1" si="181"/>
        <v>1</v>
      </c>
      <c r="Q1545" s="144">
        <f t="shared" ca="1" si="181"/>
        <v>0.78523753435414212</v>
      </c>
    </row>
    <row r="1546" spans="1:17" x14ac:dyDescent="0.25">
      <c r="A1546" s="145">
        <v>41224</v>
      </c>
      <c r="B1546" s="144">
        <v>1.2694000000000001</v>
      </c>
      <c r="C1546" s="144">
        <v>40.142200000000003</v>
      </c>
      <c r="D1546" s="144">
        <v>7.3014999999999999</v>
      </c>
      <c r="E1546" s="144">
        <v>100.44</v>
      </c>
      <c r="F1546" s="144">
        <v>0.79725000000000001</v>
      </c>
      <c r="G1546" s="144">
        <v>1.2054</v>
      </c>
      <c r="I1546" s="144">
        <v>1</v>
      </c>
      <c r="J1546" s="145">
        <f t="shared" si="180"/>
        <v>41224</v>
      </c>
      <c r="K1546" s="144">
        <f t="shared" ca="1" si="181"/>
        <v>0.94958247991176925</v>
      </c>
      <c r="L1546" s="144">
        <f t="shared" ca="1" si="181"/>
        <v>0.62805262328659206</v>
      </c>
      <c r="M1546" s="144">
        <f t="shared" ca="1" si="181"/>
        <v>79.123995588466983</v>
      </c>
      <c r="N1546" s="144">
        <f t="shared" ca="1" si="181"/>
        <v>5.7519300456908775</v>
      </c>
      <c r="O1546" s="144">
        <f t="shared" ca="1" si="181"/>
        <v>31.622971482590199</v>
      </c>
      <c r="P1546" s="144">
        <f t="shared" ca="1" si="181"/>
        <v>1</v>
      </c>
      <c r="Q1546" s="144">
        <f t="shared" ca="1" si="181"/>
        <v>0.78777375137860406</v>
      </c>
    </row>
    <row r="1547" spans="1:17" x14ac:dyDescent="0.25">
      <c r="A1547" s="145">
        <v>41223</v>
      </c>
      <c r="B1547" s="144">
        <v>1.2694000000000001</v>
      </c>
      <c r="C1547" s="144">
        <v>40.142200000000003</v>
      </c>
      <c r="D1547" s="144">
        <v>7.3014999999999999</v>
      </c>
      <c r="E1547" s="144">
        <v>100.44</v>
      </c>
      <c r="F1547" s="144">
        <v>0.79725000000000001</v>
      </c>
      <c r="G1547" s="144">
        <v>1.2054</v>
      </c>
      <c r="I1547" s="144">
        <v>1</v>
      </c>
      <c r="J1547" s="145">
        <f t="shared" si="180"/>
        <v>41223</v>
      </c>
      <c r="K1547" s="144">
        <f t="shared" ca="1" si="181"/>
        <v>0.94958247991176925</v>
      </c>
      <c r="L1547" s="144">
        <f t="shared" ca="1" si="181"/>
        <v>0.62805262328659206</v>
      </c>
      <c r="M1547" s="144">
        <f t="shared" ca="1" si="181"/>
        <v>79.123995588466983</v>
      </c>
      <c r="N1547" s="144">
        <f t="shared" ca="1" si="181"/>
        <v>5.7519300456908775</v>
      </c>
      <c r="O1547" s="144">
        <f t="shared" ca="1" si="181"/>
        <v>31.622971482590199</v>
      </c>
      <c r="P1547" s="144">
        <f t="shared" ca="1" si="181"/>
        <v>1</v>
      </c>
      <c r="Q1547" s="144">
        <f t="shared" ca="1" si="181"/>
        <v>0.78777375137860406</v>
      </c>
    </row>
    <row r="1548" spans="1:17" x14ac:dyDescent="0.25">
      <c r="A1548" s="145">
        <v>41222</v>
      </c>
      <c r="B1548" s="144">
        <v>1.2694000000000001</v>
      </c>
      <c r="C1548" s="144">
        <v>40.142200000000003</v>
      </c>
      <c r="D1548" s="144">
        <v>7.3014999999999999</v>
      </c>
      <c r="E1548" s="144">
        <v>100.44</v>
      </c>
      <c r="F1548" s="144">
        <v>0.79725000000000001</v>
      </c>
      <c r="G1548" s="144">
        <v>1.2054</v>
      </c>
      <c r="I1548" s="144">
        <v>1</v>
      </c>
      <c r="J1548" s="145">
        <f t="shared" si="180"/>
        <v>41222</v>
      </c>
      <c r="K1548" s="144">
        <f t="shared" ca="1" si="181"/>
        <v>0.94958247991176925</v>
      </c>
      <c r="L1548" s="144">
        <f t="shared" ca="1" si="181"/>
        <v>0.62805262328659206</v>
      </c>
      <c r="M1548" s="144">
        <f t="shared" ca="1" si="181"/>
        <v>79.123995588466983</v>
      </c>
      <c r="N1548" s="144">
        <f t="shared" ca="1" si="181"/>
        <v>5.7519300456908775</v>
      </c>
      <c r="O1548" s="144">
        <f t="shared" ca="1" si="181"/>
        <v>31.622971482590199</v>
      </c>
      <c r="P1548" s="144">
        <f t="shared" ca="1" si="181"/>
        <v>1</v>
      </c>
      <c r="Q1548" s="144">
        <f t="shared" ca="1" si="181"/>
        <v>0.78777375137860406</v>
      </c>
    </row>
    <row r="1549" spans="1:17" x14ac:dyDescent="0.25">
      <c r="A1549" s="145">
        <v>41221</v>
      </c>
      <c r="B1549" s="144">
        <v>1.2736000000000001</v>
      </c>
      <c r="C1549" s="144">
        <v>40.152999999999999</v>
      </c>
      <c r="D1549" s="144">
        <v>7.3019999999999996</v>
      </c>
      <c r="E1549" s="144">
        <v>101.74</v>
      </c>
      <c r="F1549" s="144">
        <v>0.79654999999999998</v>
      </c>
      <c r="G1549" s="144">
        <v>1.2058</v>
      </c>
      <c r="I1549" s="144">
        <v>1</v>
      </c>
      <c r="J1549" s="145">
        <f t="shared" si="180"/>
        <v>41221</v>
      </c>
      <c r="K1549" s="144">
        <f t="shared" ca="1" si="181"/>
        <v>0.94676507537688437</v>
      </c>
      <c r="L1549" s="144">
        <f t="shared" ca="1" si="181"/>
        <v>0.62543184673366825</v>
      </c>
      <c r="M1549" s="144">
        <f t="shared" ca="1" si="181"/>
        <v>79.883793969849236</v>
      </c>
      <c r="N1549" s="144">
        <f t="shared" ca="1" si="181"/>
        <v>5.7333542713567835</v>
      </c>
      <c r="O1549" s="144">
        <f t="shared" ca="1" si="181"/>
        <v>31.527167085427134</v>
      </c>
      <c r="P1549" s="144">
        <f t="shared" ca="1" si="181"/>
        <v>1</v>
      </c>
      <c r="Q1549" s="144">
        <f t="shared" ca="1" si="181"/>
        <v>0.78517587939698485</v>
      </c>
    </row>
    <row r="1550" spans="1:17" x14ac:dyDescent="0.25">
      <c r="A1550" s="145">
        <v>41220</v>
      </c>
      <c r="B1550" s="144">
        <v>1.2746</v>
      </c>
      <c r="C1550" s="144">
        <v>40.097299999999997</v>
      </c>
      <c r="D1550" s="144">
        <v>7.3194999999999997</v>
      </c>
      <c r="E1550" s="144">
        <v>102.11</v>
      </c>
      <c r="F1550" s="144">
        <v>0.7984</v>
      </c>
      <c r="G1550" s="144">
        <v>1.2064999999999999</v>
      </c>
      <c r="I1550" s="144">
        <v>1</v>
      </c>
      <c r="J1550" s="145">
        <f t="shared" si="180"/>
        <v>41220</v>
      </c>
      <c r="K1550" s="144">
        <f t="shared" ca="1" si="181"/>
        <v>0.94657147340342063</v>
      </c>
      <c r="L1550" s="144">
        <f t="shared" ca="1" si="181"/>
        <v>0.62639259375490353</v>
      </c>
      <c r="M1550" s="144">
        <f t="shared" ca="1" si="181"/>
        <v>80.111407500392289</v>
      </c>
      <c r="N1550" s="144">
        <f t="shared" ca="1" si="181"/>
        <v>5.7425859093048803</v>
      </c>
      <c r="O1550" s="144">
        <f t="shared" ca="1" si="181"/>
        <v>31.458732151263142</v>
      </c>
      <c r="P1550" s="144">
        <f t="shared" ca="1" si="181"/>
        <v>1</v>
      </c>
      <c r="Q1550" s="144">
        <f t="shared" ca="1" si="181"/>
        <v>0.7845598619174643</v>
      </c>
    </row>
    <row r="1551" spans="1:17" x14ac:dyDescent="0.25">
      <c r="A1551" s="145">
        <v>41219</v>
      </c>
      <c r="B1551" s="144">
        <v>1.28</v>
      </c>
      <c r="C1551" s="144">
        <v>40.305700000000002</v>
      </c>
      <c r="D1551" s="144">
        <v>7.3220000000000001</v>
      </c>
      <c r="E1551" s="144">
        <v>102.6</v>
      </c>
      <c r="F1551" s="144">
        <v>0.80095000000000005</v>
      </c>
      <c r="G1551" s="144">
        <v>1.2075</v>
      </c>
      <c r="I1551" s="144">
        <v>1</v>
      </c>
      <c r="J1551" s="145">
        <f t="shared" si="180"/>
        <v>41219</v>
      </c>
      <c r="K1551" s="144">
        <f t="shared" ca="1" si="181"/>
        <v>0.943359375</v>
      </c>
      <c r="L1551" s="144">
        <f t="shared" ca="1" si="181"/>
        <v>0.62574218749999999</v>
      </c>
      <c r="M1551" s="144">
        <f t="shared" ca="1" si="181"/>
        <v>80.15625</v>
      </c>
      <c r="N1551" s="144">
        <f t="shared" ca="1" si="181"/>
        <v>5.7203125000000004</v>
      </c>
      <c r="O1551" s="144">
        <f t="shared" ca="1" si="181"/>
        <v>31.488828125000001</v>
      </c>
      <c r="P1551" s="144">
        <f t="shared" ca="1" si="181"/>
        <v>1</v>
      </c>
      <c r="Q1551" s="144">
        <f t="shared" ca="1" si="181"/>
        <v>0.78125</v>
      </c>
    </row>
    <row r="1552" spans="1:17" x14ac:dyDescent="0.25">
      <c r="A1552" s="145">
        <v>41218</v>
      </c>
      <c r="B1552" s="144">
        <v>1.2777000000000001</v>
      </c>
      <c r="C1552" s="144">
        <v>40.482399999999998</v>
      </c>
      <c r="D1552" s="144">
        <v>7.3425000000000002</v>
      </c>
      <c r="E1552" s="144">
        <v>102.6</v>
      </c>
      <c r="F1552" s="144">
        <v>0.79990000000000006</v>
      </c>
      <c r="G1552" s="144">
        <v>1.2062999999999999</v>
      </c>
      <c r="I1552" s="144">
        <v>1</v>
      </c>
      <c r="J1552" s="145">
        <f t="shared" si="180"/>
        <v>41218</v>
      </c>
      <c r="K1552" s="144">
        <f t="shared" ca="1" si="181"/>
        <v>0.94411833763794306</v>
      </c>
      <c r="L1552" s="144">
        <f t="shared" ca="1" si="181"/>
        <v>0.62604680284886904</v>
      </c>
      <c r="M1552" s="144">
        <f t="shared" ca="1" si="181"/>
        <v>80.300540032871552</v>
      </c>
      <c r="N1552" s="144">
        <f t="shared" ca="1" si="181"/>
        <v>5.746654144165297</v>
      </c>
      <c r="O1552" s="144">
        <f t="shared" ca="1" si="181"/>
        <v>31.68380684041637</v>
      </c>
      <c r="P1552" s="144">
        <f t="shared" ca="1" si="181"/>
        <v>1</v>
      </c>
      <c r="Q1552" s="144">
        <f t="shared" ca="1" si="181"/>
        <v>0.78265633560303671</v>
      </c>
    </row>
    <row r="1553" spans="1:17" x14ac:dyDescent="0.25">
      <c r="A1553" s="145">
        <v>41217</v>
      </c>
      <c r="B1553" s="144">
        <v>1.2849999999999999</v>
      </c>
      <c r="C1553" s="144">
        <v>40.314999999999998</v>
      </c>
      <c r="D1553" s="144">
        <v>7.3304999999999998</v>
      </c>
      <c r="E1553" s="144">
        <v>103.55</v>
      </c>
      <c r="F1553" s="144">
        <v>0.80159999999999998</v>
      </c>
      <c r="G1553" s="144">
        <v>1.2073</v>
      </c>
      <c r="I1553" s="144">
        <v>1</v>
      </c>
      <c r="J1553" s="145">
        <f t="shared" si="180"/>
        <v>41217</v>
      </c>
      <c r="K1553" s="144">
        <f t="shared" ca="1" si="181"/>
        <v>0.93953307392996122</v>
      </c>
      <c r="L1553" s="144">
        <f t="shared" ca="1" si="181"/>
        <v>0.62381322957198448</v>
      </c>
      <c r="M1553" s="144">
        <f t="shared" ca="1" si="181"/>
        <v>80.583657587548643</v>
      </c>
      <c r="N1553" s="144">
        <f t="shared" ca="1" si="181"/>
        <v>5.7046692607003893</v>
      </c>
      <c r="O1553" s="144">
        <f t="shared" ca="1" si="181"/>
        <v>31.373540856031127</v>
      </c>
      <c r="P1553" s="144">
        <f t="shared" ca="1" si="181"/>
        <v>1</v>
      </c>
      <c r="Q1553" s="144">
        <f t="shared" ca="1" si="181"/>
        <v>0.77821011673151752</v>
      </c>
    </row>
    <row r="1554" spans="1:17" x14ac:dyDescent="0.25">
      <c r="A1554" s="145">
        <v>41216</v>
      </c>
      <c r="B1554" s="144">
        <v>1.2849999999999999</v>
      </c>
      <c r="C1554" s="144">
        <v>40.314999999999998</v>
      </c>
      <c r="D1554" s="144">
        <v>7.3304999999999998</v>
      </c>
      <c r="E1554" s="144">
        <v>103.55</v>
      </c>
      <c r="F1554" s="144">
        <v>0.80159999999999998</v>
      </c>
      <c r="G1554" s="144">
        <v>1.2073</v>
      </c>
      <c r="I1554" s="144">
        <v>1</v>
      </c>
      <c r="J1554" s="145">
        <f t="shared" si="180"/>
        <v>41216</v>
      </c>
      <c r="K1554" s="144">
        <f t="shared" ca="1" si="181"/>
        <v>0.93953307392996122</v>
      </c>
      <c r="L1554" s="144">
        <f t="shared" ca="1" si="181"/>
        <v>0.62381322957198448</v>
      </c>
      <c r="M1554" s="144">
        <f t="shared" ca="1" si="181"/>
        <v>80.583657587548643</v>
      </c>
      <c r="N1554" s="144">
        <f t="shared" ca="1" si="181"/>
        <v>5.7046692607003893</v>
      </c>
      <c r="O1554" s="144">
        <f t="shared" ca="1" si="181"/>
        <v>31.373540856031127</v>
      </c>
      <c r="P1554" s="144">
        <f t="shared" ca="1" si="181"/>
        <v>1</v>
      </c>
      <c r="Q1554" s="144">
        <f t="shared" ca="1" si="181"/>
        <v>0.77821011673151752</v>
      </c>
    </row>
    <row r="1555" spans="1:17" x14ac:dyDescent="0.25">
      <c r="A1555" s="145">
        <v>41215</v>
      </c>
      <c r="B1555" s="144">
        <v>1.2849999999999999</v>
      </c>
      <c r="C1555" s="144">
        <v>40.314999999999998</v>
      </c>
      <c r="D1555" s="144">
        <v>7.3304999999999998</v>
      </c>
      <c r="E1555" s="144">
        <v>103.55</v>
      </c>
      <c r="F1555" s="144">
        <v>0.80159999999999998</v>
      </c>
      <c r="G1555" s="144">
        <v>1.2073</v>
      </c>
      <c r="I1555" s="144">
        <v>1</v>
      </c>
      <c r="J1555" s="145">
        <f t="shared" si="180"/>
        <v>41215</v>
      </c>
      <c r="K1555" s="144">
        <f t="shared" ref="K1555:Q1564" ca="1" si="182">OFFSET($A1555,0,K$3)/OFFSET($A1555,0,$P$3)</f>
        <v>0.93953307392996122</v>
      </c>
      <c r="L1555" s="144">
        <f t="shared" ca="1" si="182"/>
        <v>0.62381322957198448</v>
      </c>
      <c r="M1555" s="144">
        <f t="shared" ca="1" si="182"/>
        <v>80.583657587548643</v>
      </c>
      <c r="N1555" s="144">
        <f t="shared" ca="1" si="182"/>
        <v>5.7046692607003893</v>
      </c>
      <c r="O1555" s="144">
        <f t="shared" ca="1" si="182"/>
        <v>31.373540856031127</v>
      </c>
      <c r="P1555" s="144">
        <f t="shared" ca="1" si="182"/>
        <v>1</v>
      </c>
      <c r="Q1555" s="144">
        <f t="shared" ca="1" si="182"/>
        <v>0.77821011673151752</v>
      </c>
    </row>
    <row r="1556" spans="1:17" x14ac:dyDescent="0.25">
      <c r="A1556" s="145">
        <v>41214</v>
      </c>
      <c r="B1556" s="144">
        <v>1.2975000000000001</v>
      </c>
      <c r="C1556" s="144">
        <v>40.671399999999998</v>
      </c>
      <c r="D1556" s="144">
        <v>7.3704999999999998</v>
      </c>
      <c r="E1556" s="144">
        <v>103.82</v>
      </c>
      <c r="F1556" s="144">
        <v>0.80315000000000003</v>
      </c>
      <c r="G1556" s="144">
        <v>1.2072000000000001</v>
      </c>
      <c r="I1556" s="144">
        <v>1</v>
      </c>
      <c r="J1556" s="145">
        <f t="shared" si="180"/>
        <v>41214</v>
      </c>
      <c r="K1556" s="144">
        <f t="shared" ca="1" si="182"/>
        <v>0.93040462427745663</v>
      </c>
      <c r="L1556" s="144">
        <f t="shared" ca="1" si="182"/>
        <v>0.61899807321772637</v>
      </c>
      <c r="M1556" s="144">
        <f t="shared" ca="1" si="182"/>
        <v>80.015414258188812</v>
      </c>
      <c r="N1556" s="144">
        <f t="shared" ca="1" si="182"/>
        <v>5.680539499036608</v>
      </c>
      <c r="O1556" s="144">
        <f t="shared" ca="1" si="182"/>
        <v>31.345973025048167</v>
      </c>
      <c r="P1556" s="144">
        <f t="shared" ca="1" si="182"/>
        <v>1</v>
      </c>
      <c r="Q1556" s="144">
        <f t="shared" ca="1" si="182"/>
        <v>0.77071290944123305</v>
      </c>
    </row>
    <row r="1557" spans="1:17" x14ac:dyDescent="0.25">
      <c r="A1557" s="145">
        <v>41213</v>
      </c>
      <c r="B1557" s="144">
        <v>1.2992999999999999</v>
      </c>
      <c r="C1557" s="144">
        <v>40.704900000000002</v>
      </c>
      <c r="D1557" s="144">
        <v>7.3855000000000004</v>
      </c>
      <c r="E1557" s="144">
        <v>103.78</v>
      </c>
      <c r="F1557" s="144">
        <v>0.80645</v>
      </c>
      <c r="G1557" s="144">
        <v>1.2076</v>
      </c>
      <c r="I1557" s="144">
        <v>1</v>
      </c>
      <c r="J1557" s="145">
        <f t="shared" si="180"/>
        <v>41213</v>
      </c>
      <c r="K1557" s="144">
        <f t="shared" ca="1" si="182"/>
        <v>0.92942353575001935</v>
      </c>
      <c r="L1557" s="144">
        <f t="shared" ca="1" si="182"/>
        <v>0.62068036635111223</v>
      </c>
      <c r="M1557" s="144">
        <f t="shared" ca="1" si="182"/>
        <v>79.873778188255216</v>
      </c>
      <c r="N1557" s="144">
        <f t="shared" ca="1" si="182"/>
        <v>5.6842145770799668</v>
      </c>
      <c r="O1557" s="144">
        <f t="shared" ca="1" si="182"/>
        <v>31.32833063957516</v>
      </c>
      <c r="P1557" s="144">
        <f t="shared" ca="1" si="182"/>
        <v>1</v>
      </c>
      <c r="Q1557" s="144">
        <f t="shared" ca="1" si="182"/>
        <v>0.76964519356576622</v>
      </c>
    </row>
    <row r="1558" spans="1:17" x14ac:dyDescent="0.25">
      <c r="A1558" s="145">
        <v>41212</v>
      </c>
      <c r="B1558" s="144">
        <v>1.2962</v>
      </c>
      <c r="C1558" s="144">
        <v>40.645000000000003</v>
      </c>
      <c r="D1558" s="144">
        <v>7.4379999999999997</v>
      </c>
      <c r="E1558" s="144">
        <v>103</v>
      </c>
      <c r="F1558" s="144">
        <v>0.80620000000000003</v>
      </c>
      <c r="G1558" s="144">
        <v>1.2084999999999999</v>
      </c>
      <c r="I1558" s="144">
        <v>1</v>
      </c>
      <c r="J1558" s="145">
        <f t="shared" si="180"/>
        <v>41212</v>
      </c>
      <c r="K1558" s="144">
        <f t="shared" ca="1" si="182"/>
        <v>0.93234068816540649</v>
      </c>
      <c r="L1558" s="144">
        <f t="shared" ca="1" si="182"/>
        <v>0.62197191791390216</v>
      </c>
      <c r="M1558" s="144">
        <f t="shared" ca="1" si="182"/>
        <v>79.463045826261379</v>
      </c>
      <c r="N1558" s="144">
        <f t="shared" ca="1" si="182"/>
        <v>5.7383119888906027</v>
      </c>
      <c r="O1558" s="144">
        <f t="shared" ca="1" si="182"/>
        <v>31.357043666100914</v>
      </c>
      <c r="P1558" s="144">
        <f t="shared" ca="1" si="182"/>
        <v>1</v>
      </c>
      <c r="Q1558" s="144">
        <f t="shared" ca="1" si="182"/>
        <v>0.77148588180836286</v>
      </c>
    </row>
    <row r="1559" spans="1:17" x14ac:dyDescent="0.25">
      <c r="A1559" s="145">
        <v>41211</v>
      </c>
      <c r="B1559" s="144">
        <v>1.2898000000000001</v>
      </c>
      <c r="C1559" s="144">
        <v>40.5871</v>
      </c>
      <c r="D1559" s="144">
        <v>7.452</v>
      </c>
      <c r="E1559" s="144">
        <v>102.69</v>
      </c>
      <c r="F1559" s="144">
        <v>0.80454999999999999</v>
      </c>
      <c r="G1559" s="144">
        <v>1.2087000000000001</v>
      </c>
      <c r="I1559" s="144">
        <v>1</v>
      </c>
      <c r="J1559" s="145">
        <f t="shared" si="180"/>
        <v>41211</v>
      </c>
      <c r="K1559" s="144">
        <f t="shared" ca="1" si="182"/>
        <v>0.93712203442394171</v>
      </c>
      <c r="L1559" s="144">
        <f t="shared" ca="1" si="182"/>
        <v>0.62377888044658081</v>
      </c>
      <c r="M1559" s="144">
        <f t="shared" ca="1" si="182"/>
        <v>79.616994882927585</v>
      </c>
      <c r="N1559" s="144">
        <f t="shared" ca="1" si="182"/>
        <v>5.7776399441773911</v>
      </c>
      <c r="O1559" s="144">
        <f t="shared" ca="1" si="182"/>
        <v>31.467746937509691</v>
      </c>
      <c r="P1559" s="144">
        <f t="shared" ca="1" si="182"/>
        <v>1</v>
      </c>
      <c r="Q1559" s="144">
        <f t="shared" ca="1" si="182"/>
        <v>0.7753140021708792</v>
      </c>
    </row>
    <row r="1560" spans="1:17" x14ac:dyDescent="0.25">
      <c r="A1560" s="145">
        <v>41210</v>
      </c>
      <c r="B1560" s="144">
        <v>1.2907999999999999</v>
      </c>
      <c r="C1560" s="144">
        <v>40.615000000000002</v>
      </c>
      <c r="D1560" s="144">
        <v>7.4675000000000002</v>
      </c>
      <c r="E1560" s="144">
        <v>103.15</v>
      </c>
      <c r="F1560" s="144">
        <v>0.80120000000000002</v>
      </c>
      <c r="G1560" s="144">
        <v>1.2090000000000001</v>
      </c>
      <c r="I1560" s="144">
        <v>1</v>
      </c>
      <c r="J1560" s="145">
        <f t="shared" si="180"/>
        <v>41210</v>
      </c>
      <c r="K1560" s="144">
        <f t="shared" ca="1" si="182"/>
        <v>0.93662844747443452</v>
      </c>
      <c r="L1560" s="144">
        <f t="shared" ca="1" si="182"/>
        <v>0.62070034087387671</v>
      </c>
      <c r="M1560" s="144">
        <f t="shared" ca="1" si="182"/>
        <v>79.91168267740936</v>
      </c>
      <c r="N1560" s="144">
        <f t="shared" ca="1" si="182"/>
        <v>5.7851719863650457</v>
      </c>
      <c r="O1560" s="144">
        <f t="shared" ca="1" si="182"/>
        <v>31.464982956306169</v>
      </c>
      <c r="P1560" s="144">
        <f t="shared" ca="1" si="182"/>
        <v>1</v>
      </c>
      <c r="Q1560" s="144">
        <f t="shared" ca="1" si="182"/>
        <v>0.77471335605825853</v>
      </c>
    </row>
    <row r="1561" spans="1:17" x14ac:dyDescent="0.25">
      <c r="A1561" s="145">
        <v>41209</v>
      </c>
      <c r="B1561" s="144">
        <v>1.2907999999999999</v>
      </c>
      <c r="C1561" s="144">
        <v>40.615000000000002</v>
      </c>
      <c r="D1561" s="144">
        <v>7.4675000000000002</v>
      </c>
      <c r="E1561" s="144">
        <v>103.15</v>
      </c>
      <c r="F1561" s="144">
        <v>0.80120000000000002</v>
      </c>
      <c r="G1561" s="144">
        <v>1.2090000000000001</v>
      </c>
      <c r="I1561" s="144">
        <v>1</v>
      </c>
      <c r="J1561" s="145">
        <f t="shared" si="180"/>
        <v>41209</v>
      </c>
      <c r="K1561" s="144">
        <f t="shared" ca="1" si="182"/>
        <v>0.93662844747443452</v>
      </c>
      <c r="L1561" s="144">
        <f t="shared" ca="1" si="182"/>
        <v>0.62070034087387671</v>
      </c>
      <c r="M1561" s="144">
        <f t="shared" ca="1" si="182"/>
        <v>79.91168267740936</v>
      </c>
      <c r="N1561" s="144">
        <f t="shared" ca="1" si="182"/>
        <v>5.7851719863650457</v>
      </c>
      <c r="O1561" s="144">
        <f t="shared" ca="1" si="182"/>
        <v>31.464982956306169</v>
      </c>
      <c r="P1561" s="144">
        <f t="shared" ca="1" si="182"/>
        <v>1</v>
      </c>
      <c r="Q1561" s="144">
        <f t="shared" ca="1" si="182"/>
        <v>0.77471335605825853</v>
      </c>
    </row>
    <row r="1562" spans="1:17" x14ac:dyDescent="0.25">
      <c r="A1562" s="145">
        <v>41208</v>
      </c>
      <c r="B1562" s="144">
        <v>1.2907999999999999</v>
      </c>
      <c r="C1562" s="144">
        <v>40.615000000000002</v>
      </c>
      <c r="D1562" s="144">
        <v>7.4675000000000002</v>
      </c>
      <c r="E1562" s="144">
        <v>103.15</v>
      </c>
      <c r="F1562" s="144">
        <v>0.80120000000000002</v>
      </c>
      <c r="G1562" s="144">
        <v>1.2090000000000001</v>
      </c>
      <c r="I1562" s="144">
        <v>1</v>
      </c>
      <c r="J1562" s="145">
        <f t="shared" si="180"/>
        <v>41208</v>
      </c>
      <c r="K1562" s="144">
        <f t="shared" ca="1" si="182"/>
        <v>0.93662844747443452</v>
      </c>
      <c r="L1562" s="144">
        <f t="shared" ca="1" si="182"/>
        <v>0.62070034087387671</v>
      </c>
      <c r="M1562" s="144">
        <f t="shared" ca="1" si="182"/>
        <v>79.91168267740936</v>
      </c>
      <c r="N1562" s="144">
        <f t="shared" ca="1" si="182"/>
        <v>5.7851719863650457</v>
      </c>
      <c r="O1562" s="144">
        <f t="shared" ca="1" si="182"/>
        <v>31.464982956306169</v>
      </c>
      <c r="P1562" s="144">
        <f t="shared" ca="1" si="182"/>
        <v>1</v>
      </c>
      <c r="Q1562" s="144">
        <f t="shared" ca="1" si="182"/>
        <v>0.77471335605825853</v>
      </c>
    </row>
    <row r="1563" spans="1:17" x14ac:dyDescent="0.25">
      <c r="A1563" s="145">
        <v>41207</v>
      </c>
      <c r="B1563" s="144">
        <v>1.2992999999999999</v>
      </c>
      <c r="C1563" s="144">
        <v>40.585000000000001</v>
      </c>
      <c r="D1563" s="144">
        <v>7.4615</v>
      </c>
      <c r="E1563" s="144">
        <v>104.15</v>
      </c>
      <c r="F1563" s="144">
        <v>0.80489999999999995</v>
      </c>
      <c r="G1563" s="144">
        <v>1.2097</v>
      </c>
      <c r="I1563" s="144">
        <v>1</v>
      </c>
      <c r="J1563" s="145">
        <f t="shared" si="180"/>
        <v>41207</v>
      </c>
      <c r="K1563" s="144">
        <f t="shared" ca="1" si="182"/>
        <v>0.93103979065650744</v>
      </c>
      <c r="L1563" s="144">
        <f t="shared" ca="1" si="182"/>
        <v>0.61948741630108517</v>
      </c>
      <c r="M1563" s="144">
        <f t="shared" ca="1" si="182"/>
        <v>80.158546909874559</v>
      </c>
      <c r="N1563" s="144">
        <f t="shared" ca="1" si="182"/>
        <v>5.7427076117909648</v>
      </c>
      <c r="O1563" s="144">
        <f t="shared" ca="1" si="182"/>
        <v>31.236050180866624</v>
      </c>
      <c r="P1563" s="144">
        <f t="shared" ca="1" si="182"/>
        <v>1</v>
      </c>
      <c r="Q1563" s="144">
        <f t="shared" ca="1" si="182"/>
        <v>0.76964519356576622</v>
      </c>
    </row>
    <row r="1564" spans="1:17" x14ac:dyDescent="0.25">
      <c r="A1564" s="145">
        <v>41206</v>
      </c>
      <c r="B1564" s="144">
        <v>1.2942</v>
      </c>
      <c r="C1564" s="144">
        <v>40.625</v>
      </c>
      <c r="D1564" s="144">
        <v>7.4349999999999996</v>
      </c>
      <c r="E1564" s="144">
        <v>103.33</v>
      </c>
      <c r="F1564" s="144">
        <v>0.80830000000000002</v>
      </c>
      <c r="G1564" s="144">
        <v>1.21</v>
      </c>
      <c r="I1564" s="144">
        <v>1</v>
      </c>
      <c r="J1564" s="145">
        <f t="shared" si="180"/>
        <v>41206</v>
      </c>
      <c r="K1564" s="144">
        <f t="shared" ca="1" si="182"/>
        <v>0.9349405037861227</v>
      </c>
      <c r="L1564" s="144">
        <f t="shared" ca="1" si="182"/>
        <v>0.62455571009117605</v>
      </c>
      <c r="M1564" s="144">
        <f t="shared" ca="1" si="182"/>
        <v>79.840828310925673</v>
      </c>
      <c r="N1564" s="144">
        <f t="shared" ca="1" si="182"/>
        <v>5.7448616906196879</v>
      </c>
      <c r="O1564" s="144">
        <f t="shared" ca="1" si="182"/>
        <v>31.390047906042341</v>
      </c>
      <c r="P1564" s="144">
        <f t="shared" ca="1" si="182"/>
        <v>1</v>
      </c>
      <c r="Q1564" s="144">
        <f t="shared" ca="1" si="182"/>
        <v>0.77267810230258072</v>
      </c>
    </row>
    <row r="1565" spans="1:17" x14ac:dyDescent="0.25">
      <c r="A1565" s="145">
        <v>41205</v>
      </c>
      <c r="B1565" s="144">
        <v>1.3005</v>
      </c>
      <c r="C1565" s="144">
        <v>40.615000000000002</v>
      </c>
      <c r="D1565" s="144">
        <v>7.4169999999999998</v>
      </c>
      <c r="E1565" s="144">
        <v>103.84</v>
      </c>
      <c r="F1565" s="144">
        <v>0.81364999999999998</v>
      </c>
      <c r="G1565" s="144">
        <v>1.2098</v>
      </c>
      <c r="I1565" s="144">
        <v>1</v>
      </c>
      <c r="J1565" s="145">
        <f t="shared" si="180"/>
        <v>41205</v>
      </c>
      <c r="K1565" s="144">
        <f t="shared" ref="K1565:Q1574" ca="1" si="183">OFFSET($A1565,0,K$3)/OFFSET($A1565,0,$P$3)</f>
        <v>0.93025759323337176</v>
      </c>
      <c r="L1565" s="144">
        <f t="shared" ca="1" si="183"/>
        <v>0.62564398308342939</v>
      </c>
      <c r="M1565" s="144">
        <f t="shared" ca="1" si="183"/>
        <v>79.84621299500192</v>
      </c>
      <c r="N1565" s="144">
        <f t="shared" ca="1" si="183"/>
        <v>5.7031910803537098</v>
      </c>
      <c r="O1565" s="144">
        <f t="shared" ca="1" si="183"/>
        <v>31.230296039984623</v>
      </c>
      <c r="P1565" s="144">
        <f t="shared" ca="1" si="183"/>
        <v>1</v>
      </c>
      <c r="Q1565" s="144">
        <f t="shared" ca="1" si="183"/>
        <v>0.76893502499038835</v>
      </c>
    </row>
    <row r="1566" spans="1:17" x14ac:dyDescent="0.25">
      <c r="A1566" s="145">
        <v>41204</v>
      </c>
      <c r="B1566" s="144">
        <v>1.3063</v>
      </c>
      <c r="C1566" s="144">
        <v>40.425199999999997</v>
      </c>
      <c r="D1566" s="144">
        <v>7.3864999999999998</v>
      </c>
      <c r="E1566" s="144">
        <v>104.27</v>
      </c>
      <c r="F1566" s="144">
        <v>0.8145</v>
      </c>
      <c r="G1566" s="144">
        <v>1.2097</v>
      </c>
      <c r="I1566" s="144">
        <v>1</v>
      </c>
      <c r="J1566" s="145">
        <f t="shared" si="180"/>
        <v>41204</v>
      </c>
      <c r="K1566" s="144">
        <f t="shared" ca="1" si="183"/>
        <v>0.92605067748602921</v>
      </c>
      <c r="L1566" s="144">
        <f t="shared" ca="1" si="183"/>
        <v>0.62351680318456704</v>
      </c>
      <c r="M1566" s="144">
        <f t="shared" ca="1" si="183"/>
        <v>79.820868100742558</v>
      </c>
      <c r="N1566" s="144">
        <f t="shared" ca="1" si="183"/>
        <v>5.6545204011329711</v>
      </c>
      <c r="O1566" s="144">
        <f t="shared" ca="1" si="183"/>
        <v>30.946336982316463</v>
      </c>
      <c r="P1566" s="144">
        <f t="shared" ca="1" si="183"/>
        <v>1</v>
      </c>
      <c r="Q1566" s="144">
        <f t="shared" ca="1" si="183"/>
        <v>0.76552093699762691</v>
      </c>
    </row>
    <row r="1567" spans="1:17" x14ac:dyDescent="0.25">
      <c r="A1567" s="145">
        <v>41203</v>
      </c>
      <c r="B1567" s="144">
        <v>1.3035000000000001</v>
      </c>
      <c r="C1567" s="144">
        <v>40.188800000000001</v>
      </c>
      <c r="D1567" s="144">
        <v>7.3840000000000003</v>
      </c>
      <c r="E1567" s="144">
        <v>103.27</v>
      </c>
      <c r="F1567" s="144">
        <v>0.81274999999999997</v>
      </c>
      <c r="G1567" s="144">
        <v>1.2084999999999999</v>
      </c>
      <c r="I1567" s="144">
        <v>1</v>
      </c>
      <c r="J1567" s="145">
        <f t="shared" si="180"/>
        <v>41203</v>
      </c>
      <c r="K1567" s="144">
        <f t="shared" ca="1" si="183"/>
        <v>0.92711929420790162</v>
      </c>
      <c r="L1567" s="144">
        <f t="shared" ca="1" si="183"/>
        <v>0.62351361718450315</v>
      </c>
      <c r="M1567" s="144">
        <f t="shared" ca="1" si="183"/>
        <v>79.225163022631364</v>
      </c>
      <c r="N1567" s="144">
        <f t="shared" ca="1" si="183"/>
        <v>5.6647487533563483</v>
      </c>
      <c r="O1567" s="144">
        <f t="shared" ca="1" si="183"/>
        <v>30.83145377828922</v>
      </c>
      <c r="P1567" s="144">
        <f t="shared" ca="1" si="183"/>
        <v>1</v>
      </c>
      <c r="Q1567" s="144">
        <f t="shared" ca="1" si="183"/>
        <v>0.76716532412734939</v>
      </c>
    </row>
    <row r="1568" spans="1:17" x14ac:dyDescent="0.25">
      <c r="A1568" s="145">
        <v>41202</v>
      </c>
      <c r="B1568" s="144">
        <v>1.3035000000000001</v>
      </c>
      <c r="C1568" s="144">
        <v>40.188800000000001</v>
      </c>
      <c r="D1568" s="144">
        <v>7.3840000000000003</v>
      </c>
      <c r="E1568" s="144">
        <v>103.27</v>
      </c>
      <c r="F1568" s="144">
        <v>0.81274999999999997</v>
      </c>
      <c r="G1568" s="144">
        <v>1.2084999999999999</v>
      </c>
      <c r="I1568" s="144">
        <v>1</v>
      </c>
      <c r="J1568" s="145">
        <f t="shared" si="180"/>
        <v>41202</v>
      </c>
      <c r="K1568" s="144">
        <f t="shared" ca="1" si="183"/>
        <v>0.92711929420790162</v>
      </c>
      <c r="L1568" s="144">
        <f t="shared" ca="1" si="183"/>
        <v>0.62351361718450315</v>
      </c>
      <c r="M1568" s="144">
        <f t="shared" ca="1" si="183"/>
        <v>79.225163022631364</v>
      </c>
      <c r="N1568" s="144">
        <f t="shared" ca="1" si="183"/>
        <v>5.6647487533563483</v>
      </c>
      <c r="O1568" s="144">
        <f t="shared" ca="1" si="183"/>
        <v>30.83145377828922</v>
      </c>
      <c r="P1568" s="144">
        <f t="shared" ca="1" si="183"/>
        <v>1</v>
      </c>
      <c r="Q1568" s="144">
        <f t="shared" ca="1" si="183"/>
        <v>0.76716532412734939</v>
      </c>
    </row>
    <row r="1569" spans="1:17" x14ac:dyDescent="0.25">
      <c r="A1569" s="145">
        <v>41201</v>
      </c>
      <c r="B1569" s="144">
        <v>1.3035000000000001</v>
      </c>
      <c r="C1569" s="144">
        <v>40.188800000000001</v>
      </c>
      <c r="D1569" s="144">
        <v>7.3840000000000003</v>
      </c>
      <c r="E1569" s="144">
        <v>103.27</v>
      </c>
      <c r="F1569" s="144">
        <v>0.81274999999999997</v>
      </c>
      <c r="G1569" s="144">
        <v>1.2084999999999999</v>
      </c>
      <c r="I1569" s="144">
        <v>1</v>
      </c>
      <c r="J1569" s="145">
        <f t="shared" si="180"/>
        <v>41201</v>
      </c>
      <c r="K1569" s="144">
        <f t="shared" ca="1" si="183"/>
        <v>0.92711929420790162</v>
      </c>
      <c r="L1569" s="144">
        <f t="shared" ca="1" si="183"/>
        <v>0.62351361718450315</v>
      </c>
      <c r="M1569" s="144">
        <f t="shared" ca="1" si="183"/>
        <v>79.225163022631364</v>
      </c>
      <c r="N1569" s="144">
        <f t="shared" ca="1" si="183"/>
        <v>5.6647487533563483</v>
      </c>
      <c r="O1569" s="144">
        <f t="shared" ca="1" si="183"/>
        <v>30.83145377828922</v>
      </c>
      <c r="P1569" s="144">
        <f t="shared" ca="1" si="183"/>
        <v>1</v>
      </c>
      <c r="Q1569" s="144">
        <f t="shared" ca="1" si="183"/>
        <v>0.76716532412734939</v>
      </c>
    </row>
    <row r="1570" spans="1:17" x14ac:dyDescent="0.25">
      <c r="A1570" s="145">
        <v>41200</v>
      </c>
      <c r="B1570" s="144">
        <v>1.3118000000000001</v>
      </c>
      <c r="C1570" s="144">
        <v>40.302199999999999</v>
      </c>
      <c r="D1570" s="144">
        <v>7.3769999999999998</v>
      </c>
      <c r="E1570" s="144">
        <v>104.01</v>
      </c>
      <c r="F1570" s="144">
        <v>0.81189999999999996</v>
      </c>
      <c r="G1570" s="144">
        <v>1.2094</v>
      </c>
      <c r="I1570" s="144">
        <v>1</v>
      </c>
      <c r="J1570" s="145">
        <f t="shared" si="180"/>
        <v>41200</v>
      </c>
      <c r="K1570" s="144">
        <f t="shared" ca="1" si="183"/>
        <v>0.92193932001829548</v>
      </c>
      <c r="L1570" s="144">
        <f t="shared" ca="1" si="183"/>
        <v>0.61892056715962795</v>
      </c>
      <c r="M1570" s="144">
        <f t="shared" ca="1" si="183"/>
        <v>79.288001219698117</v>
      </c>
      <c r="N1570" s="144">
        <f t="shared" ca="1" si="183"/>
        <v>5.6235706662601004</v>
      </c>
      <c r="O1570" s="144">
        <f t="shared" ca="1" si="183"/>
        <v>30.722823601158712</v>
      </c>
      <c r="P1570" s="144">
        <f t="shared" ca="1" si="183"/>
        <v>1</v>
      </c>
      <c r="Q1570" s="144">
        <f t="shared" ca="1" si="183"/>
        <v>0.76231132794633327</v>
      </c>
    </row>
    <row r="1571" spans="1:17" x14ac:dyDescent="0.25">
      <c r="A1571" s="145">
        <v>41199</v>
      </c>
      <c r="B1571" s="144">
        <v>1.3120000000000001</v>
      </c>
      <c r="C1571" s="144">
        <v>40.287999999999997</v>
      </c>
      <c r="D1571" s="144">
        <v>7.3959999999999999</v>
      </c>
      <c r="E1571" s="144">
        <v>103.23</v>
      </c>
      <c r="F1571" s="144">
        <v>0.8115</v>
      </c>
      <c r="G1571" s="144">
        <v>1.2105999999999999</v>
      </c>
      <c r="I1571" s="144">
        <v>1</v>
      </c>
      <c r="J1571" s="145">
        <f t="shared" si="180"/>
        <v>41199</v>
      </c>
      <c r="K1571" s="144">
        <f t="shared" ca="1" si="183"/>
        <v>0.92271341463414625</v>
      </c>
      <c r="L1571" s="144">
        <f t="shared" ca="1" si="183"/>
        <v>0.61852134146341464</v>
      </c>
      <c r="M1571" s="144">
        <f t="shared" ca="1" si="183"/>
        <v>78.681402439024396</v>
      </c>
      <c r="N1571" s="144">
        <f t="shared" ca="1" si="183"/>
        <v>5.6371951219512191</v>
      </c>
      <c r="O1571" s="144">
        <f t="shared" ca="1" si="183"/>
        <v>30.707317073170728</v>
      </c>
      <c r="P1571" s="144">
        <f t="shared" ca="1" si="183"/>
        <v>1</v>
      </c>
      <c r="Q1571" s="144">
        <f t="shared" ca="1" si="183"/>
        <v>0.76219512195121952</v>
      </c>
    </row>
    <row r="1572" spans="1:17" x14ac:dyDescent="0.25">
      <c r="A1572" s="145">
        <v>41198</v>
      </c>
      <c r="B1572" s="144">
        <v>1.3046</v>
      </c>
      <c r="C1572" s="144">
        <v>40.280999999999999</v>
      </c>
      <c r="D1572" s="144">
        <v>7.391</v>
      </c>
      <c r="E1572" s="144">
        <v>102.94</v>
      </c>
      <c r="F1572" s="144">
        <v>0.80969999999999998</v>
      </c>
      <c r="G1572" s="144">
        <v>1.2091000000000001</v>
      </c>
      <c r="I1572" s="144">
        <v>1</v>
      </c>
      <c r="J1572" s="145">
        <f t="shared" si="180"/>
        <v>41198</v>
      </c>
      <c r="K1572" s="144">
        <f t="shared" ca="1" si="183"/>
        <v>0.92679748581940835</v>
      </c>
      <c r="L1572" s="144">
        <f t="shared" ca="1" si="183"/>
        <v>0.62065000766518474</v>
      </c>
      <c r="M1572" s="144">
        <f t="shared" ca="1" si="183"/>
        <v>78.905411620420054</v>
      </c>
      <c r="N1572" s="144">
        <f t="shared" ca="1" si="183"/>
        <v>5.6653380346466351</v>
      </c>
      <c r="O1572" s="144">
        <f t="shared" ca="1" si="183"/>
        <v>30.876130614747815</v>
      </c>
      <c r="P1572" s="144">
        <f t="shared" ca="1" si="183"/>
        <v>1</v>
      </c>
      <c r="Q1572" s="144">
        <f t="shared" ca="1" si="183"/>
        <v>0.7665184730952016</v>
      </c>
    </row>
    <row r="1573" spans="1:17" x14ac:dyDescent="0.25">
      <c r="A1573" s="145">
        <v>41197</v>
      </c>
      <c r="B1573" s="144">
        <v>1.2970999999999999</v>
      </c>
      <c r="C1573" s="144">
        <v>40.188499999999998</v>
      </c>
      <c r="D1573" s="144">
        <v>7.41</v>
      </c>
      <c r="E1573" s="144">
        <v>102.1</v>
      </c>
      <c r="F1573" s="144">
        <v>0.80745</v>
      </c>
      <c r="G1573" s="144">
        <v>1.2091000000000001</v>
      </c>
      <c r="I1573" s="144">
        <v>1</v>
      </c>
      <c r="J1573" s="145">
        <f t="shared" si="180"/>
        <v>41197</v>
      </c>
      <c r="K1573" s="144">
        <f t="shared" ca="1" si="183"/>
        <v>0.93215634877804343</v>
      </c>
      <c r="L1573" s="144">
        <f t="shared" ca="1" si="183"/>
        <v>0.62250404749055588</v>
      </c>
      <c r="M1573" s="144">
        <f t="shared" ca="1" si="183"/>
        <v>78.714054429111101</v>
      </c>
      <c r="N1573" s="144">
        <f t="shared" ca="1" si="183"/>
        <v>5.7127438131215795</v>
      </c>
      <c r="O1573" s="144">
        <f t="shared" ca="1" si="183"/>
        <v>30.98334746742734</v>
      </c>
      <c r="P1573" s="144">
        <f t="shared" ca="1" si="183"/>
        <v>1</v>
      </c>
      <c r="Q1573" s="144">
        <f t="shared" ca="1" si="183"/>
        <v>0.77095058206768952</v>
      </c>
    </row>
    <row r="1574" spans="1:17" x14ac:dyDescent="0.25">
      <c r="A1574" s="145">
        <v>41196</v>
      </c>
      <c r="B1574" s="144">
        <v>1.2969999999999999</v>
      </c>
      <c r="C1574" s="144">
        <v>40.200000000000003</v>
      </c>
      <c r="D1574" s="144">
        <v>7.4005000000000001</v>
      </c>
      <c r="E1574" s="144">
        <v>101.7</v>
      </c>
      <c r="F1574" s="144">
        <v>0.80649999999999999</v>
      </c>
      <c r="G1574" s="144">
        <v>1.2093</v>
      </c>
      <c r="I1574" s="144">
        <v>1</v>
      </c>
      <c r="J1574" s="145">
        <f t="shared" si="180"/>
        <v>41196</v>
      </c>
      <c r="K1574" s="144">
        <f t="shared" ca="1" si="183"/>
        <v>0.93238242097147273</v>
      </c>
      <c r="L1574" s="144">
        <f t="shared" ca="1" si="183"/>
        <v>0.62181958365458756</v>
      </c>
      <c r="M1574" s="144">
        <f t="shared" ca="1" si="183"/>
        <v>78.411719352351582</v>
      </c>
      <c r="N1574" s="144">
        <f t="shared" ca="1" si="183"/>
        <v>5.7058596761757903</v>
      </c>
      <c r="O1574" s="144">
        <f t="shared" ca="1" si="183"/>
        <v>30.994602929838091</v>
      </c>
      <c r="P1574" s="144">
        <f t="shared" ca="1" si="183"/>
        <v>1</v>
      </c>
      <c r="Q1574" s="144">
        <f t="shared" ca="1" si="183"/>
        <v>0.77101002313030076</v>
      </c>
    </row>
    <row r="1575" spans="1:17" x14ac:dyDescent="0.25">
      <c r="A1575" s="145">
        <v>41195</v>
      </c>
      <c r="B1575" s="144">
        <v>1.2969999999999999</v>
      </c>
      <c r="C1575" s="144">
        <v>40.200000000000003</v>
      </c>
      <c r="D1575" s="144">
        <v>7.4005000000000001</v>
      </c>
      <c r="E1575" s="144">
        <v>101.7</v>
      </c>
      <c r="F1575" s="144">
        <v>0.80649999999999999</v>
      </c>
      <c r="G1575" s="144">
        <v>1.2093</v>
      </c>
      <c r="I1575" s="144">
        <v>1</v>
      </c>
      <c r="J1575" s="145">
        <f t="shared" si="180"/>
        <v>41195</v>
      </c>
      <c r="K1575" s="144">
        <f t="shared" ref="K1575:Q1584" ca="1" si="184">OFFSET($A1575,0,K$3)/OFFSET($A1575,0,$P$3)</f>
        <v>0.93238242097147273</v>
      </c>
      <c r="L1575" s="144">
        <f t="shared" ca="1" si="184"/>
        <v>0.62181958365458756</v>
      </c>
      <c r="M1575" s="144">
        <f t="shared" ca="1" si="184"/>
        <v>78.411719352351582</v>
      </c>
      <c r="N1575" s="144">
        <f t="shared" ca="1" si="184"/>
        <v>5.7058596761757903</v>
      </c>
      <c r="O1575" s="144">
        <f t="shared" ca="1" si="184"/>
        <v>30.994602929838091</v>
      </c>
      <c r="P1575" s="144">
        <f t="shared" ca="1" si="184"/>
        <v>1</v>
      </c>
      <c r="Q1575" s="144">
        <f t="shared" ca="1" si="184"/>
        <v>0.77101002313030076</v>
      </c>
    </row>
    <row r="1576" spans="1:17" x14ac:dyDescent="0.25">
      <c r="A1576" s="145">
        <v>41194</v>
      </c>
      <c r="B1576" s="144">
        <v>1.2969999999999999</v>
      </c>
      <c r="C1576" s="144">
        <v>40.200000000000003</v>
      </c>
      <c r="D1576" s="144">
        <v>7.4005000000000001</v>
      </c>
      <c r="E1576" s="144">
        <v>101.7</v>
      </c>
      <c r="F1576" s="144">
        <v>0.80649999999999999</v>
      </c>
      <c r="G1576" s="144">
        <v>1.2093</v>
      </c>
      <c r="I1576" s="144">
        <v>1</v>
      </c>
      <c r="J1576" s="145">
        <f t="shared" si="180"/>
        <v>41194</v>
      </c>
      <c r="K1576" s="144">
        <f t="shared" ca="1" si="184"/>
        <v>0.93238242097147273</v>
      </c>
      <c r="L1576" s="144">
        <f t="shared" ca="1" si="184"/>
        <v>0.62181958365458756</v>
      </c>
      <c r="M1576" s="144">
        <f t="shared" ca="1" si="184"/>
        <v>78.411719352351582</v>
      </c>
      <c r="N1576" s="144">
        <f t="shared" ca="1" si="184"/>
        <v>5.7058596761757903</v>
      </c>
      <c r="O1576" s="144">
        <f t="shared" ca="1" si="184"/>
        <v>30.994602929838091</v>
      </c>
      <c r="P1576" s="144">
        <f t="shared" ca="1" si="184"/>
        <v>1</v>
      </c>
      <c r="Q1576" s="144">
        <f t="shared" ca="1" si="184"/>
        <v>0.77101002313030076</v>
      </c>
    </row>
    <row r="1577" spans="1:17" x14ac:dyDescent="0.25">
      <c r="A1577" s="145">
        <v>41193</v>
      </c>
      <c r="B1577" s="144">
        <v>1.2918000000000001</v>
      </c>
      <c r="C1577" s="144">
        <v>40.115499999999997</v>
      </c>
      <c r="D1577" s="144">
        <v>7.3825000000000003</v>
      </c>
      <c r="E1577" s="144">
        <v>101.26</v>
      </c>
      <c r="F1577" s="144">
        <v>0.80525000000000002</v>
      </c>
      <c r="G1577" s="144">
        <v>1.2087000000000001</v>
      </c>
      <c r="I1577" s="144">
        <v>1</v>
      </c>
      <c r="J1577" s="145">
        <f t="shared" si="180"/>
        <v>41193</v>
      </c>
      <c r="K1577" s="144">
        <f t="shared" ca="1" si="184"/>
        <v>0.93567115652577804</v>
      </c>
      <c r="L1577" s="144">
        <f t="shared" ca="1" si="184"/>
        <v>0.62335500851525005</v>
      </c>
      <c r="M1577" s="144">
        <f t="shared" ca="1" si="184"/>
        <v>78.386747174485208</v>
      </c>
      <c r="N1577" s="144">
        <f t="shared" ca="1" si="184"/>
        <v>5.714893946431336</v>
      </c>
      <c r="O1577" s="144">
        <f t="shared" ca="1" si="184"/>
        <v>31.053955720699797</v>
      </c>
      <c r="P1577" s="144">
        <f t="shared" ca="1" si="184"/>
        <v>1</v>
      </c>
      <c r="Q1577" s="144">
        <f t="shared" ca="1" si="184"/>
        <v>0.77411363988233473</v>
      </c>
    </row>
    <row r="1578" spans="1:17" x14ac:dyDescent="0.25">
      <c r="A1578" s="145">
        <v>41192</v>
      </c>
      <c r="B1578" s="144">
        <v>1.2888999999999999</v>
      </c>
      <c r="C1578" s="144">
        <v>40.090000000000003</v>
      </c>
      <c r="D1578" s="144">
        <v>7.3985000000000003</v>
      </c>
      <c r="E1578" s="144">
        <v>100.94</v>
      </c>
      <c r="F1578" s="144">
        <v>0.80495000000000005</v>
      </c>
      <c r="G1578" s="144">
        <v>1.2110000000000001</v>
      </c>
      <c r="I1578" s="144">
        <v>1</v>
      </c>
      <c r="J1578" s="145">
        <f t="shared" si="180"/>
        <v>41192</v>
      </c>
      <c r="K1578" s="144">
        <f t="shared" ca="1" si="184"/>
        <v>0.93956086585460485</v>
      </c>
      <c r="L1578" s="144">
        <f t="shared" ca="1" si="184"/>
        <v>0.62452478857940885</v>
      </c>
      <c r="M1578" s="144">
        <f t="shared" ca="1" si="184"/>
        <v>78.314842113430061</v>
      </c>
      <c r="N1578" s="144">
        <f t="shared" ca="1" si="184"/>
        <v>5.7401660330514401</v>
      </c>
      <c r="O1578" s="144">
        <f t="shared" ca="1" si="184"/>
        <v>31.104042206532707</v>
      </c>
      <c r="P1578" s="144">
        <f t="shared" ca="1" si="184"/>
        <v>1</v>
      </c>
      <c r="Q1578" s="144">
        <f t="shared" ca="1" si="184"/>
        <v>0.77585538055706416</v>
      </c>
    </row>
    <row r="1579" spans="1:17" x14ac:dyDescent="0.25">
      <c r="A1579" s="145">
        <v>41191</v>
      </c>
      <c r="B1579" s="144">
        <v>1.2952999999999999</v>
      </c>
      <c r="C1579" s="144">
        <v>40.274000000000001</v>
      </c>
      <c r="D1579" s="144">
        <v>7.4050000000000002</v>
      </c>
      <c r="E1579" s="144">
        <v>101.35</v>
      </c>
      <c r="F1579" s="144">
        <v>0.80789999999999995</v>
      </c>
      <c r="G1579" s="144">
        <v>1.2111000000000001</v>
      </c>
      <c r="I1579" s="144">
        <v>1</v>
      </c>
      <c r="J1579" s="145">
        <f t="shared" si="180"/>
        <v>41191</v>
      </c>
      <c r="K1579" s="144">
        <f t="shared" ca="1" si="184"/>
        <v>0.93499575387941025</v>
      </c>
      <c r="L1579" s="144">
        <f t="shared" ca="1" si="184"/>
        <v>0.62371651354898483</v>
      </c>
      <c r="M1579" s="144">
        <f t="shared" ca="1" si="184"/>
        <v>78.244422141588828</v>
      </c>
      <c r="N1579" s="144">
        <f t="shared" ca="1" si="184"/>
        <v>5.7168223577549613</v>
      </c>
      <c r="O1579" s="144">
        <f t="shared" ca="1" si="184"/>
        <v>31.092411024473098</v>
      </c>
      <c r="P1579" s="144">
        <f t="shared" ca="1" si="184"/>
        <v>1</v>
      </c>
      <c r="Q1579" s="144">
        <f t="shared" ca="1" si="184"/>
        <v>0.77202192542268211</v>
      </c>
    </row>
    <row r="1580" spans="1:17" x14ac:dyDescent="0.25">
      <c r="A1580" s="145">
        <v>41190</v>
      </c>
      <c r="B1580" s="144">
        <v>1.2958000000000001</v>
      </c>
      <c r="C1580" s="144">
        <v>40.3506</v>
      </c>
      <c r="D1580" s="144">
        <v>7.4020000000000001</v>
      </c>
      <c r="E1580" s="144">
        <v>101.45</v>
      </c>
      <c r="F1580" s="144">
        <v>0.80840000000000001</v>
      </c>
      <c r="G1580" s="144">
        <v>1.2110000000000001</v>
      </c>
      <c r="I1580" s="144">
        <v>1</v>
      </c>
      <c r="J1580" s="145">
        <f t="shared" si="180"/>
        <v>41190</v>
      </c>
      <c r="K1580" s="144">
        <f t="shared" ca="1" si="184"/>
        <v>0.93455780212995831</v>
      </c>
      <c r="L1580" s="144">
        <f t="shared" ca="1" si="184"/>
        <v>0.62386170705355759</v>
      </c>
      <c r="M1580" s="144">
        <f t="shared" ca="1" si="184"/>
        <v>78.291402994289243</v>
      </c>
      <c r="N1580" s="144">
        <f t="shared" ca="1" si="184"/>
        <v>5.7123012810618921</v>
      </c>
      <c r="O1580" s="144">
        <f t="shared" ca="1" si="184"/>
        <v>31.139527704892728</v>
      </c>
      <c r="P1580" s="144">
        <f t="shared" ca="1" si="184"/>
        <v>1</v>
      </c>
      <c r="Q1580" s="144">
        <f t="shared" ca="1" si="184"/>
        <v>0.7717240314863405</v>
      </c>
    </row>
    <row r="1581" spans="1:17" x14ac:dyDescent="0.25">
      <c r="A1581" s="145">
        <v>41189</v>
      </c>
      <c r="B1581" s="144">
        <v>1.3002</v>
      </c>
      <c r="C1581" s="144">
        <v>40.252000000000002</v>
      </c>
      <c r="D1581" s="144">
        <v>7.3935000000000004</v>
      </c>
      <c r="E1581" s="144">
        <v>102.02</v>
      </c>
      <c r="F1581" s="144">
        <v>0.80325000000000002</v>
      </c>
      <c r="G1581" s="144">
        <v>1.2112000000000001</v>
      </c>
      <c r="I1581" s="144">
        <v>1</v>
      </c>
      <c r="J1581" s="145">
        <f t="shared" si="180"/>
        <v>41189</v>
      </c>
      <c r="K1581" s="144">
        <f t="shared" ca="1" si="184"/>
        <v>0.93154899246269807</v>
      </c>
      <c r="L1581" s="144">
        <f t="shared" ca="1" si="184"/>
        <v>0.6177895708352561</v>
      </c>
      <c r="M1581" s="144">
        <f t="shared" ca="1" si="184"/>
        <v>78.464851561298261</v>
      </c>
      <c r="N1581" s="144">
        <f t="shared" ca="1" si="184"/>
        <v>5.6864328564836182</v>
      </c>
      <c r="O1581" s="144">
        <f t="shared" ca="1" si="184"/>
        <v>30.958314105522227</v>
      </c>
      <c r="P1581" s="144">
        <f t="shared" ca="1" si="184"/>
        <v>1</v>
      </c>
      <c r="Q1581" s="144">
        <f t="shared" ca="1" si="184"/>
        <v>0.76911244423934777</v>
      </c>
    </row>
    <row r="1582" spans="1:17" x14ac:dyDescent="0.25">
      <c r="A1582" s="145">
        <v>41188</v>
      </c>
      <c r="B1582" s="144">
        <v>1.3002</v>
      </c>
      <c r="C1582" s="144">
        <v>40.252000000000002</v>
      </c>
      <c r="D1582" s="144">
        <v>7.3935000000000004</v>
      </c>
      <c r="E1582" s="144">
        <v>102.02</v>
      </c>
      <c r="F1582" s="144">
        <v>0.80325000000000002</v>
      </c>
      <c r="G1582" s="144">
        <v>1.2112000000000001</v>
      </c>
      <c r="I1582" s="144">
        <v>1</v>
      </c>
      <c r="J1582" s="145">
        <f t="shared" si="180"/>
        <v>41188</v>
      </c>
      <c r="K1582" s="144">
        <f t="shared" ca="1" si="184"/>
        <v>0.93154899246269807</v>
      </c>
      <c r="L1582" s="144">
        <f t="shared" ca="1" si="184"/>
        <v>0.6177895708352561</v>
      </c>
      <c r="M1582" s="144">
        <f t="shared" ca="1" si="184"/>
        <v>78.464851561298261</v>
      </c>
      <c r="N1582" s="144">
        <f t="shared" ca="1" si="184"/>
        <v>5.6864328564836182</v>
      </c>
      <c r="O1582" s="144">
        <f t="shared" ca="1" si="184"/>
        <v>30.958314105522227</v>
      </c>
      <c r="P1582" s="144">
        <f t="shared" ca="1" si="184"/>
        <v>1</v>
      </c>
      <c r="Q1582" s="144">
        <f t="shared" ca="1" si="184"/>
        <v>0.76911244423934777</v>
      </c>
    </row>
    <row r="1583" spans="1:17" x14ac:dyDescent="0.25">
      <c r="A1583" s="145">
        <v>41187</v>
      </c>
      <c r="B1583" s="144">
        <v>1.3002</v>
      </c>
      <c r="C1583" s="144">
        <v>40.252000000000002</v>
      </c>
      <c r="D1583" s="144">
        <v>7.3935000000000004</v>
      </c>
      <c r="E1583" s="144">
        <v>102.02</v>
      </c>
      <c r="F1583" s="144">
        <v>0.80325000000000002</v>
      </c>
      <c r="G1583" s="144">
        <v>1.2112000000000001</v>
      </c>
      <c r="I1583" s="144">
        <v>1</v>
      </c>
      <c r="J1583" s="145">
        <f t="shared" si="180"/>
        <v>41187</v>
      </c>
      <c r="K1583" s="144">
        <f t="shared" ca="1" si="184"/>
        <v>0.93154899246269807</v>
      </c>
      <c r="L1583" s="144">
        <f t="shared" ca="1" si="184"/>
        <v>0.6177895708352561</v>
      </c>
      <c r="M1583" s="144">
        <f t="shared" ca="1" si="184"/>
        <v>78.464851561298261</v>
      </c>
      <c r="N1583" s="144">
        <f t="shared" ca="1" si="184"/>
        <v>5.6864328564836182</v>
      </c>
      <c r="O1583" s="144">
        <f t="shared" ca="1" si="184"/>
        <v>30.958314105522227</v>
      </c>
      <c r="P1583" s="144">
        <f t="shared" ca="1" si="184"/>
        <v>1</v>
      </c>
      <c r="Q1583" s="144">
        <f t="shared" ca="1" si="184"/>
        <v>0.76911244423934777</v>
      </c>
    </row>
    <row r="1584" spans="1:17" x14ac:dyDescent="0.25">
      <c r="A1584" s="145">
        <v>41186</v>
      </c>
      <c r="B1584" s="144">
        <v>1.2950999999999999</v>
      </c>
      <c r="C1584" s="144">
        <v>40.29</v>
      </c>
      <c r="D1584" s="144">
        <v>7.4284999999999997</v>
      </c>
      <c r="E1584" s="144">
        <v>101.88</v>
      </c>
      <c r="F1584" s="144">
        <v>0.80395000000000005</v>
      </c>
      <c r="G1584" s="144">
        <v>1.2122999999999999</v>
      </c>
      <c r="I1584" s="144">
        <v>1</v>
      </c>
      <c r="J1584" s="145">
        <f t="shared" si="180"/>
        <v>41186</v>
      </c>
      <c r="K1584" s="144">
        <f t="shared" ca="1" si="184"/>
        <v>0.93606671299513555</v>
      </c>
      <c r="L1584" s="144">
        <f t="shared" ca="1" si="184"/>
        <v>0.62076287545363296</v>
      </c>
      <c r="M1584" s="144">
        <f t="shared" ca="1" si="184"/>
        <v>78.665740097289785</v>
      </c>
      <c r="N1584" s="144">
        <f t="shared" ca="1" si="184"/>
        <v>5.7358505134738635</v>
      </c>
      <c r="O1584" s="144">
        <f t="shared" ca="1" si="184"/>
        <v>31.109566828816309</v>
      </c>
      <c r="P1584" s="144">
        <f t="shared" ca="1" si="184"/>
        <v>1</v>
      </c>
      <c r="Q1584" s="144">
        <f t="shared" ca="1" si="184"/>
        <v>0.77214114740174511</v>
      </c>
    </row>
    <row r="1585" spans="1:17" x14ac:dyDescent="0.25">
      <c r="A1585" s="145">
        <v>41185</v>
      </c>
      <c r="B1585" s="144">
        <v>1.2904</v>
      </c>
      <c r="C1585" s="144">
        <v>40.177</v>
      </c>
      <c r="D1585" s="144">
        <v>7.4115000000000002</v>
      </c>
      <c r="E1585" s="144">
        <v>101.1</v>
      </c>
      <c r="F1585" s="144">
        <v>0.80084999999999995</v>
      </c>
      <c r="G1585" s="144">
        <v>1.2103999999999999</v>
      </c>
      <c r="I1585" s="144">
        <v>1</v>
      </c>
      <c r="J1585" s="145">
        <f t="shared" si="180"/>
        <v>41185</v>
      </c>
      <c r="K1585" s="144">
        <f t="shared" ref="K1585:Q1594" ca="1" si="185">OFFSET($A1585,0,K$3)/OFFSET($A1585,0,$P$3)</f>
        <v>0.93800371977681329</v>
      </c>
      <c r="L1585" s="144">
        <f t="shared" ca="1" si="185"/>
        <v>0.62062151270923738</v>
      </c>
      <c r="M1585" s="144">
        <f t="shared" ca="1" si="185"/>
        <v>78.347799132052074</v>
      </c>
      <c r="N1585" s="144">
        <f t="shared" ca="1" si="185"/>
        <v>5.7435678859268444</v>
      </c>
      <c r="O1585" s="144">
        <f t="shared" ca="1" si="185"/>
        <v>31.135306881587105</v>
      </c>
      <c r="P1585" s="144">
        <f t="shared" ca="1" si="185"/>
        <v>1</v>
      </c>
      <c r="Q1585" s="144">
        <f t="shared" ca="1" si="185"/>
        <v>0.77495350278983266</v>
      </c>
    </row>
    <row r="1586" spans="1:17" x14ac:dyDescent="0.25">
      <c r="A1586" s="145">
        <v>41184</v>
      </c>
      <c r="B1586" s="144">
        <v>1.2929999999999999</v>
      </c>
      <c r="C1586" s="144">
        <v>40.159999999999997</v>
      </c>
      <c r="D1586" s="144">
        <v>7.3730000000000002</v>
      </c>
      <c r="E1586" s="144">
        <v>101.02</v>
      </c>
      <c r="F1586" s="144">
        <v>0.80059999999999998</v>
      </c>
      <c r="G1586" s="144">
        <v>1.2101999999999999</v>
      </c>
      <c r="I1586" s="144">
        <v>1</v>
      </c>
      <c r="J1586" s="145">
        <f t="shared" si="180"/>
        <v>41184</v>
      </c>
      <c r="K1586" s="144">
        <f t="shared" ca="1" si="185"/>
        <v>0.93596287703016245</v>
      </c>
      <c r="L1586" s="144">
        <f t="shared" ca="1" si="185"/>
        <v>0.61918020108275329</v>
      </c>
      <c r="M1586" s="144">
        <f t="shared" ca="1" si="185"/>
        <v>78.12838360402165</v>
      </c>
      <c r="N1586" s="144">
        <f t="shared" ca="1" si="185"/>
        <v>5.7022428460943546</v>
      </c>
      <c r="O1586" s="144">
        <f t="shared" ca="1" si="185"/>
        <v>31.059551430781127</v>
      </c>
      <c r="P1586" s="144">
        <f t="shared" ca="1" si="185"/>
        <v>1</v>
      </c>
      <c r="Q1586" s="144">
        <f t="shared" ca="1" si="185"/>
        <v>0.77339520494972935</v>
      </c>
    </row>
    <row r="1587" spans="1:17" x14ac:dyDescent="0.25">
      <c r="A1587" s="145">
        <v>41183</v>
      </c>
      <c r="B1587" s="144">
        <v>1.2877000000000001</v>
      </c>
      <c r="C1587" s="144">
        <v>40.222999999999999</v>
      </c>
      <c r="D1587" s="144">
        <v>7.3780000000000001</v>
      </c>
      <c r="E1587" s="144">
        <v>100.42</v>
      </c>
      <c r="F1587" s="144">
        <v>0.79830000000000001</v>
      </c>
      <c r="G1587" s="144">
        <v>1.2095</v>
      </c>
      <c r="I1587" s="144">
        <v>1</v>
      </c>
      <c r="J1587" s="145">
        <f t="shared" si="180"/>
        <v>41183</v>
      </c>
      <c r="K1587" s="144">
        <f t="shared" ca="1" si="185"/>
        <v>0.93927156946493751</v>
      </c>
      <c r="L1587" s="144">
        <f t="shared" ca="1" si="185"/>
        <v>0.61994253319872639</v>
      </c>
      <c r="M1587" s="144">
        <f t="shared" ca="1" si="185"/>
        <v>77.984002485050866</v>
      </c>
      <c r="N1587" s="144">
        <f t="shared" ca="1" si="185"/>
        <v>5.7295954026558977</v>
      </c>
      <c r="O1587" s="144">
        <f t="shared" ca="1" si="185"/>
        <v>31.236312805777739</v>
      </c>
      <c r="P1587" s="144">
        <f t="shared" ca="1" si="185"/>
        <v>1</v>
      </c>
      <c r="Q1587" s="144">
        <f t="shared" ca="1" si="185"/>
        <v>0.77657839558903463</v>
      </c>
    </row>
    <row r="1588" spans="1:17" x14ac:dyDescent="0.25">
      <c r="A1588" s="145">
        <v>41182</v>
      </c>
      <c r="B1588" s="144">
        <v>1.2929999999999999</v>
      </c>
      <c r="C1588" s="144">
        <v>40.14</v>
      </c>
      <c r="D1588" s="144">
        <v>7.3695000000000004</v>
      </c>
      <c r="E1588" s="144">
        <v>100.37</v>
      </c>
      <c r="F1588" s="144">
        <v>0.79805000000000004</v>
      </c>
      <c r="G1588" s="144">
        <v>1.2099</v>
      </c>
      <c r="I1588" s="144">
        <v>1</v>
      </c>
      <c r="J1588" s="145">
        <f t="shared" si="180"/>
        <v>41182</v>
      </c>
      <c r="K1588" s="144">
        <f t="shared" ca="1" si="185"/>
        <v>0.93573085846867754</v>
      </c>
      <c r="L1588" s="144">
        <f t="shared" ca="1" si="185"/>
        <v>0.61720804331013157</v>
      </c>
      <c r="M1588" s="144">
        <f t="shared" ca="1" si="185"/>
        <v>77.625676720804336</v>
      </c>
      <c r="N1588" s="144">
        <f t="shared" ca="1" si="185"/>
        <v>5.6995359628770306</v>
      </c>
      <c r="O1588" s="144">
        <f t="shared" ca="1" si="185"/>
        <v>31.044083526682137</v>
      </c>
      <c r="P1588" s="144">
        <f t="shared" ca="1" si="185"/>
        <v>1</v>
      </c>
      <c r="Q1588" s="144">
        <f t="shared" ca="1" si="185"/>
        <v>0.77339520494972935</v>
      </c>
    </row>
    <row r="1589" spans="1:17" x14ac:dyDescent="0.25">
      <c r="A1589" s="145">
        <v>41181</v>
      </c>
      <c r="B1589" s="144">
        <v>1.2929999999999999</v>
      </c>
      <c r="C1589" s="144">
        <v>40.14</v>
      </c>
      <c r="D1589" s="144">
        <v>7.3695000000000004</v>
      </c>
      <c r="E1589" s="144">
        <v>100.37</v>
      </c>
      <c r="F1589" s="144">
        <v>0.79805000000000004</v>
      </c>
      <c r="G1589" s="144">
        <v>1.2099</v>
      </c>
      <c r="I1589" s="144">
        <v>1</v>
      </c>
      <c r="J1589" s="145">
        <f t="shared" si="180"/>
        <v>41181</v>
      </c>
      <c r="K1589" s="144">
        <f t="shared" ca="1" si="185"/>
        <v>0.93573085846867754</v>
      </c>
      <c r="L1589" s="144">
        <f t="shared" ca="1" si="185"/>
        <v>0.61720804331013157</v>
      </c>
      <c r="M1589" s="144">
        <f t="shared" ca="1" si="185"/>
        <v>77.625676720804336</v>
      </c>
      <c r="N1589" s="144">
        <f t="shared" ca="1" si="185"/>
        <v>5.6995359628770306</v>
      </c>
      <c r="O1589" s="144">
        <f t="shared" ca="1" si="185"/>
        <v>31.044083526682137</v>
      </c>
      <c r="P1589" s="144">
        <f t="shared" ca="1" si="185"/>
        <v>1</v>
      </c>
      <c r="Q1589" s="144">
        <f t="shared" ca="1" si="185"/>
        <v>0.77339520494972935</v>
      </c>
    </row>
    <row r="1590" spans="1:17" x14ac:dyDescent="0.25">
      <c r="A1590" s="145">
        <v>41180</v>
      </c>
      <c r="B1590" s="144">
        <v>1.2929999999999999</v>
      </c>
      <c r="C1590" s="144">
        <v>40.14</v>
      </c>
      <c r="D1590" s="144">
        <v>7.3695000000000004</v>
      </c>
      <c r="E1590" s="144">
        <v>100.37</v>
      </c>
      <c r="F1590" s="144">
        <v>0.79805000000000004</v>
      </c>
      <c r="G1590" s="144">
        <v>1.2099</v>
      </c>
      <c r="I1590" s="144">
        <v>1</v>
      </c>
      <c r="J1590" s="145">
        <f t="shared" si="180"/>
        <v>41180</v>
      </c>
      <c r="K1590" s="144">
        <f t="shared" ca="1" si="185"/>
        <v>0.93573085846867754</v>
      </c>
      <c r="L1590" s="144">
        <f t="shared" ca="1" si="185"/>
        <v>0.61720804331013157</v>
      </c>
      <c r="M1590" s="144">
        <f t="shared" ca="1" si="185"/>
        <v>77.625676720804336</v>
      </c>
      <c r="N1590" s="144">
        <f t="shared" ca="1" si="185"/>
        <v>5.6995359628770306</v>
      </c>
      <c r="O1590" s="144">
        <f t="shared" ca="1" si="185"/>
        <v>31.044083526682137</v>
      </c>
      <c r="P1590" s="144">
        <f t="shared" ca="1" si="185"/>
        <v>1</v>
      </c>
      <c r="Q1590" s="144">
        <f t="shared" ca="1" si="185"/>
        <v>0.77339520494972935</v>
      </c>
    </row>
    <row r="1591" spans="1:17" x14ac:dyDescent="0.25">
      <c r="A1591" s="145">
        <v>41179</v>
      </c>
      <c r="B1591" s="144">
        <v>1.2874000000000001</v>
      </c>
      <c r="C1591" s="144">
        <v>40.034999999999997</v>
      </c>
      <c r="D1591" s="144">
        <v>7.38</v>
      </c>
      <c r="E1591" s="144">
        <v>99.98</v>
      </c>
      <c r="F1591" s="144">
        <v>0.79390000000000005</v>
      </c>
      <c r="G1591" s="144">
        <v>1.2083999999999999</v>
      </c>
      <c r="I1591" s="144">
        <v>1</v>
      </c>
      <c r="J1591" s="145">
        <f t="shared" si="180"/>
        <v>41179</v>
      </c>
      <c r="K1591" s="144">
        <f t="shared" ca="1" si="185"/>
        <v>0.9386360105639272</v>
      </c>
      <c r="L1591" s="144">
        <f t="shared" ca="1" si="185"/>
        <v>0.61666925586453314</v>
      </c>
      <c r="M1591" s="144">
        <f t="shared" ca="1" si="185"/>
        <v>77.660400807829731</v>
      </c>
      <c r="N1591" s="144">
        <f t="shared" ca="1" si="185"/>
        <v>5.7324840764331206</v>
      </c>
      <c r="O1591" s="144">
        <f t="shared" ca="1" si="185"/>
        <v>31.097560975609753</v>
      </c>
      <c r="P1591" s="144">
        <f t="shared" ca="1" si="185"/>
        <v>1</v>
      </c>
      <c r="Q1591" s="144">
        <f t="shared" ca="1" si="185"/>
        <v>0.77675935995028733</v>
      </c>
    </row>
    <row r="1592" spans="1:17" x14ac:dyDescent="0.25">
      <c r="A1592" s="145">
        <v>41178</v>
      </c>
      <c r="B1592" s="144">
        <v>1.2845</v>
      </c>
      <c r="C1592" s="144">
        <v>40.173000000000002</v>
      </c>
      <c r="D1592" s="144">
        <v>7.4029999999999996</v>
      </c>
      <c r="E1592" s="144">
        <v>99.82</v>
      </c>
      <c r="F1592" s="144">
        <v>0.79490000000000005</v>
      </c>
      <c r="G1592" s="144">
        <v>1.2088000000000001</v>
      </c>
      <c r="I1592" s="144">
        <v>1</v>
      </c>
      <c r="J1592" s="145">
        <f t="shared" si="180"/>
        <v>41178</v>
      </c>
      <c r="K1592" s="144">
        <f t="shared" ca="1" si="185"/>
        <v>0.94106656286492807</v>
      </c>
      <c r="L1592" s="144">
        <f t="shared" ca="1" si="185"/>
        <v>0.6188400155702608</v>
      </c>
      <c r="M1592" s="144">
        <f t="shared" ca="1" si="185"/>
        <v>77.711171662125338</v>
      </c>
      <c r="N1592" s="144">
        <f t="shared" ca="1" si="185"/>
        <v>5.7633320358116</v>
      </c>
      <c r="O1592" s="144">
        <f t="shared" ca="1" si="185"/>
        <v>31.275204359673026</v>
      </c>
      <c r="P1592" s="144">
        <f t="shared" ca="1" si="185"/>
        <v>1</v>
      </c>
      <c r="Q1592" s="144">
        <f t="shared" ca="1" si="185"/>
        <v>0.77851304009342159</v>
      </c>
    </row>
    <row r="1593" spans="1:17" x14ac:dyDescent="0.25">
      <c r="A1593" s="145">
        <v>41177</v>
      </c>
      <c r="B1593" s="144">
        <v>1.2931999999999999</v>
      </c>
      <c r="C1593" s="144">
        <v>40.109000000000002</v>
      </c>
      <c r="D1593" s="144">
        <v>7.4</v>
      </c>
      <c r="E1593" s="144">
        <v>100.57</v>
      </c>
      <c r="F1593" s="144">
        <v>0.79649999999999999</v>
      </c>
      <c r="G1593" s="144">
        <v>1.2092000000000001</v>
      </c>
      <c r="I1593" s="144">
        <v>1</v>
      </c>
      <c r="J1593" s="145">
        <f t="shared" si="180"/>
        <v>41177</v>
      </c>
      <c r="K1593" s="144">
        <f t="shared" ca="1" si="185"/>
        <v>0.93504484998453463</v>
      </c>
      <c r="L1593" s="144">
        <f t="shared" ca="1" si="185"/>
        <v>0.61591401175378913</v>
      </c>
      <c r="M1593" s="144">
        <f t="shared" ca="1" si="185"/>
        <v>77.768326631611501</v>
      </c>
      <c r="N1593" s="144">
        <f t="shared" ca="1" si="185"/>
        <v>5.7222394061243431</v>
      </c>
      <c r="O1593" s="144">
        <f t="shared" ca="1" si="185"/>
        <v>31.015310856789363</v>
      </c>
      <c r="P1593" s="144">
        <f t="shared" ca="1" si="185"/>
        <v>1</v>
      </c>
      <c r="Q1593" s="144">
        <f t="shared" ca="1" si="185"/>
        <v>0.77327559542220858</v>
      </c>
    </row>
    <row r="1594" spans="1:17" x14ac:dyDescent="0.25">
      <c r="A1594" s="145">
        <v>41176</v>
      </c>
      <c r="B1594" s="144">
        <v>1.2916000000000001</v>
      </c>
      <c r="C1594" s="144">
        <v>40.320500000000003</v>
      </c>
      <c r="D1594" s="144">
        <v>7.4370000000000003</v>
      </c>
      <c r="E1594" s="144">
        <v>100.79</v>
      </c>
      <c r="F1594" s="144">
        <v>0.79679999999999995</v>
      </c>
      <c r="G1594" s="144">
        <v>1.2095</v>
      </c>
      <c r="I1594" s="144">
        <v>1</v>
      </c>
      <c r="J1594" s="145">
        <f t="shared" si="180"/>
        <v>41176</v>
      </c>
      <c r="K1594" s="144">
        <f t="shared" ca="1" si="185"/>
        <v>0.9364354289253638</v>
      </c>
      <c r="L1594" s="144">
        <f t="shared" ca="1" si="185"/>
        <v>0.61690925983276546</v>
      </c>
      <c r="M1594" s="144">
        <f t="shared" ca="1" si="185"/>
        <v>78.034995354598948</v>
      </c>
      <c r="N1594" s="144">
        <f t="shared" ca="1" si="185"/>
        <v>5.7579746051409106</v>
      </c>
      <c r="O1594" s="144">
        <f t="shared" ca="1" si="185"/>
        <v>31.217482192629298</v>
      </c>
      <c r="P1594" s="144">
        <f t="shared" ca="1" si="185"/>
        <v>1</v>
      </c>
      <c r="Q1594" s="144">
        <f t="shared" ca="1" si="185"/>
        <v>0.77423350882626196</v>
      </c>
    </row>
    <row r="1595" spans="1:17" x14ac:dyDescent="0.25">
      <c r="A1595" s="145">
        <v>41175</v>
      </c>
      <c r="B1595" s="144">
        <v>1.2988</v>
      </c>
      <c r="C1595" s="144">
        <v>40.266199999999998</v>
      </c>
      <c r="D1595" s="144">
        <v>7.4215</v>
      </c>
      <c r="E1595" s="144">
        <v>101.58</v>
      </c>
      <c r="F1595" s="144">
        <v>0.79869999999999997</v>
      </c>
      <c r="G1595" s="144">
        <v>1.2110000000000001</v>
      </c>
      <c r="I1595" s="144">
        <v>1</v>
      </c>
      <c r="J1595" s="145">
        <f t="shared" si="180"/>
        <v>41175</v>
      </c>
      <c r="K1595" s="144">
        <f t="shared" ref="K1595:Q1604" ca="1" si="186">OFFSET($A1595,0,K$3)/OFFSET($A1595,0,$P$3)</f>
        <v>0.9323991376655375</v>
      </c>
      <c r="L1595" s="144">
        <f t="shared" ca="1" si="186"/>
        <v>0.61495226362796429</v>
      </c>
      <c r="M1595" s="144">
        <f t="shared" ca="1" si="186"/>
        <v>78.210655990144744</v>
      </c>
      <c r="N1595" s="144">
        <f t="shared" ca="1" si="186"/>
        <v>5.7141207268247616</v>
      </c>
      <c r="O1595" s="144">
        <f t="shared" ca="1" si="186"/>
        <v>31.002617801047119</v>
      </c>
      <c r="P1595" s="144">
        <f t="shared" ca="1" si="186"/>
        <v>1</v>
      </c>
      <c r="Q1595" s="144">
        <f t="shared" ca="1" si="186"/>
        <v>0.76994148444718202</v>
      </c>
    </row>
    <row r="1596" spans="1:17" x14ac:dyDescent="0.25">
      <c r="A1596" s="145">
        <v>41174</v>
      </c>
      <c r="B1596" s="144">
        <v>1.2988</v>
      </c>
      <c r="C1596" s="144">
        <v>40.266199999999998</v>
      </c>
      <c r="D1596" s="144">
        <v>7.4215</v>
      </c>
      <c r="E1596" s="144">
        <v>101.58</v>
      </c>
      <c r="F1596" s="144">
        <v>0.79869999999999997</v>
      </c>
      <c r="G1596" s="144">
        <v>1.2110000000000001</v>
      </c>
      <c r="I1596" s="144">
        <v>1</v>
      </c>
      <c r="J1596" s="145">
        <f t="shared" si="180"/>
        <v>41174</v>
      </c>
      <c r="K1596" s="144">
        <f t="shared" ca="1" si="186"/>
        <v>0.9323991376655375</v>
      </c>
      <c r="L1596" s="144">
        <f t="shared" ca="1" si="186"/>
        <v>0.61495226362796429</v>
      </c>
      <c r="M1596" s="144">
        <f t="shared" ca="1" si="186"/>
        <v>78.210655990144744</v>
      </c>
      <c r="N1596" s="144">
        <f t="shared" ca="1" si="186"/>
        <v>5.7141207268247616</v>
      </c>
      <c r="O1596" s="144">
        <f t="shared" ca="1" si="186"/>
        <v>31.002617801047119</v>
      </c>
      <c r="P1596" s="144">
        <f t="shared" ca="1" si="186"/>
        <v>1</v>
      </c>
      <c r="Q1596" s="144">
        <f t="shared" ca="1" si="186"/>
        <v>0.76994148444718202</v>
      </c>
    </row>
    <row r="1597" spans="1:17" x14ac:dyDescent="0.25">
      <c r="A1597" s="145">
        <v>41173</v>
      </c>
      <c r="B1597" s="144">
        <v>1.2988</v>
      </c>
      <c r="C1597" s="144">
        <v>40.266199999999998</v>
      </c>
      <c r="D1597" s="144">
        <v>7.4215</v>
      </c>
      <c r="E1597" s="144">
        <v>101.58</v>
      </c>
      <c r="F1597" s="144">
        <v>0.79869999999999997</v>
      </c>
      <c r="G1597" s="144">
        <v>1.2110000000000001</v>
      </c>
      <c r="I1597" s="144">
        <v>1</v>
      </c>
      <c r="J1597" s="145">
        <f t="shared" si="180"/>
        <v>41173</v>
      </c>
      <c r="K1597" s="144">
        <f t="shared" ca="1" si="186"/>
        <v>0.9323991376655375</v>
      </c>
      <c r="L1597" s="144">
        <f t="shared" ca="1" si="186"/>
        <v>0.61495226362796429</v>
      </c>
      <c r="M1597" s="144">
        <f t="shared" ca="1" si="186"/>
        <v>78.210655990144744</v>
      </c>
      <c r="N1597" s="144">
        <f t="shared" ca="1" si="186"/>
        <v>5.7141207268247616</v>
      </c>
      <c r="O1597" s="144">
        <f t="shared" ca="1" si="186"/>
        <v>31.002617801047119</v>
      </c>
      <c r="P1597" s="144">
        <f t="shared" ca="1" si="186"/>
        <v>1</v>
      </c>
      <c r="Q1597" s="144">
        <f t="shared" ca="1" si="186"/>
        <v>0.76994148444718202</v>
      </c>
    </row>
    <row r="1598" spans="1:17" x14ac:dyDescent="0.25">
      <c r="A1598" s="145">
        <v>41172</v>
      </c>
      <c r="B1598" s="144">
        <v>1.2954000000000001</v>
      </c>
      <c r="C1598" s="144">
        <v>40.603999999999999</v>
      </c>
      <c r="D1598" s="144">
        <v>7.4320000000000004</v>
      </c>
      <c r="E1598" s="144">
        <v>101.21</v>
      </c>
      <c r="F1598" s="144">
        <v>0.80017000000000005</v>
      </c>
      <c r="G1598" s="144">
        <v>1.2088000000000001</v>
      </c>
      <c r="I1598" s="144">
        <v>1</v>
      </c>
      <c r="J1598" s="145">
        <f t="shared" si="180"/>
        <v>41172</v>
      </c>
      <c r="K1598" s="144">
        <f t="shared" ca="1" si="186"/>
        <v>0.93314806237455616</v>
      </c>
      <c r="L1598" s="144">
        <f t="shared" ca="1" si="186"/>
        <v>0.61770109618650604</v>
      </c>
      <c r="M1598" s="144">
        <f t="shared" ca="1" si="186"/>
        <v>78.130307241006633</v>
      </c>
      <c r="N1598" s="144">
        <f t="shared" ca="1" si="186"/>
        <v>5.7372240234676548</v>
      </c>
      <c r="O1598" s="144">
        <f t="shared" ca="1" si="186"/>
        <v>31.344758375791258</v>
      </c>
      <c r="P1598" s="144">
        <f t="shared" ca="1" si="186"/>
        <v>1</v>
      </c>
      <c r="Q1598" s="144">
        <f t="shared" ca="1" si="186"/>
        <v>0.77196232823838196</v>
      </c>
    </row>
    <row r="1599" spans="1:17" x14ac:dyDescent="0.25">
      <c r="A1599" s="145">
        <v>41171</v>
      </c>
      <c r="B1599" s="144">
        <v>1.3002</v>
      </c>
      <c r="C1599" s="144">
        <v>40.517000000000003</v>
      </c>
      <c r="D1599" s="144">
        <v>7.4314999999999998</v>
      </c>
      <c r="E1599" s="144">
        <v>102.38</v>
      </c>
      <c r="F1599" s="144">
        <v>0.80269999999999997</v>
      </c>
      <c r="G1599" s="144">
        <v>1.2095</v>
      </c>
      <c r="I1599" s="144">
        <v>1</v>
      </c>
      <c r="J1599" s="145">
        <f t="shared" si="180"/>
        <v>41171</v>
      </c>
      <c r="K1599" s="144">
        <f t="shared" ca="1" si="186"/>
        <v>0.93024150130749117</v>
      </c>
      <c r="L1599" s="144">
        <f t="shared" ca="1" si="186"/>
        <v>0.61736655899092441</v>
      </c>
      <c r="M1599" s="144">
        <f t="shared" ca="1" si="186"/>
        <v>78.741732041224424</v>
      </c>
      <c r="N1599" s="144">
        <f t="shared" ca="1" si="186"/>
        <v>5.7156591293647132</v>
      </c>
      <c r="O1599" s="144">
        <f t="shared" ca="1" si="186"/>
        <v>31.162128903245655</v>
      </c>
      <c r="P1599" s="144">
        <f t="shared" ca="1" si="186"/>
        <v>1</v>
      </c>
      <c r="Q1599" s="144">
        <f t="shared" ca="1" si="186"/>
        <v>0.76911244423934777</v>
      </c>
    </row>
    <row r="1600" spans="1:17" x14ac:dyDescent="0.25">
      <c r="A1600" s="145">
        <v>41170</v>
      </c>
      <c r="B1600" s="144">
        <v>1.3053999999999999</v>
      </c>
      <c r="C1600" s="144">
        <v>40.444499999999998</v>
      </c>
      <c r="D1600" s="144">
        <v>7.4654999999999996</v>
      </c>
      <c r="E1600" s="144">
        <v>102.64</v>
      </c>
      <c r="F1600" s="144">
        <v>0.80349999999999999</v>
      </c>
      <c r="G1600" s="144">
        <v>1.2113</v>
      </c>
      <c r="I1600" s="144">
        <v>1</v>
      </c>
      <c r="J1600" s="145">
        <f t="shared" si="180"/>
        <v>41170</v>
      </c>
      <c r="K1600" s="144">
        <f t="shared" ca="1" si="186"/>
        <v>0.9279148153822584</v>
      </c>
      <c r="L1600" s="144">
        <f t="shared" ca="1" si="186"/>
        <v>0.61552014708135439</v>
      </c>
      <c r="M1600" s="144">
        <f t="shared" ca="1" si="186"/>
        <v>78.627240692508053</v>
      </c>
      <c r="N1600" s="144">
        <f t="shared" ca="1" si="186"/>
        <v>5.7189367243756708</v>
      </c>
      <c r="O1600" s="144">
        <f t="shared" ca="1" si="186"/>
        <v>30.982457484296003</v>
      </c>
      <c r="P1600" s="144">
        <f t="shared" ca="1" si="186"/>
        <v>1</v>
      </c>
      <c r="Q1600" s="144">
        <f t="shared" ca="1" si="186"/>
        <v>0.7660487206986365</v>
      </c>
    </row>
    <row r="1601" spans="1:17" x14ac:dyDescent="0.25">
      <c r="A1601" s="145">
        <v>41169</v>
      </c>
      <c r="B1601" s="144">
        <v>1.3086</v>
      </c>
      <c r="C1601" s="144">
        <v>40.155000000000001</v>
      </c>
      <c r="D1601" s="144">
        <v>7.4725000000000001</v>
      </c>
      <c r="E1601" s="144">
        <v>102.61</v>
      </c>
      <c r="F1601" s="144">
        <v>0.80694999999999995</v>
      </c>
      <c r="G1601" s="144">
        <v>1.216</v>
      </c>
      <c r="I1601" s="144">
        <v>1</v>
      </c>
      <c r="J1601" s="145">
        <f t="shared" si="180"/>
        <v>41169</v>
      </c>
      <c r="K1601" s="144">
        <f t="shared" ca="1" si="186"/>
        <v>0.929237352896225</v>
      </c>
      <c r="L1601" s="144">
        <f t="shared" ca="1" si="186"/>
        <v>0.61665138315757295</v>
      </c>
      <c r="M1601" s="144">
        <f t="shared" ca="1" si="186"/>
        <v>78.412043405165832</v>
      </c>
      <c r="N1601" s="144">
        <f t="shared" ca="1" si="186"/>
        <v>5.7103010851291458</v>
      </c>
      <c r="O1601" s="144">
        <f t="shared" ca="1" si="186"/>
        <v>30.685465382851906</v>
      </c>
      <c r="P1601" s="144">
        <f t="shared" ca="1" si="186"/>
        <v>1</v>
      </c>
      <c r="Q1601" s="144">
        <f t="shared" ca="1" si="186"/>
        <v>0.76417545468439552</v>
      </c>
    </row>
    <row r="1602" spans="1:17" x14ac:dyDescent="0.25">
      <c r="A1602" s="145">
        <v>41168</v>
      </c>
      <c r="B1602" s="144">
        <v>1.3095000000000001</v>
      </c>
      <c r="C1602" s="144">
        <v>40.113</v>
      </c>
      <c r="D1602" s="144">
        <v>7.4284999999999997</v>
      </c>
      <c r="E1602" s="144">
        <v>102.24</v>
      </c>
      <c r="F1602" s="144">
        <v>0.80745</v>
      </c>
      <c r="G1602" s="144">
        <v>1.2161999999999999</v>
      </c>
      <c r="I1602" s="144">
        <v>1</v>
      </c>
      <c r="J1602" s="145">
        <f t="shared" si="180"/>
        <v>41168</v>
      </c>
      <c r="K1602" s="144">
        <f t="shared" ca="1" si="186"/>
        <v>0.92875143184421527</v>
      </c>
      <c r="L1602" s="144">
        <f t="shared" ca="1" si="186"/>
        <v>0.61660939289805261</v>
      </c>
      <c r="M1602" s="144">
        <f t="shared" ca="1" si="186"/>
        <v>78.075601374570439</v>
      </c>
      <c r="N1602" s="144">
        <f t="shared" ca="1" si="186"/>
        <v>5.672775868652157</v>
      </c>
      <c r="O1602" s="144">
        <f t="shared" ca="1" si="186"/>
        <v>30.63230240549828</v>
      </c>
      <c r="P1602" s="144">
        <f t="shared" ca="1" si="186"/>
        <v>1</v>
      </c>
      <c r="Q1602" s="144">
        <f t="shared" ca="1" si="186"/>
        <v>0.76365024818633065</v>
      </c>
    </row>
    <row r="1603" spans="1:17" x14ac:dyDescent="0.25">
      <c r="A1603" s="145">
        <v>41167</v>
      </c>
      <c r="B1603" s="144">
        <v>1.3095000000000001</v>
      </c>
      <c r="C1603" s="144">
        <v>40.113</v>
      </c>
      <c r="D1603" s="144">
        <v>7.4284999999999997</v>
      </c>
      <c r="E1603" s="144">
        <v>102.24</v>
      </c>
      <c r="F1603" s="144">
        <v>0.80745</v>
      </c>
      <c r="G1603" s="144">
        <v>1.2161999999999999</v>
      </c>
      <c r="I1603" s="144">
        <v>1</v>
      </c>
      <c r="J1603" s="145">
        <f t="shared" si="180"/>
        <v>41167</v>
      </c>
      <c r="K1603" s="144">
        <f t="shared" ca="1" si="186"/>
        <v>0.92875143184421527</v>
      </c>
      <c r="L1603" s="144">
        <f t="shared" ca="1" si="186"/>
        <v>0.61660939289805261</v>
      </c>
      <c r="M1603" s="144">
        <f t="shared" ca="1" si="186"/>
        <v>78.075601374570439</v>
      </c>
      <c r="N1603" s="144">
        <f t="shared" ca="1" si="186"/>
        <v>5.672775868652157</v>
      </c>
      <c r="O1603" s="144">
        <f t="shared" ca="1" si="186"/>
        <v>30.63230240549828</v>
      </c>
      <c r="P1603" s="144">
        <f t="shared" ca="1" si="186"/>
        <v>1</v>
      </c>
      <c r="Q1603" s="144">
        <f t="shared" ca="1" si="186"/>
        <v>0.76365024818633065</v>
      </c>
    </row>
    <row r="1604" spans="1:17" x14ac:dyDescent="0.25">
      <c r="A1604" s="145">
        <v>41166</v>
      </c>
      <c r="B1604" s="144">
        <v>1.3095000000000001</v>
      </c>
      <c r="C1604" s="144">
        <v>40.113</v>
      </c>
      <c r="D1604" s="144">
        <v>7.4284999999999997</v>
      </c>
      <c r="E1604" s="144">
        <v>102.24</v>
      </c>
      <c r="F1604" s="144">
        <v>0.80745</v>
      </c>
      <c r="G1604" s="144">
        <v>1.2161999999999999</v>
      </c>
      <c r="I1604" s="144">
        <v>1</v>
      </c>
      <c r="J1604" s="145">
        <f t="shared" si="180"/>
        <v>41166</v>
      </c>
      <c r="K1604" s="144">
        <f t="shared" ca="1" si="186"/>
        <v>0.92875143184421527</v>
      </c>
      <c r="L1604" s="144">
        <f t="shared" ca="1" si="186"/>
        <v>0.61660939289805261</v>
      </c>
      <c r="M1604" s="144">
        <f t="shared" ca="1" si="186"/>
        <v>78.075601374570439</v>
      </c>
      <c r="N1604" s="144">
        <f t="shared" ca="1" si="186"/>
        <v>5.672775868652157</v>
      </c>
      <c r="O1604" s="144">
        <f t="shared" ca="1" si="186"/>
        <v>30.63230240549828</v>
      </c>
      <c r="P1604" s="144">
        <f t="shared" ca="1" si="186"/>
        <v>1</v>
      </c>
      <c r="Q1604" s="144">
        <f t="shared" ca="1" si="186"/>
        <v>0.76365024818633065</v>
      </c>
    </row>
    <row r="1605" spans="1:17" x14ac:dyDescent="0.25">
      <c r="A1605" s="145">
        <v>41165</v>
      </c>
      <c r="B1605" s="144">
        <v>1.2909999999999999</v>
      </c>
      <c r="C1605" s="144">
        <v>40.550600000000003</v>
      </c>
      <c r="D1605" s="144">
        <v>7.4189999999999996</v>
      </c>
      <c r="E1605" s="144">
        <v>100.24</v>
      </c>
      <c r="F1605" s="144">
        <v>0.80145</v>
      </c>
      <c r="G1605" s="144">
        <v>1.2130000000000001</v>
      </c>
      <c r="I1605" s="144">
        <v>1</v>
      </c>
      <c r="J1605" s="145">
        <f t="shared" ref="J1605:J1668" si="187">A1605</f>
        <v>41165</v>
      </c>
      <c r="K1605" s="144">
        <f t="shared" ref="K1605:Q1614" ca="1" si="188">OFFSET($A1605,0,K$3)/OFFSET($A1605,0,$P$3)</f>
        <v>0.9395817195972116</v>
      </c>
      <c r="L1605" s="144">
        <f t="shared" ca="1" si="188"/>
        <v>0.62079783113865228</v>
      </c>
      <c r="M1605" s="144">
        <f t="shared" ca="1" si="188"/>
        <v>77.645236250968239</v>
      </c>
      <c r="N1605" s="144">
        <f t="shared" ca="1" si="188"/>
        <v>5.7467079783113864</v>
      </c>
      <c r="O1605" s="144">
        <f t="shared" ca="1" si="188"/>
        <v>31.410224632068168</v>
      </c>
      <c r="P1605" s="144">
        <f t="shared" ca="1" si="188"/>
        <v>1</v>
      </c>
      <c r="Q1605" s="144">
        <f t="shared" ca="1" si="188"/>
        <v>0.77459333849728895</v>
      </c>
    </row>
    <row r="1606" spans="1:17" x14ac:dyDescent="0.25">
      <c r="A1606" s="145">
        <v>41164</v>
      </c>
      <c r="B1606" s="144">
        <v>1.2896000000000001</v>
      </c>
      <c r="C1606" s="144">
        <v>40.491999999999997</v>
      </c>
      <c r="D1606" s="144">
        <v>7.407</v>
      </c>
      <c r="E1606" s="144">
        <v>100.45</v>
      </c>
      <c r="F1606" s="144">
        <v>0.80169999999999997</v>
      </c>
      <c r="G1606" s="144">
        <v>1.2082999999999999</v>
      </c>
      <c r="I1606" s="144">
        <v>1</v>
      </c>
      <c r="J1606" s="145">
        <f t="shared" si="187"/>
        <v>41164</v>
      </c>
      <c r="K1606" s="144">
        <f t="shared" ca="1" si="188"/>
        <v>0.93695719602977656</v>
      </c>
      <c r="L1606" s="144">
        <f t="shared" ca="1" si="188"/>
        <v>0.62166563275434239</v>
      </c>
      <c r="M1606" s="144">
        <f t="shared" ca="1" si="188"/>
        <v>77.892369727047139</v>
      </c>
      <c r="N1606" s="144">
        <f t="shared" ca="1" si="188"/>
        <v>5.7436414392059554</v>
      </c>
      <c r="O1606" s="144">
        <f t="shared" ca="1" si="188"/>
        <v>31.398883374689824</v>
      </c>
      <c r="P1606" s="144">
        <f t="shared" ca="1" si="188"/>
        <v>1</v>
      </c>
      <c r="Q1606" s="144">
        <f t="shared" ca="1" si="188"/>
        <v>0.77543424317617859</v>
      </c>
    </row>
    <row r="1607" spans="1:17" x14ac:dyDescent="0.25">
      <c r="A1607" s="145">
        <v>41163</v>
      </c>
      <c r="B1607" s="144">
        <v>1.2786999999999999</v>
      </c>
      <c r="C1607" s="144">
        <v>40.578299999999999</v>
      </c>
      <c r="D1607" s="144">
        <v>7.3890000000000002</v>
      </c>
      <c r="E1607" s="144">
        <v>99.7</v>
      </c>
      <c r="F1607" s="144">
        <v>0.79779999999999995</v>
      </c>
      <c r="G1607" s="144">
        <v>1.2074</v>
      </c>
      <c r="I1607" s="144">
        <v>1</v>
      </c>
      <c r="J1607" s="145">
        <f t="shared" si="187"/>
        <v>41163</v>
      </c>
      <c r="K1607" s="144">
        <f t="shared" ca="1" si="188"/>
        <v>0.94424024399781037</v>
      </c>
      <c r="L1607" s="144">
        <f t="shared" ca="1" si="188"/>
        <v>0.62391491358410889</v>
      </c>
      <c r="M1607" s="144">
        <f t="shared" ca="1" si="188"/>
        <v>77.969813091420974</v>
      </c>
      <c r="N1607" s="144">
        <f t="shared" ca="1" si="188"/>
        <v>5.7785250645186519</v>
      </c>
      <c r="O1607" s="144">
        <f t="shared" ca="1" si="188"/>
        <v>31.73402674591382</v>
      </c>
      <c r="P1607" s="144">
        <f t="shared" ca="1" si="188"/>
        <v>1</v>
      </c>
      <c r="Q1607" s="144">
        <f t="shared" ca="1" si="188"/>
        <v>0.78204426370532576</v>
      </c>
    </row>
    <row r="1608" spans="1:17" x14ac:dyDescent="0.25">
      <c r="A1608" s="145">
        <v>41162</v>
      </c>
      <c r="B1608" s="144">
        <v>1.2776000000000001</v>
      </c>
      <c r="C1608" s="144">
        <v>40.551000000000002</v>
      </c>
      <c r="D1608" s="144">
        <v>7.39</v>
      </c>
      <c r="E1608" s="144">
        <v>99.98</v>
      </c>
      <c r="F1608" s="144">
        <v>0.79969999999999997</v>
      </c>
      <c r="G1608" s="144">
        <v>1.2090000000000001</v>
      </c>
      <c r="I1608" s="144">
        <v>1</v>
      </c>
      <c r="J1608" s="145">
        <f t="shared" si="187"/>
        <v>41162</v>
      </c>
      <c r="K1608" s="144">
        <f t="shared" ca="1" si="188"/>
        <v>0.94630557294927986</v>
      </c>
      <c r="L1608" s="144">
        <f t="shared" ca="1" si="188"/>
        <v>0.62593926111458975</v>
      </c>
      <c r="M1608" s="144">
        <f t="shared" ca="1" si="188"/>
        <v>78.256105197244835</v>
      </c>
      <c r="N1608" s="144">
        <f t="shared" ca="1" si="188"/>
        <v>5.7842830306825288</v>
      </c>
      <c r="O1608" s="144">
        <f t="shared" ca="1" si="188"/>
        <v>31.739981214777707</v>
      </c>
      <c r="P1608" s="144">
        <f t="shared" ca="1" si="188"/>
        <v>1</v>
      </c>
      <c r="Q1608" s="144">
        <f t="shared" ca="1" si="188"/>
        <v>0.78271759549154662</v>
      </c>
    </row>
    <row r="1609" spans="1:17" x14ac:dyDescent="0.25">
      <c r="A1609" s="145">
        <v>41161</v>
      </c>
      <c r="B1609" s="144">
        <v>1.2706</v>
      </c>
      <c r="C1609" s="144">
        <v>40.391100000000002</v>
      </c>
      <c r="D1609" s="144">
        <v>7.3730000000000002</v>
      </c>
      <c r="E1609" s="144">
        <v>100.26</v>
      </c>
      <c r="F1609" s="144">
        <v>0.79669999999999996</v>
      </c>
      <c r="G1609" s="144">
        <v>1.2128000000000001</v>
      </c>
      <c r="I1609" s="144">
        <v>1</v>
      </c>
      <c r="J1609" s="145">
        <f t="shared" si="187"/>
        <v>41161</v>
      </c>
      <c r="K1609" s="144">
        <f t="shared" ca="1" si="188"/>
        <v>0.95450968046592177</v>
      </c>
      <c r="L1609" s="144">
        <f t="shared" ca="1" si="188"/>
        <v>0.62702660160554069</v>
      </c>
      <c r="M1609" s="144">
        <f t="shared" ca="1" si="188"/>
        <v>78.907602707382352</v>
      </c>
      <c r="N1609" s="144">
        <f t="shared" ca="1" si="188"/>
        <v>5.8027703447190309</v>
      </c>
      <c r="O1609" s="144">
        <f t="shared" ca="1" si="188"/>
        <v>31.788997324098855</v>
      </c>
      <c r="P1609" s="144">
        <f t="shared" ca="1" si="188"/>
        <v>1</v>
      </c>
      <c r="Q1609" s="144">
        <f t="shared" ca="1" si="188"/>
        <v>0.78702974972453965</v>
      </c>
    </row>
    <row r="1610" spans="1:17" x14ac:dyDescent="0.25">
      <c r="A1610" s="145">
        <v>41160</v>
      </c>
      <c r="B1610" s="144">
        <v>1.2706</v>
      </c>
      <c r="C1610" s="144">
        <v>40.391100000000002</v>
      </c>
      <c r="D1610" s="144">
        <v>7.3730000000000002</v>
      </c>
      <c r="E1610" s="144">
        <v>100.26</v>
      </c>
      <c r="F1610" s="144">
        <v>0.79669999999999996</v>
      </c>
      <c r="G1610" s="144">
        <v>1.2128000000000001</v>
      </c>
      <c r="I1610" s="144">
        <v>1</v>
      </c>
      <c r="J1610" s="145">
        <f t="shared" si="187"/>
        <v>41160</v>
      </c>
      <c r="K1610" s="144">
        <f t="shared" ca="1" si="188"/>
        <v>0.95450968046592177</v>
      </c>
      <c r="L1610" s="144">
        <f t="shared" ca="1" si="188"/>
        <v>0.62702660160554069</v>
      </c>
      <c r="M1610" s="144">
        <f t="shared" ca="1" si="188"/>
        <v>78.907602707382352</v>
      </c>
      <c r="N1610" s="144">
        <f t="shared" ca="1" si="188"/>
        <v>5.8027703447190309</v>
      </c>
      <c r="O1610" s="144">
        <f t="shared" ca="1" si="188"/>
        <v>31.788997324098855</v>
      </c>
      <c r="P1610" s="144">
        <f t="shared" ca="1" si="188"/>
        <v>1</v>
      </c>
      <c r="Q1610" s="144">
        <f t="shared" ca="1" si="188"/>
        <v>0.78702974972453965</v>
      </c>
    </row>
    <row r="1611" spans="1:17" x14ac:dyDescent="0.25">
      <c r="A1611" s="145">
        <v>41159</v>
      </c>
      <c r="B1611" s="144">
        <v>1.2706</v>
      </c>
      <c r="C1611" s="144">
        <v>40.391100000000002</v>
      </c>
      <c r="D1611" s="144">
        <v>7.3730000000000002</v>
      </c>
      <c r="E1611" s="144">
        <v>100.26</v>
      </c>
      <c r="F1611" s="144">
        <v>0.79669999999999996</v>
      </c>
      <c r="G1611" s="144">
        <v>1.2128000000000001</v>
      </c>
      <c r="I1611" s="144">
        <v>1</v>
      </c>
      <c r="J1611" s="145">
        <f t="shared" si="187"/>
        <v>41159</v>
      </c>
      <c r="K1611" s="144">
        <f t="shared" ca="1" si="188"/>
        <v>0.95450968046592177</v>
      </c>
      <c r="L1611" s="144">
        <f t="shared" ca="1" si="188"/>
        <v>0.62702660160554069</v>
      </c>
      <c r="M1611" s="144">
        <f t="shared" ca="1" si="188"/>
        <v>78.907602707382352</v>
      </c>
      <c r="N1611" s="144">
        <f t="shared" ca="1" si="188"/>
        <v>5.8027703447190309</v>
      </c>
      <c r="O1611" s="144">
        <f t="shared" ca="1" si="188"/>
        <v>31.788997324098855</v>
      </c>
      <c r="P1611" s="144">
        <f t="shared" ca="1" si="188"/>
        <v>1</v>
      </c>
      <c r="Q1611" s="144">
        <f t="shared" ca="1" si="188"/>
        <v>0.78702974972453965</v>
      </c>
    </row>
    <row r="1612" spans="1:17" x14ac:dyDescent="0.25">
      <c r="A1612" s="145">
        <v>41158</v>
      </c>
      <c r="B1612" s="144">
        <v>1.2638</v>
      </c>
      <c r="C1612" s="144">
        <v>40.684399999999997</v>
      </c>
      <c r="D1612" s="144">
        <v>7.3724999999999996</v>
      </c>
      <c r="E1612" s="144">
        <v>99.36</v>
      </c>
      <c r="F1612" s="144">
        <v>0.79359999999999997</v>
      </c>
      <c r="G1612" s="144">
        <v>1.2049000000000001</v>
      </c>
      <c r="I1612" s="144">
        <v>1</v>
      </c>
      <c r="J1612" s="145">
        <f t="shared" si="187"/>
        <v>41158</v>
      </c>
      <c r="K1612" s="144">
        <f t="shared" ca="1" si="188"/>
        <v>0.95339452445007122</v>
      </c>
      <c r="L1612" s="144">
        <f t="shared" ca="1" si="188"/>
        <v>0.62794746004114577</v>
      </c>
      <c r="M1612" s="144">
        <f t="shared" ca="1" si="188"/>
        <v>78.620034815635378</v>
      </c>
      <c r="N1612" s="144">
        <f t="shared" ca="1" si="188"/>
        <v>5.833597088146858</v>
      </c>
      <c r="O1612" s="144">
        <f t="shared" ca="1" si="188"/>
        <v>32.192119006171858</v>
      </c>
      <c r="P1612" s="144">
        <f t="shared" ca="1" si="188"/>
        <v>1</v>
      </c>
      <c r="Q1612" s="144">
        <f t="shared" ca="1" si="188"/>
        <v>0.79126444057604051</v>
      </c>
    </row>
    <row r="1613" spans="1:17" x14ac:dyDescent="0.25">
      <c r="A1613" s="145">
        <v>41157</v>
      </c>
      <c r="B1613" s="144">
        <v>1.2578</v>
      </c>
      <c r="C1613" s="144">
        <v>40.655000000000001</v>
      </c>
      <c r="D1613" s="144">
        <v>7.3070000000000004</v>
      </c>
      <c r="E1613" s="144">
        <v>98.67</v>
      </c>
      <c r="F1613" s="144">
        <v>0.79035</v>
      </c>
      <c r="G1613" s="144">
        <v>1.2014</v>
      </c>
      <c r="I1613" s="144">
        <v>1</v>
      </c>
      <c r="J1613" s="145">
        <f t="shared" si="187"/>
        <v>41157</v>
      </c>
      <c r="K1613" s="144">
        <f t="shared" ca="1" si="188"/>
        <v>0.95515980283033863</v>
      </c>
      <c r="L1613" s="144">
        <f t="shared" ca="1" si="188"/>
        <v>0.62835903959294004</v>
      </c>
      <c r="M1613" s="144">
        <f t="shared" ca="1" si="188"/>
        <v>78.44649387820003</v>
      </c>
      <c r="N1613" s="144">
        <f t="shared" ca="1" si="188"/>
        <v>5.8093496581332484</v>
      </c>
      <c r="O1613" s="144">
        <f t="shared" ca="1" si="188"/>
        <v>32.322308793130865</v>
      </c>
      <c r="P1613" s="144">
        <f t="shared" ca="1" si="188"/>
        <v>1</v>
      </c>
      <c r="Q1613" s="144">
        <f t="shared" ca="1" si="188"/>
        <v>0.79503895690888848</v>
      </c>
    </row>
    <row r="1614" spans="1:17" x14ac:dyDescent="0.25">
      <c r="A1614" s="145">
        <v>41156</v>
      </c>
      <c r="B1614" s="144">
        <v>1.2579</v>
      </c>
      <c r="C1614" s="144">
        <v>40.494</v>
      </c>
      <c r="D1614" s="144">
        <v>7.2889999999999997</v>
      </c>
      <c r="E1614" s="144">
        <v>98.58</v>
      </c>
      <c r="F1614" s="144">
        <v>0.79210000000000003</v>
      </c>
      <c r="G1614" s="144">
        <v>1.2010000000000001</v>
      </c>
      <c r="I1614" s="144">
        <v>1</v>
      </c>
      <c r="J1614" s="145">
        <f t="shared" si="187"/>
        <v>41156</v>
      </c>
      <c r="K1614" s="144">
        <f t="shared" ca="1" si="188"/>
        <v>0.95476587964067094</v>
      </c>
      <c r="L1614" s="144">
        <f t="shared" ca="1" si="188"/>
        <v>0.62970029414102868</v>
      </c>
      <c r="M1614" s="144">
        <f t="shared" ca="1" si="188"/>
        <v>78.368709754352494</v>
      </c>
      <c r="N1614" s="144">
        <f t="shared" ca="1" si="188"/>
        <v>5.7945782653629063</v>
      </c>
      <c r="O1614" s="144">
        <f t="shared" ca="1" si="188"/>
        <v>32.191748151681374</v>
      </c>
      <c r="P1614" s="144">
        <f t="shared" ca="1" si="188"/>
        <v>1</v>
      </c>
      <c r="Q1614" s="144">
        <f t="shared" ca="1" si="188"/>
        <v>0.79497575323952618</v>
      </c>
    </row>
    <row r="1615" spans="1:17" x14ac:dyDescent="0.25">
      <c r="A1615" s="145">
        <v>41155</v>
      </c>
      <c r="B1615" s="144">
        <v>1.2567999999999999</v>
      </c>
      <c r="C1615" s="144">
        <v>40.737499999999997</v>
      </c>
      <c r="D1615" s="144">
        <v>7.3014999999999999</v>
      </c>
      <c r="E1615" s="144">
        <v>98.43</v>
      </c>
      <c r="F1615" s="144">
        <v>0.79120000000000001</v>
      </c>
      <c r="G1615" s="144">
        <v>1.2008000000000001</v>
      </c>
      <c r="I1615" s="144">
        <v>1</v>
      </c>
      <c r="J1615" s="145">
        <f t="shared" si="187"/>
        <v>41155</v>
      </c>
      <c r="K1615" s="144">
        <f t="shared" ref="K1615:Q1624" ca="1" si="189">OFFSET($A1615,0,K$3)/OFFSET($A1615,0,$P$3)</f>
        <v>0.95544239338001291</v>
      </c>
      <c r="L1615" s="144">
        <f t="shared" ca="1" si="189"/>
        <v>0.62953532781667731</v>
      </c>
      <c r="M1615" s="144">
        <f t="shared" ca="1" si="189"/>
        <v>78.317950350095487</v>
      </c>
      <c r="N1615" s="144">
        <f t="shared" ca="1" si="189"/>
        <v>5.8095957988542333</v>
      </c>
      <c r="O1615" s="144">
        <f t="shared" ca="1" si="189"/>
        <v>32.413669637173776</v>
      </c>
      <c r="P1615" s="144">
        <f t="shared" ca="1" si="189"/>
        <v>1</v>
      </c>
      <c r="Q1615" s="144">
        <f t="shared" ca="1" si="189"/>
        <v>0.79567154678548702</v>
      </c>
    </row>
    <row r="1616" spans="1:17" x14ac:dyDescent="0.25">
      <c r="A1616" s="145">
        <v>41154</v>
      </c>
      <c r="B1616" s="144">
        <v>1.2611000000000001</v>
      </c>
      <c r="C1616" s="144">
        <v>40.780999999999999</v>
      </c>
      <c r="D1616" s="144">
        <v>7.2925000000000004</v>
      </c>
      <c r="E1616" s="144">
        <v>98.96</v>
      </c>
      <c r="F1616" s="144">
        <v>0.79525000000000001</v>
      </c>
      <c r="G1616" s="144">
        <v>1.2009000000000001</v>
      </c>
      <c r="I1616" s="144">
        <v>1</v>
      </c>
      <c r="J1616" s="145">
        <f t="shared" si="187"/>
        <v>41154</v>
      </c>
      <c r="K1616" s="144">
        <f t="shared" ca="1" si="189"/>
        <v>0.95226389659820787</v>
      </c>
      <c r="L1616" s="144">
        <f t="shared" ca="1" si="189"/>
        <v>0.63060026960589954</v>
      </c>
      <c r="M1616" s="144">
        <f t="shared" ca="1" si="189"/>
        <v>78.471175957497408</v>
      </c>
      <c r="N1616" s="144">
        <f t="shared" ca="1" si="189"/>
        <v>5.7826500674014749</v>
      </c>
      <c r="O1616" s="144">
        <f t="shared" ca="1" si="189"/>
        <v>32.337641741336924</v>
      </c>
      <c r="P1616" s="144">
        <f t="shared" ca="1" si="189"/>
        <v>1</v>
      </c>
      <c r="Q1616" s="144">
        <f t="shared" ca="1" si="189"/>
        <v>0.79295852826897151</v>
      </c>
    </row>
    <row r="1617" spans="1:17" x14ac:dyDescent="0.25">
      <c r="A1617" s="145">
        <v>41153</v>
      </c>
      <c r="B1617" s="144">
        <v>1.2611000000000001</v>
      </c>
      <c r="C1617" s="144">
        <v>40.780999999999999</v>
      </c>
      <c r="D1617" s="144">
        <v>7.2925000000000004</v>
      </c>
      <c r="E1617" s="144">
        <v>98.96</v>
      </c>
      <c r="F1617" s="144">
        <v>0.79525000000000001</v>
      </c>
      <c r="G1617" s="144">
        <v>1.2009000000000001</v>
      </c>
      <c r="I1617" s="144">
        <v>1</v>
      </c>
      <c r="J1617" s="145">
        <f t="shared" si="187"/>
        <v>41153</v>
      </c>
      <c r="K1617" s="144">
        <f t="shared" ca="1" si="189"/>
        <v>0.95226389659820787</v>
      </c>
      <c r="L1617" s="144">
        <f t="shared" ca="1" si="189"/>
        <v>0.63060026960589954</v>
      </c>
      <c r="M1617" s="144">
        <f t="shared" ca="1" si="189"/>
        <v>78.471175957497408</v>
      </c>
      <c r="N1617" s="144">
        <f t="shared" ca="1" si="189"/>
        <v>5.7826500674014749</v>
      </c>
      <c r="O1617" s="144">
        <f t="shared" ca="1" si="189"/>
        <v>32.337641741336924</v>
      </c>
      <c r="P1617" s="144">
        <f t="shared" ca="1" si="189"/>
        <v>1</v>
      </c>
      <c r="Q1617" s="144">
        <f t="shared" ca="1" si="189"/>
        <v>0.79295852826897151</v>
      </c>
    </row>
    <row r="1618" spans="1:17" x14ac:dyDescent="0.25">
      <c r="A1618" s="145">
        <v>41152</v>
      </c>
      <c r="B1618" s="144">
        <v>1.2611000000000001</v>
      </c>
      <c r="C1618" s="144">
        <v>40.780999999999999</v>
      </c>
      <c r="D1618" s="144">
        <v>7.2925000000000004</v>
      </c>
      <c r="E1618" s="144">
        <v>98.96</v>
      </c>
      <c r="F1618" s="144">
        <v>0.79525000000000001</v>
      </c>
      <c r="G1618" s="144">
        <v>1.2009000000000001</v>
      </c>
      <c r="I1618" s="144">
        <v>1</v>
      </c>
      <c r="J1618" s="145">
        <f t="shared" si="187"/>
        <v>41152</v>
      </c>
      <c r="K1618" s="144">
        <f t="shared" ca="1" si="189"/>
        <v>0.95226389659820787</v>
      </c>
      <c r="L1618" s="144">
        <f t="shared" ca="1" si="189"/>
        <v>0.63060026960589954</v>
      </c>
      <c r="M1618" s="144">
        <f t="shared" ca="1" si="189"/>
        <v>78.471175957497408</v>
      </c>
      <c r="N1618" s="144">
        <f t="shared" ca="1" si="189"/>
        <v>5.7826500674014749</v>
      </c>
      <c r="O1618" s="144">
        <f t="shared" ca="1" si="189"/>
        <v>32.337641741336924</v>
      </c>
      <c r="P1618" s="144">
        <f t="shared" ca="1" si="189"/>
        <v>1</v>
      </c>
      <c r="Q1618" s="144">
        <f t="shared" ca="1" si="189"/>
        <v>0.79295852826897151</v>
      </c>
    </row>
    <row r="1619" spans="1:17" x14ac:dyDescent="0.25">
      <c r="A1619" s="145">
        <v>41151</v>
      </c>
      <c r="B1619" s="144">
        <v>1.2544</v>
      </c>
      <c r="C1619" s="144">
        <v>40.562199999999997</v>
      </c>
      <c r="D1619" s="144">
        <v>7.2774999999999999</v>
      </c>
      <c r="E1619" s="144">
        <v>98.63</v>
      </c>
      <c r="F1619" s="144">
        <v>0.79110000000000003</v>
      </c>
      <c r="G1619" s="144">
        <v>1.2009000000000001</v>
      </c>
      <c r="I1619" s="144">
        <v>1</v>
      </c>
      <c r="J1619" s="145">
        <f t="shared" si="187"/>
        <v>41151</v>
      </c>
      <c r="K1619" s="144">
        <f t="shared" ca="1" si="189"/>
        <v>0.95735012755102045</v>
      </c>
      <c r="L1619" s="144">
        <f t="shared" ca="1" si="189"/>
        <v>0.63066007653061229</v>
      </c>
      <c r="M1619" s="144">
        <f t="shared" ca="1" si="189"/>
        <v>78.627232142857139</v>
      </c>
      <c r="N1619" s="144">
        <f t="shared" ca="1" si="189"/>
        <v>5.8015784438775508</v>
      </c>
      <c r="O1619" s="144">
        <f t="shared" ca="1" si="189"/>
        <v>32.3359375</v>
      </c>
      <c r="P1619" s="144">
        <f t="shared" ca="1" si="189"/>
        <v>1</v>
      </c>
      <c r="Q1619" s="144">
        <f t="shared" ca="1" si="189"/>
        <v>0.79719387755102045</v>
      </c>
    </row>
    <row r="1620" spans="1:17" x14ac:dyDescent="0.25">
      <c r="A1620" s="145">
        <v>41150</v>
      </c>
      <c r="B1620" s="144">
        <v>1.2544999999999999</v>
      </c>
      <c r="C1620" s="144">
        <v>40.342399999999998</v>
      </c>
      <c r="D1620" s="144">
        <v>7.3125</v>
      </c>
      <c r="E1620" s="144">
        <v>98.63</v>
      </c>
      <c r="F1620" s="144">
        <v>0.79179999999999995</v>
      </c>
      <c r="G1620" s="144">
        <v>1.2010000000000001</v>
      </c>
      <c r="I1620" s="144">
        <v>1</v>
      </c>
      <c r="J1620" s="145">
        <f t="shared" si="187"/>
        <v>41150</v>
      </c>
      <c r="K1620" s="144">
        <f t="shared" ca="1" si="189"/>
        <v>0.95735352730171397</v>
      </c>
      <c r="L1620" s="144">
        <f t="shared" ca="1" si="189"/>
        <v>0.63116779593463535</v>
      </c>
      <c r="M1620" s="144">
        <f t="shared" ca="1" si="189"/>
        <v>78.620964527700281</v>
      </c>
      <c r="N1620" s="144">
        <f t="shared" ca="1" si="189"/>
        <v>5.8290155440414511</v>
      </c>
      <c r="O1620" s="144">
        <f t="shared" ca="1" si="189"/>
        <v>32.158150657632525</v>
      </c>
      <c r="P1620" s="144">
        <f t="shared" ca="1" si="189"/>
        <v>1</v>
      </c>
      <c r="Q1620" s="144">
        <f t="shared" ca="1" si="189"/>
        <v>0.79713033080908735</v>
      </c>
    </row>
    <row r="1621" spans="1:17" x14ac:dyDescent="0.25">
      <c r="A1621" s="145">
        <v>41149</v>
      </c>
      <c r="B1621" s="144">
        <v>1.2547999999999999</v>
      </c>
      <c r="C1621" s="144">
        <v>40.228999999999999</v>
      </c>
      <c r="D1621" s="144">
        <v>7.29</v>
      </c>
      <c r="E1621" s="144">
        <v>98.59</v>
      </c>
      <c r="F1621" s="144">
        <v>0.79469999999999996</v>
      </c>
      <c r="G1621" s="144">
        <v>1.2010000000000001</v>
      </c>
      <c r="I1621" s="144">
        <v>1</v>
      </c>
      <c r="J1621" s="145">
        <f t="shared" si="187"/>
        <v>41149</v>
      </c>
      <c r="K1621" s="144">
        <f t="shared" ca="1" si="189"/>
        <v>0.95712464137711206</v>
      </c>
      <c r="L1621" s="144">
        <f t="shared" ca="1" si="189"/>
        <v>0.6333280204016577</v>
      </c>
      <c r="M1621" s="144">
        <f t="shared" ca="1" si="189"/>
        <v>78.570290086069505</v>
      </c>
      <c r="N1621" s="144">
        <f t="shared" ca="1" si="189"/>
        <v>5.8096907873764749</v>
      </c>
      <c r="O1621" s="144">
        <f t="shared" ca="1" si="189"/>
        <v>32.060089257252152</v>
      </c>
      <c r="P1621" s="144">
        <f t="shared" ca="1" si="189"/>
        <v>1</v>
      </c>
      <c r="Q1621" s="144">
        <f t="shared" ca="1" si="189"/>
        <v>0.79693975135479767</v>
      </c>
    </row>
    <row r="1622" spans="1:17" x14ac:dyDescent="0.25">
      <c r="A1622" s="145">
        <v>41148</v>
      </c>
      <c r="B1622" s="144">
        <v>1.2529999999999999</v>
      </c>
      <c r="C1622" s="144">
        <v>39.801000000000002</v>
      </c>
      <c r="D1622" s="144">
        <v>7.2949999999999999</v>
      </c>
      <c r="E1622" s="144">
        <v>98.71</v>
      </c>
      <c r="F1622" s="144">
        <v>0.79244000000000003</v>
      </c>
      <c r="G1622" s="144">
        <v>1.2010000000000001</v>
      </c>
      <c r="I1622" s="144">
        <v>1</v>
      </c>
      <c r="J1622" s="145">
        <f t="shared" si="187"/>
        <v>41148</v>
      </c>
      <c r="K1622" s="144">
        <f t="shared" ca="1" si="189"/>
        <v>0.9584996009577017</v>
      </c>
      <c r="L1622" s="144">
        <f t="shared" ca="1" si="189"/>
        <v>0.63243415802075031</v>
      </c>
      <c r="M1622" s="144">
        <f t="shared" ca="1" si="189"/>
        <v>78.778930566640071</v>
      </c>
      <c r="N1622" s="144">
        <f t="shared" ca="1" si="189"/>
        <v>5.8220271348762971</v>
      </c>
      <c r="O1622" s="144">
        <f t="shared" ca="1" si="189"/>
        <v>31.764565043894656</v>
      </c>
      <c r="P1622" s="144">
        <f t="shared" ca="1" si="189"/>
        <v>1</v>
      </c>
      <c r="Q1622" s="144">
        <f t="shared" ca="1" si="189"/>
        <v>0.79808459696727863</v>
      </c>
    </row>
    <row r="1623" spans="1:17" x14ac:dyDescent="0.25">
      <c r="A1623" s="145">
        <v>41147</v>
      </c>
      <c r="B1623" s="144">
        <v>1.2506999999999999</v>
      </c>
      <c r="C1623" s="144">
        <v>39.875500000000002</v>
      </c>
      <c r="D1623" s="144">
        <v>7.3019999999999996</v>
      </c>
      <c r="E1623" s="144">
        <v>98.16</v>
      </c>
      <c r="F1623" s="144">
        <v>0.78959999999999997</v>
      </c>
      <c r="G1623" s="144">
        <v>1.2009000000000001</v>
      </c>
      <c r="I1623" s="144">
        <v>1</v>
      </c>
      <c r="J1623" s="145">
        <f t="shared" si="187"/>
        <v>41147</v>
      </c>
      <c r="K1623" s="144">
        <f t="shared" ca="1" si="189"/>
        <v>0.96018229791316878</v>
      </c>
      <c r="L1623" s="144">
        <f t="shared" ca="1" si="189"/>
        <v>0.63132645718397695</v>
      </c>
      <c r="M1623" s="144">
        <f t="shared" ca="1" si="189"/>
        <v>78.484048932597744</v>
      </c>
      <c r="N1623" s="144">
        <f t="shared" ca="1" si="189"/>
        <v>5.8383305349004555</v>
      </c>
      <c r="O1623" s="144">
        <f t="shared" ca="1" si="189"/>
        <v>31.88254577436636</v>
      </c>
      <c r="P1623" s="144">
        <f t="shared" ca="1" si="189"/>
        <v>1</v>
      </c>
      <c r="Q1623" s="144">
        <f t="shared" ca="1" si="189"/>
        <v>0.79955225073958591</v>
      </c>
    </row>
    <row r="1624" spans="1:17" x14ac:dyDescent="0.25">
      <c r="A1624" s="145">
        <v>41146</v>
      </c>
      <c r="B1624" s="144">
        <v>1.2506999999999999</v>
      </c>
      <c r="C1624" s="144">
        <v>39.875500000000002</v>
      </c>
      <c r="D1624" s="144">
        <v>7.3019999999999996</v>
      </c>
      <c r="E1624" s="144">
        <v>98.16</v>
      </c>
      <c r="F1624" s="144">
        <v>0.78959999999999997</v>
      </c>
      <c r="G1624" s="144">
        <v>1.2009000000000001</v>
      </c>
      <c r="I1624" s="144">
        <v>1</v>
      </c>
      <c r="J1624" s="145">
        <f t="shared" si="187"/>
        <v>41146</v>
      </c>
      <c r="K1624" s="144">
        <f t="shared" ca="1" si="189"/>
        <v>0.96018229791316878</v>
      </c>
      <c r="L1624" s="144">
        <f t="shared" ca="1" si="189"/>
        <v>0.63132645718397695</v>
      </c>
      <c r="M1624" s="144">
        <f t="shared" ca="1" si="189"/>
        <v>78.484048932597744</v>
      </c>
      <c r="N1624" s="144">
        <f t="shared" ca="1" si="189"/>
        <v>5.8383305349004555</v>
      </c>
      <c r="O1624" s="144">
        <f t="shared" ca="1" si="189"/>
        <v>31.88254577436636</v>
      </c>
      <c r="P1624" s="144">
        <f t="shared" ca="1" si="189"/>
        <v>1</v>
      </c>
      <c r="Q1624" s="144">
        <f t="shared" ca="1" si="189"/>
        <v>0.79955225073958591</v>
      </c>
    </row>
    <row r="1625" spans="1:17" x14ac:dyDescent="0.25">
      <c r="A1625" s="145">
        <v>41145</v>
      </c>
      <c r="B1625" s="144">
        <v>1.2506999999999999</v>
      </c>
      <c r="C1625" s="144">
        <v>39.875500000000002</v>
      </c>
      <c r="D1625" s="144">
        <v>7.3019999999999996</v>
      </c>
      <c r="E1625" s="144">
        <v>98.16</v>
      </c>
      <c r="F1625" s="144">
        <v>0.78959999999999997</v>
      </c>
      <c r="G1625" s="144">
        <v>1.2009000000000001</v>
      </c>
      <c r="I1625" s="144">
        <v>1</v>
      </c>
      <c r="J1625" s="145">
        <f t="shared" si="187"/>
        <v>41145</v>
      </c>
      <c r="K1625" s="144">
        <f t="shared" ref="K1625:Q1634" ca="1" si="190">OFFSET($A1625,0,K$3)/OFFSET($A1625,0,$P$3)</f>
        <v>0.96018229791316878</v>
      </c>
      <c r="L1625" s="144">
        <f t="shared" ca="1" si="190"/>
        <v>0.63132645718397695</v>
      </c>
      <c r="M1625" s="144">
        <f t="shared" ca="1" si="190"/>
        <v>78.484048932597744</v>
      </c>
      <c r="N1625" s="144">
        <f t="shared" ca="1" si="190"/>
        <v>5.8383305349004555</v>
      </c>
      <c r="O1625" s="144">
        <f t="shared" ca="1" si="190"/>
        <v>31.88254577436636</v>
      </c>
      <c r="P1625" s="144">
        <f t="shared" ca="1" si="190"/>
        <v>1</v>
      </c>
      <c r="Q1625" s="144">
        <f t="shared" ca="1" si="190"/>
        <v>0.79955225073958591</v>
      </c>
    </row>
    <row r="1626" spans="1:17" x14ac:dyDescent="0.25">
      <c r="A1626" s="145">
        <v>41144</v>
      </c>
      <c r="B1626" s="144">
        <v>1.2552000000000001</v>
      </c>
      <c r="C1626" s="144">
        <v>39.826700000000002</v>
      </c>
      <c r="D1626" s="144">
        <v>7.3410000000000002</v>
      </c>
      <c r="E1626" s="144">
        <v>98.68</v>
      </c>
      <c r="F1626" s="144">
        <v>0.79110000000000003</v>
      </c>
      <c r="G1626" s="144">
        <v>1.2010000000000001</v>
      </c>
      <c r="I1626" s="144">
        <v>1</v>
      </c>
      <c r="J1626" s="145">
        <f t="shared" si="187"/>
        <v>41144</v>
      </c>
      <c r="K1626" s="144">
        <f t="shared" ca="1" si="190"/>
        <v>0.95681963033779471</v>
      </c>
      <c r="L1626" s="144">
        <f t="shared" ca="1" si="190"/>
        <v>0.63025812619502863</v>
      </c>
      <c r="M1626" s="144">
        <f t="shared" ca="1" si="190"/>
        <v>78.616953473550026</v>
      </c>
      <c r="N1626" s="144">
        <f t="shared" ca="1" si="190"/>
        <v>5.8484703632887189</v>
      </c>
      <c r="O1626" s="144">
        <f t="shared" ca="1" si="190"/>
        <v>31.729365838113448</v>
      </c>
      <c r="P1626" s="144">
        <f t="shared" ca="1" si="190"/>
        <v>1</v>
      </c>
      <c r="Q1626" s="144">
        <f t="shared" ca="1" si="190"/>
        <v>0.7966857871255576</v>
      </c>
    </row>
    <row r="1627" spans="1:17" x14ac:dyDescent="0.25">
      <c r="A1627" s="145">
        <v>41143</v>
      </c>
      <c r="B1627" s="144">
        <v>1.2447999999999999</v>
      </c>
      <c r="C1627" s="144">
        <v>39.69</v>
      </c>
      <c r="D1627" s="144">
        <v>7.3520000000000003</v>
      </c>
      <c r="E1627" s="144">
        <v>98.65</v>
      </c>
      <c r="F1627" s="144">
        <v>0.78785000000000005</v>
      </c>
      <c r="G1627" s="144">
        <v>1.2009000000000001</v>
      </c>
      <c r="I1627" s="144">
        <v>1</v>
      </c>
      <c r="J1627" s="145">
        <f t="shared" si="187"/>
        <v>41143</v>
      </c>
      <c r="K1627" s="144">
        <f t="shared" ca="1" si="190"/>
        <v>0.96473329048843204</v>
      </c>
      <c r="L1627" s="144">
        <f t="shared" ca="1" si="190"/>
        <v>0.63291291773778924</v>
      </c>
      <c r="M1627" s="144">
        <f t="shared" ca="1" si="190"/>
        <v>79.249678663239081</v>
      </c>
      <c r="N1627" s="144">
        <f t="shared" ca="1" si="190"/>
        <v>5.9061696658097693</v>
      </c>
      <c r="O1627" s="144">
        <f t="shared" ca="1" si="190"/>
        <v>31.884640102827763</v>
      </c>
      <c r="P1627" s="144">
        <f t="shared" ca="1" si="190"/>
        <v>1</v>
      </c>
      <c r="Q1627" s="144">
        <f t="shared" ca="1" si="190"/>
        <v>0.80334190231362479</v>
      </c>
    </row>
    <row r="1628" spans="1:17" x14ac:dyDescent="0.25">
      <c r="A1628" s="145">
        <v>41142</v>
      </c>
      <c r="B1628" s="144">
        <v>1.2427999999999999</v>
      </c>
      <c r="C1628" s="144">
        <v>39.54</v>
      </c>
      <c r="D1628" s="144">
        <v>7.3235000000000001</v>
      </c>
      <c r="E1628" s="144">
        <v>98.81</v>
      </c>
      <c r="F1628" s="144">
        <v>0.78835</v>
      </c>
      <c r="G1628" s="144">
        <v>1.2010000000000001</v>
      </c>
      <c r="I1628" s="144">
        <v>1</v>
      </c>
      <c r="J1628" s="145">
        <f t="shared" si="187"/>
        <v>41142</v>
      </c>
      <c r="K1628" s="144">
        <f t="shared" ca="1" si="190"/>
        <v>0.96636626971355022</v>
      </c>
      <c r="L1628" s="144">
        <f t="shared" ca="1" si="190"/>
        <v>0.63433376247183781</v>
      </c>
      <c r="M1628" s="144">
        <f t="shared" ca="1" si="190"/>
        <v>79.50595429674928</v>
      </c>
      <c r="N1628" s="144">
        <f t="shared" ca="1" si="190"/>
        <v>5.8927421950434509</v>
      </c>
      <c r="O1628" s="144">
        <f t="shared" ca="1" si="190"/>
        <v>31.81525587383328</v>
      </c>
      <c r="P1628" s="144">
        <f t="shared" ca="1" si="190"/>
        <v>1</v>
      </c>
      <c r="Q1628" s="144">
        <f t="shared" ca="1" si="190"/>
        <v>0.804634695848085</v>
      </c>
    </row>
    <row r="1629" spans="1:17" x14ac:dyDescent="0.25">
      <c r="A1629" s="145">
        <v>41141</v>
      </c>
      <c r="B1629" s="144">
        <v>1.23</v>
      </c>
      <c r="C1629" s="144">
        <v>39.488300000000002</v>
      </c>
      <c r="D1629" s="144">
        <v>7.3129999999999997</v>
      </c>
      <c r="E1629" s="144">
        <v>97.82</v>
      </c>
      <c r="F1629" s="144">
        <v>0.78344999999999998</v>
      </c>
      <c r="G1629" s="144">
        <v>1.2010000000000001</v>
      </c>
      <c r="I1629" s="144">
        <v>1</v>
      </c>
      <c r="J1629" s="145">
        <f t="shared" si="187"/>
        <v>41141</v>
      </c>
      <c r="K1629" s="144">
        <f t="shared" ca="1" si="190"/>
        <v>0.97642276422764229</v>
      </c>
      <c r="L1629" s="144">
        <f t="shared" ca="1" si="190"/>
        <v>0.63695121951219513</v>
      </c>
      <c r="M1629" s="144">
        <f t="shared" ca="1" si="190"/>
        <v>79.528455284552848</v>
      </c>
      <c r="N1629" s="144">
        <f t="shared" ca="1" si="190"/>
        <v>5.9455284552845526</v>
      </c>
      <c r="O1629" s="144">
        <f t="shared" ca="1" si="190"/>
        <v>32.104308943089436</v>
      </c>
      <c r="P1629" s="144">
        <f t="shared" ca="1" si="190"/>
        <v>1</v>
      </c>
      <c r="Q1629" s="144">
        <f t="shared" ca="1" si="190"/>
        <v>0.81300813008130079</v>
      </c>
    </row>
    <row r="1630" spans="1:17" x14ac:dyDescent="0.25">
      <c r="A1630" s="145">
        <v>41140</v>
      </c>
      <c r="B1630" s="144">
        <v>1.2337</v>
      </c>
      <c r="C1630" s="144">
        <v>39.395000000000003</v>
      </c>
      <c r="D1630" s="144">
        <v>7.3295000000000003</v>
      </c>
      <c r="E1630" s="144">
        <v>97.97</v>
      </c>
      <c r="F1630" s="144">
        <v>0.78515000000000001</v>
      </c>
      <c r="G1630" s="144">
        <v>1.2011000000000001</v>
      </c>
      <c r="I1630" s="144">
        <v>1</v>
      </c>
      <c r="J1630" s="145">
        <f t="shared" si="187"/>
        <v>41140</v>
      </c>
      <c r="K1630" s="144">
        <f t="shared" ca="1" si="190"/>
        <v>0.97357542352273652</v>
      </c>
      <c r="L1630" s="144">
        <f t="shared" ca="1" si="190"/>
        <v>0.63641890248844935</v>
      </c>
      <c r="M1630" s="144">
        <f t="shared" ca="1" si="190"/>
        <v>79.411526302991007</v>
      </c>
      <c r="N1630" s="144">
        <f t="shared" ca="1" si="190"/>
        <v>5.9410715733160417</v>
      </c>
      <c r="O1630" s="144">
        <f t="shared" ca="1" si="190"/>
        <v>31.932398476128721</v>
      </c>
      <c r="P1630" s="144">
        <f t="shared" ca="1" si="190"/>
        <v>1</v>
      </c>
      <c r="Q1630" s="144">
        <f t="shared" ca="1" si="190"/>
        <v>0.81056983059090537</v>
      </c>
    </row>
    <row r="1631" spans="1:17" x14ac:dyDescent="0.25">
      <c r="A1631" s="145">
        <v>41139</v>
      </c>
      <c r="B1631" s="144">
        <v>1.2337</v>
      </c>
      <c r="C1631" s="144">
        <v>39.395000000000003</v>
      </c>
      <c r="D1631" s="144">
        <v>7.3295000000000003</v>
      </c>
      <c r="E1631" s="144">
        <v>97.97</v>
      </c>
      <c r="F1631" s="144">
        <v>0.78515000000000001</v>
      </c>
      <c r="G1631" s="144">
        <v>1.2011000000000001</v>
      </c>
      <c r="I1631" s="144">
        <v>1</v>
      </c>
      <c r="J1631" s="145">
        <f t="shared" si="187"/>
        <v>41139</v>
      </c>
      <c r="K1631" s="144">
        <f t="shared" ca="1" si="190"/>
        <v>0.97357542352273652</v>
      </c>
      <c r="L1631" s="144">
        <f t="shared" ca="1" si="190"/>
        <v>0.63641890248844935</v>
      </c>
      <c r="M1631" s="144">
        <f t="shared" ca="1" si="190"/>
        <v>79.411526302991007</v>
      </c>
      <c r="N1631" s="144">
        <f t="shared" ca="1" si="190"/>
        <v>5.9410715733160417</v>
      </c>
      <c r="O1631" s="144">
        <f t="shared" ca="1" si="190"/>
        <v>31.932398476128721</v>
      </c>
      <c r="P1631" s="144">
        <f t="shared" ca="1" si="190"/>
        <v>1</v>
      </c>
      <c r="Q1631" s="144">
        <f t="shared" ca="1" si="190"/>
        <v>0.81056983059090537</v>
      </c>
    </row>
    <row r="1632" spans="1:17" x14ac:dyDescent="0.25">
      <c r="A1632" s="145">
        <v>41138</v>
      </c>
      <c r="B1632" s="144">
        <v>1.2337</v>
      </c>
      <c r="C1632" s="144">
        <v>39.395000000000003</v>
      </c>
      <c r="D1632" s="144">
        <v>7.3295000000000003</v>
      </c>
      <c r="E1632" s="144">
        <v>97.97</v>
      </c>
      <c r="F1632" s="144">
        <v>0.78515000000000001</v>
      </c>
      <c r="G1632" s="144">
        <v>1.2011000000000001</v>
      </c>
      <c r="I1632" s="144">
        <v>1</v>
      </c>
      <c r="J1632" s="145">
        <f t="shared" si="187"/>
        <v>41138</v>
      </c>
      <c r="K1632" s="144">
        <f t="shared" ca="1" si="190"/>
        <v>0.97357542352273652</v>
      </c>
      <c r="L1632" s="144">
        <f t="shared" ca="1" si="190"/>
        <v>0.63641890248844935</v>
      </c>
      <c r="M1632" s="144">
        <f t="shared" ca="1" si="190"/>
        <v>79.411526302991007</v>
      </c>
      <c r="N1632" s="144">
        <f t="shared" ca="1" si="190"/>
        <v>5.9410715733160417</v>
      </c>
      <c r="O1632" s="144">
        <f t="shared" ca="1" si="190"/>
        <v>31.932398476128721</v>
      </c>
      <c r="P1632" s="144">
        <f t="shared" ca="1" si="190"/>
        <v>1</v>
      </c>
      <c r="Q1632" s="144">
        <f t="shared" ca="1" si="190"/>
        <v>0.81056983059090537</v>
      </c>
    </row>
    <row r="1633" spans="1:17" x14ac:dyDescent="0.25">
      <c r="A1633" s="145">
        <v>41137</v>
      </c>
      <c r="B1633" s="144">
        <v>1.2279</v>
      </c>
      <c r="C1633" s="144">
        <v>39.1751</v>
      </c>
      <c r="D1633" s="144">
        <v>7.3369999999999997</v>
      </c>
      <c r="E1633" s="144">
        <v>97.38</v>
      </c>
      <c r="F1633" s="144">
        <v>0.78195000000000003</v>
      </c>
      <c r="G1633" s="144">
        <v>1.2010000000000001</v>
      </c>
      <c r="I1633" s="144">
        <v>1</v>
      </c>
      <c r="J1633" s="145">
        <f t="shared" si="187"/>
        <v>41137</v>
      </c>
      <c r="K1633" s="144">
        <f t="shared" ca="1" si="190"/>
        <v>0.97809267855688575</v>
      </c>
      <c r="L1633" s="144">
        <f t="shared" ca="1" si="190"/>
        <v>0.63681895919863185</v>
      </c>
      <c r="M1633" s="144">
        <f t="shared" ca="1" si="190"/>
        <v>79.306132421206939</v>
      </c>
      <c r="N1633" s="144">
        <f t="shared" ca="1" si="190"/>
        <v>5.9752422835735803</v>
      </c>
      <c r="O1633" s="144">
        <f t="shared" ca="1" si="190"/>
        <v>31.904145288704292</v>
      </c>
      <c r="P1633" s="144">
        <f t="shared" ca="1" si="190"/>
        <v>1</v>
      </c>
      <c r="Q1633" s="144">
        <f t="shared" ca="1" si="190"/>
        <v>0.81439856665852273</v>
      </c>
    </row>
    <row r="1634" spans="1:17" x14ac:dyDescent="0.25">
      <c r="A1634" s="145">
        <v>41136</v>
      </c>
      <c r="B1634" s="144">
        <v>1.2276</v>
      </c>
      <c r="C1634" s="144">
        <v>39.218899999999998</v>
      </c>
      <c r="D1634" s="144">
        <v>7.2954999999999997</v>
      </c>
      <c r="E1634" s="144">
        <v>96.98</v>
      </c>
      <c r="F1634" s="144">
        <v>0.78259999999999996</v>
      </c>
      <c r="G1634" s="144">
        <v>1.2011000000000001</v>
      </c>
      <c r="I1634" s="144">
        <v>1</v>
      </c>
      <c r="J1634" s="145">
        <f t="shared" si="187"/>
        <v>41136</v>
      </c>
      <c r="K1634" s="144">
        <f t="shared" ca="1" si="190"/>
        <v>0.97841316389703492</v>
      </c>
      <c r="L1634" s="144">
        <f t="shared" ca="1" si="190"/>
        <v>0.63750407298794387</v>
      </c>
      <c r="M1634" s="144">
        <f t="shared" ca="1" si="190"/>
        <v>78.999674160964489</v>
      </c>
      <c r="N1634" s="144">
        <f t="shared" ca="1" si="190"/>
        <v>5.9428967090257405</v>
      </c>
      <c r="O1634" s="144">
        <f t="shared" ca="1" si="190"/>
        <v>31.947621375040729</v>
      </c>
      <c r="P1634" s="144">
        <f t="shared" ca="1" si="190"/>
        <v>1</v>
      </c>
      <c r="Q1634" s="144">
        <f t="shared" ca="1" si="190"/>
        <v>0.81459758879113719</v>
      </c>
    </row>
    <row r="1635" spans="1:17" x14ac:dyDescent="0.25">
      <c r="A1635" s="145">
        <v>41135</v>
      </c>
      <c r="B1635" s="144">
        <v>1.2352000000000001</v>
      </c>
      <c r="C1635" s="144">
        <v>39.267699999999998</v>
      </c>
      <c r="D1635" s="144">
        <v>7.3010000000000002</v>
      </c>
      <c r="E1635" s="144">
        <v>97.14</v>
      </c>
      <c r="F1635" s="144">
        <v>0.78600000000000003</v>
      </c>
      <c r="G1635" s="144">
        <v>1.2010000000000001</v>
      </c>
      <c r="I1635" s="144">
        <v>1</v>
      </c>
      <c r="J1635" s="145">
        <f t="shared" si="187"/>
        <v>41135</v>
      </c>
      <c r="K1635" s="144">
        <f t="shared" ref="K1635:Q1644" ca="1" si="191">OFFSET($A1635,0,K$3)/OFFSET($A1635,0,$P$3)</f>
        <v>0.97231217616580312</v>
      </c>
      <c r="L1635" s="144">
        <f t="shared" ca="1" si="191"/>
        <v>0.63633419689119175</v>
      </c>
      <c r="M1635" s="144">
        <f t="shared" ca="1" si="191"/>
        <v>78.643134715025909</v>
      </c>
      <c r="N1635" s="144">
        <f t="shared" ca="1" si="191"/>
        <v>5.9107836787564763</v>
      </c>
      <c r="O1635" s="144">
        <f t="shared" ca="1" si="191"/>
        <v>31.790560233160619</v>
      </c>
      <c r="P1635" s="144">
        <f t="shared" ca="1" si="191"/>
        <v>1</v>
      </c>
      <c r="Q1635" s="144">
        <f t="shared" ca="1" si="191"/>
        <v>0.80958549222797926</v>
      </c>
    </row>
    <row r="1636" spans="1:17" x14ac:dyDescent="0.25">
      <c r="A1636" s="145">
        <v>41134</v>
      </c>
      <c r="B1636" s="144">
        <v>1.2339</v>
      </c>
      <c r="C1636" s="144">
        <v>39.162500000000001</v>
      </c>
      <c r="D1636" s="144">
        <v>7.3064999999999998</v>
      </c>
      <c r="E1636" s="144">
        <v>96.61</v>
      </c>
      <c r="F1636" s="144">
        <v>0.78615000000000002</v>
      </c>
      <c r="G1636" s="144">
        <v>1.2010000000000001</v>
      </c>
      <c r="I1636" s="144">
        <v>1</v>
      </c>
      <c r="J1636" s="145">
        <f t="shared" si="187"/>
        <v>41134</v>
      </c>
      <c r="K1636" s="144">
        <f t="shared" ca="1" si="191"/>
        <v>0.97333657508712224</v>
      </c>
      <c r="L1636" s="144">
        <f t="shared" ca="1" si="191"/>
        <v>0.63712618526622899</v>
      </c>
      <c r="M1636" s="144">
        <f t="shared" ca="1" si="191"/>
        <v>78.296458383985737</v>
      </c>
      <c r="N1636" s="144">
        <f t="shared" ca="1" si="191"/>
        <v>5.9214685144663264</v>
      </c>
      <c r="O1636" s="144">
        <f t="shared" ca="1" si="191"/>
        <v>31.738795688467462</v>
      </c>
      <c r="P1636" s="144">
        <f t="shared" ca="1" si="191"/>
        <v>1</v>
      </c>
      <c r="Q1636" s="144">
        <f t="shared" ca="1" si="191"/>
        <v>0.81043844719993519</v>
      </c>
    </row>
    <row r="1637" spans="1:17" x14ac:dyDescent="0.25">
      <c r="A1637" s="145">
        <v>41133</v>
      </c>
      <c r="B1637" s="144">
        <v>1.2262</v>
      </c>
      <c r="C1637" s="144">
        <v>39.143999999999998</v>
      </c>
      <c r="D1637" s="144">
        <v>7.27</v>
      </c>
      <c r="E1637" s="144">
        <v>96.12</v>
      </c>
      <c r="F1637" s="144">
        <v>0.78610000000000002</v>
      </c>
      <c r="G1637" s="144">
        <v>1.2009000000000001</v>
      </c>
      <c r="I1637" s="144">
        <v>1</v>
      </c>
      <c r="J1637" s="145">
        <f t="shared" si="187"/>
        <v>41133</v>
      </c>
      <c r="K1637" s="144">
        <f t="shared" ca="1" si="191"/>
        <v>0.97936715054640366</v>
      </c>
      <c r="L1637" s="144">
        <f t="shared" ca="1" si="191"/>
        <v>0.64108628282498781</v>
      </c>
      <c r="M1637" s="144">
        <f t="shared" ca="1" si="191"/>
        <v>78.388517370738882</v>
      </c>
      <c r="N1637" s="144">
        <f t="shared" ca="1" si="191"/>
        <v>5.9288859892350345</v>
      </c>
      <c r="O1637" s="144">
        <f t="shared" ca="1" si="191"/>
        <v>31.923014190181046</v>
      </c>
      <c r="P1637" s="144">
        <f t="shared" ca="1" si="191"/>
        <v>1</v>
      </c>
      <c r="Q1637" s="144">
        <f t="shared" ca="1" si="191"/>
        <v>0.81552764638721253</v>
      </c>
    </row>
    <row r="1638" spans="1:17" x14ac:dyDescent="0.25">
      <c r="A1638" s="145">
        <v>41132</v>
      </c>
      <c r="B1638" s="144">
        <v>1.2262</v>
      </c>
      <c r="C1638" s="144">
        <v>39.143999999999998</v>
      </c>
      <c r="D1638" s="144">
        <v>7.27</v>
      </c>
      <c r="E1638" s="144">
        <v>96.12</v>
      </c>
      <c r="F1638" s="144">
        <v>0.78610000000000002</v>
      </c>
      <c r="G1638" s="144">
        <v>1.2009000000000001</v>
      </c>
      <c r="I1638" s="144">
        <v>1</v>
      </c>
      <c r="J1638" s="145">
        <f t="shared" si="187"/>
        <v>41132</v>
      </c>
      <c r="K1638" s="144">
        <f t="shared" ca="1" si="191"/>
        <v>0.97936715054640366</v>
      </c>
      <c r="L1638" s="144">
        <f t="shared" ca="1" si="191"/>
        <v>0.64108628282498781</v>
      </c>
      <c r="M1638" s="144">
        <f t="shared" ca="1" si="191"/>
        <v>78.388517370738882</v>
      </c>
      <c r="N1638" s="144">
        <f t="shared" ca="1" si="191"/>
        <v>5.9288859892350345</v>
      </c>
      <c r="O1638" s="144">
        <f t="shared" ca="1" si="191"/>
        <v>31.923014190181046</v>
      </c>
      <c r="P1638" s="144">
        <f t="shared" ca="1" si="191"/>
        <v>1</v>
      </c>
      <c r="Q1638" s="144">
        <f t="shared" ca="1" si="191"/>
        <v>0.81552764638721253</v>
      </c>
    </row>
    <row r="1639" spans="1:17" x14ac:dyDescent="0.25">
      <c r="A1639" s="145">
        <v>41131</v>
      </c>
      <c r="B1639" s="144">
        <v>1.2262</v>
      </c>
      <c r="C1639" s="144">
        <v>39.143999999999998</v>
      </c>
      <c r="D1639" s="144">
        <v>7.27</v>
      </c>
      <c r="E1639" s="144">
        <v>96.12</v>
      </c>
      <c r="F1639" s="144">
        <v>0.78610000000000002</v>
      </c>
      <c r="G1639" s="144">
        <v>1.2009000000000001</v>
      </c>
      <c r="I1639" s="144">
        <v>1</v>
      </c>
      <c r="J1639" s="145">
        <f t="shared" si="187"/>
        <v>41131</v>
      </c>
      <c r="K1639" s="144">
        <f t="shared" ca="1" si="191"/>
        <v>0.97936715054640366</v>
      </c>
      <c r="L1639" s="144">
        <f t="shared" ca="1" si="191"/>
        <v>0.64108628282498781</v>
      </c>
      <c r="M1639" s="144">
        <f t="shared" ca="1" si="191"/>
        <v>78.388517370738882</v>
      </c>
      <c r="N1639" s="144">
        <f t="shared" ca="1" si="191"/>
        <v>5.9288859892350345</v>
      </c>
      <c r="O1639" s="144">
        <f t="shared" ca="1" si="191"/>
        <v>31.923014190181046</v>
      </c>
      <c r="P1639" s="144">
        <f t="shared" ca="1" si="191"/>
        <v>1</v>
      </c>
      <c r="Q1639" s="144">
        <f t="shared" ca="1" si="191"/>
        <v>0.81552764638721253</v>
      </c>
    </row>
    <row r="1640" spans="1:17" x14ac:dyDescent="0.25">
      <c r="A1640" s="145">
        <v>41130</v>
      </c>
      <c r="B1640" s="144">
        <v>1.2301</v>
      </c>
      <c r="C1640" s="144">
        <v>38.978999999999999</v>
      </c>
      <c r="D1640" s="144">
        <v>7.2954999999999997</v>
      </c>
      <c r="E1640" s="144">
        <v>96.53</v>
      </c>
      <c r="F1640" s="144">
        <v>0.78710000000000002</v>
      </c>
      <c r="G1640" s="144">
        <v>1.2010000000000001</v>
      </c>
      <c r="I1640" s="144">
        <v>1</v>
      </c>
      <c r="J1640" s="145">
        <f t="shared" si="187"/>
        <v>41130</v>
      </c>
      <c r="K1640" s="144">
        <f t="shared" ca="1" si="191"/>
        <v>0.97634338671652721</v>
      </c>
      <c r="L1640" s="144">
        <f t="shared" ca="1" si="191"/>
        <v>0.63986667750589388</v>
      </c>
      <c r="M1640" s="144">
        <f t="shared" ca="1" si="191"/>
        <v>78.473294854076912</v>
      </c>
      <c r="N1640" s="144">
        <f t="shared" ca="1" si="191"/>
        <v>5.9308186326314933</v>
      </c>
      <c r="O1640" s="144">
        <f t="shared" ca="1" si="191"/>
        <v>31.68766766929518</v>
      </c>
      <c r="P1640" s="144">
        <f t="shared" ca="1" si="191"/>
        <v>1</v>
      </c>
      <c r="Q1640" s="144">
        <f t="shared" ca="1" si="191"/>
        <v>0.81294203723274527</v>
      </c>
    </row>
    <row r="1641" spans="1:17" x14ac:dyDescent="0.25">
      <c r="A1641" s="145">
        <v>41129</v>
      </c>
      <c r="B1641" s="144">
        <v>1.2336</v>
      </c>
      <c r="C1641" s="144">
        <v>39.246000000000002</v>
      </c>
      <c r="D1641" s="144">
        <v>7.3040000000000003</v>
      </c>
      <c r="E1641" s="144">
        <v>96.68</v>
      </c>
      <c r="F1641" s="144">
        <v>0.78879999999999995</v>
      </c>
      <c r="G1641" s="144">
        <v>1.2012</v>
      </c>
      <c r="I1641" s="144">
        <v>1</v>
      </c>
      <c r="J1641" s="145">
        <f t="shared" si="187"/>
        <v>41129</v>
      </c>
      <c r="K1641" s="144">
        <f t="shared" ca="1" si="191"/>
        <v>0.97373540856031127</v>
      </c>
      <c r="L1641" s="144">
        <f t="shared" ca="1" si="191"/>
        <v>0.6394293125810635</v>
      </c>
      <c r="M1641" s="144">
        <f t="shared" ca="1" si="191"/>
        <v>78.372243839169911</v>
      </c>
      <c r="N1641" s="144">
        <f t="shared" ca="1" si="191"/>
        <v>5.9208819714656293</v>
      </c>
      <c r="O1641" s="144">
        <f t="shared" ca="1" si="191"/>
        <v>31.814202334630352</v>
      </c>
      <c r="P1641" s="144">
        <f t="shared" ca="1" si="191"/>
        <v>1</v>
      </c>
      <c r="Q1641" s="144">
        <f t="shared" ca="1" si="191"/>
        <v>0.81063553826199741</v>
      </c>
    </row>
    <row r="1642" spans="1:17" x14ac:dyDescent="0.25">
      <c r="A1642" s="145">
        <v>41128</v>
      </c>
      <c r="B1642" s="144">
        <v>1.2436</v>
      </c>
      <c r="C1642" s="144">
        <v>39.240699999999997</v>
      </c>
      <c r="D1642" s="144">
        <v>7.3574999999999999</v>
      </c>
      <c r="E1642" s="144">
        <v>97.58</v>
      </c>
      <c r="F1642" s="144">
        <v>0.79339999999999999</v>
      </c>
      <c r="G1642" s="144">
        <v>1.2015</v>
      </c>
      <c r="I1642" s="144">
        <v>1</v>
      </c>
      <c r="J1642" s="145">
        <f t="shared" si="187"/>
        <v>41128</v>
      </c>
      <c r="K1642" s="144">
        <f t="shared" ca="1" si="191"/>
        <v>0.96614667095529105</v>
      </c>
      <c r="L1642" s="144">
        <f t="shared" ca="1" si="191"/>
        <v>0.63798649083306525</v>
      </c>
      <c r="M1642" s="144">
        <f t="shared" ca="1" si="191"/>
        <v>78.465744612415563</v>
      </c>
      <c r="N1642" s="144">
        <f t="shared" ca="1" si="191"/>
        <v>5.9162914120295911</v>
      </c>
      <c r="O1642" s="144">
        <f t="shared" ca="1" si="191"/>
        <v>31.554117079446765</v>
      </c>
      <c r="P1642" s="144">
        <f t="shared" ca="1" si="191"/>
        <v>1</v>
      </c>
      <c r="Q1642" s="144">
        <f t="shared" ca="1" si="191"/>
        <v>0.80411707944676747</v>
      </c>
    </row>
    <row r="1643" spans="1:17" x14ac:dyDescent="0.25">
      <c r="A1643" s="145">
        <v>41127</v>
      </c>
      <c r="B1643" s="144">
        <v>1.2379</v>
      </c>
      <c r="C1643" s="144">
        <v>39.258299999999998</v>
      </c>
      <c r="D1643" s="144">
        <v>7.3944999999999999</v>
      </c>
      <c r="E1643" s="144">
        <v>96.99</v>
      </c>
      <c r="F1643" s="144">
        <v>0.79500000000000004</v>
      </c>
      <c r="G1643" s="144">
        <v>1.2013</v>
      </c>
      <c r="I1643" s="144">
        <v>1</v>
      </c>
      <c r="J1643" s="145">
        <f t="shared" si="187"/>
        <v>41127</v>
      </c>
      <c r="K1643" s="144">
        <f t="shared" ca="1" si="191"/>
        <v>0.9704337991760239</v>
      </c>
      <c r="L1643" s="144">
        <f t="shared" ca="1" si="191"/>
        <v>0.64221665724210364</v>
      </c>
      <c r="M1643" s="144">
        <f t="shared" ca="1" si="191"/>
        <v>78.350432183536626</v>
      </c>
      <c r="N1643" s="144">
        <f t="shared" ca="1" si="191"/>
        <v>5.973422732046207</v>
      </c>
      <c r="O1643" s="144">
        <f t="shared" ca="1" si="191"/>
        <v>31.713627918248644</v>
      </c>
      <c r="P1643" s="144">
        <f t="shared" ca="1" si="191"/>
        <v>1</v>
      </c>
      <c r="Q1643" s="144">
        <f t="shared" ca="1" si="191"/>
        <v>0.80781969464415537</v>
      </c>
    </row>
    <row r="1644" spans="1:17" x14ac:dyDescent="0.25">
      <c r="A1644" s="145">
        <v>41126</v>
      </c>
      <c r="B1644" s="144">
        <v>1.2244999999999999</v>
      </c>
      <c r="C1644" s="144">
        <v>39.685000000000002</v>
      </c>
      <c r="D1644" s="144">
        <v>7.37</v>
      </c>
      <c r="E1644" s="144">
        <v>95.85</v>
      </c>
      <c r="F1644" s="144">
        <v>0.78744999999999998</v>
      </c>
      <c r="G1644" s="144">
        <v>1.2012</v>
      </c>
      <c r="I1644" s="144">
        <v>1</v>
      </c>
      <c r="J1644" s="145">
        <f t="shared" si="187"/>
        <v>41126</v>
      </c>
      <c r="K1644" s="144">
        <f t="shared" ca="1" si="191"/>
        <v>0.98097182523478976</v>
      </c>
      <c r="L1644" s="144">
        <f t="shared" ca="1" si="191"/>
        <v>0.64307880767660275</v>
      </c>
      <c r="M1644" s="144">
        <f t="shared" ca="1" si="191"/>
        <v>78.276847692935888</v>
      </c>
      <c r="N1644" s="144">
        <f t="shared" ca="1" si="191"/>
        <v>6.0187831768068607</v>
      </c>
      <c r="O1644" s="144">
        <f t="shared" ca="1" si="191"/>
        <v>32.409146590445083</v>
      </c>
      <c r="P1644" s="144">
        <f t="shared" ca="1" si="191"/>
        <v>1</v>
      </c>
      <c r="Q1644" s="144">
        <f t="shared" ca="1" si="191"/>
        <v>0.81665986116782363</v>
      </c>
    </row>
    <row r="1645" spans="1:17" x14ac:dyDescent="0.25">
      <c r="A1645" s="145">
        <v>41125</v>
      </c>
      <c r="B1645" s="144">
        <v>1.2244999999999999</v>
      </c>
      <c r="C1645" s="144">
        <v>39.685000000000002</v>
      </c>
      <c r="D1645" s="144">
        <v>7.37</v>
      </c>
      <c r="E1645" s="144">
        <v>95.85</v>
      </c>
      <c r="F1645" s="144">
        <v>0.78744999999999998</v>
      </c>
      <c r="G1645" s="144">
        <v>1.2012</v>
      </c>
      <c r="I1645" s="144">
        <v>1</v>
      </c>
      <c r="J1645" s="145">
        <f t="shared" si="187"/>
        <v>41125</v>
      </c>
      <c r="K1645" s="144">
        <f t="shared" ref="K1645:Q1654" ca="1" si="192">OFFSET($A1645,0,K$3)/OFFSET($A1645,0,$P$3)</f>
        <v>0.98097182523478976</v>
      </c>
      <c r="L1645" s="144">
        <f t="shared" ca="1" si="192"/>
        <v>0.64307880767660275</v>
      </c>
      <c r="M1645" s="144">
        <f t="shared" ca="1" si="192"/>
        <v>78.276847692935888</v>
      </c>
      <c r="N1645" s="144">
        <f t="shared" ca="1" si="192"/>
        <v>6.0187831768068607</v>
      </c>
      <c r="O1645" s="144">
        <f t="shared" ca="1" si="192"/>
        <v>32.409146590445083</v>
      </c>
      <c r="P1645" s="144">
        <f t="shared" ca="1" si="192"/>
        <v>1</v>
      </c>
      <c r="Q1645" s="144">
        <f t="shared" ca="1" si="192"/>
        <v>0.81665986116782363</v>
      </c>
    </row>
    <row r="1646" spans="1:17" x14ac:dyDescent="0.25">
      <c r="A1646" s="145">
        <v>41124</v>
      </c>
      <c r="B1646" s="144">
        <v>1.2244999999999999</v>
      </c>
      <c r="C1646" s="144">
        <v>39.685000000000002</v>
      </c>
      <c r="D1646" s="144">
        <v>7.37</v>
      </c>
      <c r="E1646" s="144">
        <v>95.85</v>
      </c>
      <c r="F1646" s="144">
        <v>0.78744999999999998</v>
      </c>
      <c r="G1646" s="144">
        <v>1.2012</v>
      </c>
      <c r="I1646" s="144">
        <v>1</v>
      </c>
      <c r="J1646" s="145">
        <f t="shared" si="187"/>
        <v>41124</v>
      </c>
      <c r="K1646" s="144">
        <f t="shared" ca="1" si="192"/>
        <v>0.98097182523478976</v>
      </c>
      <c r="L1646" s="144">
        <f t="shared" ca="1" si="192"/>
        <v>0.64307880767660275</v>
      </c>
      <c r="M1646" s="144">
        <f t="shared" ca="1" si="192"/>
        <v>78.276847692935888</v>
      </c>
      <c r="N1646" s="144">
        <f t="shared" ca="1" si="192"/>
        <v>6.0187831768068607</v>
      </c>
      <c r="O1646" s="144">
        <f t="shared" ca="1" si="192"/>
        <v>32.409146590445083</v>
      </c>
      <c r="P1646" s="144">
        <f t="shared" ca="1" si="192"/>
        <v>1</v>
      </c>
      <c r="Q1646" s="144">
        <f t="shared" ca="1" si="192"/>
        <v>0.81665986116782363</v>
      </c>
    </row>
    <row r="1647" spans="1:17" x14ac:dyDescent="0.25">
      <c r="A1647" s="145">
        <v>41123</v>
      </c>
      <c r="B1647" s="144">
        <v>1.2345999999999999</v>
      </c>
      <c r="C1647" s="144">
        <v>39.883000000000003</v>
      </c>
      <c r="D1647" s="144">
        <v>7.4044999999999996</v>
      </c>
      <c r="E1647" s="144">
        <v>96.64</v>
      </c>
      <c r="F1647" s="144">
        <v>0.79039999999999999</v>
      </c>
      <c r="G1647" s="144">
        <v>1.2023999999999999</v>
      </c>
      <c r="I1647" s="144">
        <v>1</v>
      </c>
      <c r="J1647" s="145">
        <f t="shared" si="187"/>
        <v>41123</v>
      </c>
      <c r="K1647" s="144">
        <f t="shared" ca="1" si="192"/>
        <v>0.97391867811436905</v>
      </c>
      <c r="L1647" s="144">
        <f t="shared" ca="1" si="192"/>
        <v>0.6402073546087802</v>
      </c>
      <c r="M1647" s="144">
        <f t="shared" ca="1" si="192"/>
        <v>78.276364814514835</v>
      </c>
      <c r="N1647" s="144">
        <f t="shared" ca="1" si="192"/>
        <v>5.9974890652843031</v>
      </c>
      <c r="O1647" s="144">
        <f t="shared" ca="1" si="192"/>
        <v>32.304390085857769</v>
      </c>
      <c r="P1647" s="144">
        <f t="shared" ca="1" si="192"/>
        <v>1</v>
      </c>
      <c r="Q1647" s="144">
        <f t="shared" ca="1" si="192"/>
        <v>0.80997894054754582</v>
      </c>
    </row>
    <row r="1648" spans="1:17" x14ac:dyDescent="0.25">
      <c r="A1648" s="145">
        <v>41122</v>
      </c>
      <c r="B1648" s="144">
        <v>1.2298</v>
      </c>
      <c r="C1648" s="144">
        <v>39.777000000000001</v>
      </c>
      <c r="D1648" s="144">
        <v>7.3849999999999998</v>
      </c>
      <c r="E1648" s="144">
        <v>96.2</v>
      </c>
      <c r="F1648" s="144">
        <v>0.78749999999999998</v>
      </c>
      <c r="G1648" s="144">
        <v>1.2013</v>
      </c>
      <c r="I1648" s="144">
        <v>1</v>
      </c>
      <c r="J1648" s="145">
        <f t="shared" si="187"/>
        <v>41122</v>
      </c>
      <c r="K1648" s="144">
        <f t="shared" ca="1" si="192"/>
        <v>0.97682550008131408</v>
      </c>
      <c r="L1648" s="144">
        <f t="shared" ca="1" si="192"/>
        <v>0.6403480240689543</v>
      </c>
      <c r="M1648" s="144">
        <f t="shared" ca="1" si="192"/>
        <v>78.224101479915433</v>
      </c>
      <c r="N1648" s="144">
        <f t="shared" ca="1" si="192"/>
        <v>6.0050414701577495</v>
      </c>
      <c r="O1648" s="144">
        <f t="shared" ca="1" si="192"/>
        <v>32.344283623353391</v>
      </c>
      <c r="P1648" s="144">
        <f t="shared" ca="1" si="192"/>
        <v>1</v>
      </c>
      <c r="Q1648" s="144">
        <f t="shared" ca="1" si="192"/>
        <v>0.81314034802406898</v>
      </c>
    </row>
    <row r="1649" spans="1:17" x14ac:dyDescent="0.25">
      <c r="A1649" s="145">
        <v>41121</v>
      </c>
      <c r="B1649" s="144">
        <v>1.2283999999999999</v>
      </c>
      <c r="C1649" s="144">
        <v>39.527000000000001</v>
      </c>
      <c r="D1649" s="144">
        <v>7.4215</v>
      </c>
      <c r="E1649" s="144">
        <v>96.03</v>
      </c>
      <c r="F1649" s="144">
        <v>0.78395000000000004</v>
      </c>
      <c r="G1649" s="144">
        <v>1.2014</v>
      </c>
      <c r="I1649" s="144">
        <v>1</v>
      </c>
      <c r="J1649" s="145">
        <f t="shared" si="187"/>
        <v>41121</v>
      </c>
      <c r="K1649" s="144">
        <f t="shared" ca="1" si="192"/>
        <v>0.97802018886356246</v>
      </c>
      <c r="L1649" s="144">
        <f t="shared" ca="1" si="192"/>
        <v>0.63818788668186266</v>
      </c>
      <c r="M1649" s="144">
        <f t="shared" ca="1" si="192"/>
        <v>78.174861608596558</v>
      </c>
      <c r="N1649" s="144">
        <f t="shared" ca="1" si="192"/>
        <v>6.0415988277434067</v>
      </c>
      <c r="O1649" s="144">
        <f t="shared" ca="1" si="192"/>
        <v>32.177629436665583</v>
      </c>
      <c r="P1649" s="144">
        <f t="shared" ca="1" si="192"/>
        <v>1</v>
      </c>
      <c r="Q1649" s="144">
        <f t="shared" ca="1" si="192"/>
        <v>0.81406707912732013</v>
      </c>
    </row>
    <row r="1650" spans="1:17" x14ac:dyDescent="0.25">
      <c r="A1650" s="145">
        <v>41120</v>
      </c>
      <c r="B1650" s="144">
        <v>1.2245999999999999</v>
      </c>
      <c r="C1650" s="144">
        <v>39.369</v>
      </c>
      <c r="D1650" s="144">
        <v>7.4219999999999997</v>
      </c>
      <c r="E1650" s="144">
        <v>95.78</v>
      </c>
      <c r="F1650" s="144">
        <v>0.77985000000000004</v>
      </c>
      <c r="G1650" s="144">
        <v>1.2010000000000001</v>
      </c>
      <c r="I1650" s="144">
        <v>1</v>
      </c>
      <c r="J1650" s="145">
        <f t="shared" si="187"/>
        <v>41120</v>
      </c>
      <c r="K1650" s="144">
        <f t="shared" ca="1" si="192"/>
        <v>0.98072840111056681</v>
      </c>
      <c r="L1650" s="144">
        <f t="shared" ca="1" si="192"/>
        <v>0.63682018618324354</v>
      </c>
      <c r="M1650" s="144">
        <f t="shared" ca="1" si="192"/>
        <v>78.213294136861023</v>
      </c>
      <c r="N1650" s="144">
        <f t="shared" ca="1" si="192"/>
        <v>6.0607545320921119</v>
      </c>
      <c r="O1650" s="144">
        <f t="shared" ca="1" si="192"/>
        <v>32.148456638902502</v>
      </c>
      <c r="P1650" s="144">
        <f t="shared" ca="1" si="192"/>
        <v>1</v>
      </c>
      <c r="Q1650" s="144">
        <f t="shared" ca="1" si="192"/>
        <v>0.81659317328107139</v>
      </c>
    </row>
    <row r="1651" spans="1:17" x14ac:dyDescent="0.25">
      <c r="A1651" s="145">
        <v>41119</v>
      </c>
      <c r="B1651" s="144">
        <v>1.2317</v>
      </c>
      <c r="C1651" s="144">
        <v>39.706000000000003</v>
      </c>
      <c r="D1651" s="144">
        <v>7.4729999999999999</v>
      </c>
      <c r="E1651" s="144">
        <v>96.29</v>
      </c>
      <c r="F1651" s="144">
        <v>0.78295000000000003</v>
      </c>
      <c r="G1651" s="144">
        <v>1.2010000000000001</v>
      </c>
      <c r="I1651" s="144">
        <v>1</v>
      </c>
      <c r="J1651" s="145">
        <f t="shared" si="187"/>
        <v>41119</v>
      </c>
      <c r="K1651" s="144">
        <f t="shared" ca="1" si="192"/>
        <v>0.97507509945603643</v>
      </c>
      <c r="L1651" s="144">
        <f t="shared" ca="1" si="192"/>
        <v>0.63566615247219294</v>
      </c>
      <c r="M1651" s="144">
        <f t="shared" ca="1" si="192"/>
        <v>78.176504018835757</v>
      </c>
      <c r="N1651" s="144">
        <f t="shared" ca="1" si="192"/>
        <v>6.067224161727693</v>
      </c>
      <c r="O1651" s="144">
        <f t="shared" ca="1" si="192"/>
        <v>32.236745960867097</v>
      </c>
      <c r="P1651" s="144">
        <f t="shared" ca="1" si="192"/>
        <v>1</v>
      </c>
      <c r="Q1651" s="144">
        <f t="shared" ca="1" si="192"/>
        <v>0.81188601120402693</v>
      </c>
    </row>
    <row r="1652" spans="1:17" x14ac:dyDescent="0.25">
      <c r="A1652" s="145">
        <v>41118</v>
      </c>
      <c r="B1652" s="144">
        <v>1.2317</v>
      </c>
      <c r="C1652" s="144">
        <v>39.706000000000003</v>
      </c>
      <c r="D1652" s="144">
        <v>7.4729999999999999</v>
      </c>
      <c r="E1652" s="144">
        <v>96.29</v>
      </c>
      <c r="F1652" s="144">
        <v>0.78295000000000003</v>
      </c>
      <c r="G1652" s="144">
        <v>1.2010000000000001</v>
      </c>
      <c r="I1652" s="144">
        <v>1</v>
      </c>
      <c r="J1652" s="145">
        <f t="shared" si="187"/>
        <v>41118</v>
      </c>
      <c r="K1652" s="144">
        <f t="shared" ca="1" si="192"/>
        <v>0.97507509945603643</v>
      </c>
      <c r="L1652" s="144">
        <f t="shared" ca="1" si="192"/>
        <v>0.63566615247219294</v>
      </c>
      <c r="M1652" s="144">
        <f t="shared" ca="1" si="192"/>
        <v>78.176504018835757</v>
      </c>
      <c r="N1652" s="144">
        <f t="shared" ca="1" si="192"/>
        <v>6.067224161727693</v>
      </c>
      <c r="O1652" s="144">
        <f t="shared" ca="1" si="192"/>
        <v>32.236745960867097</v>
      </c>
      <c r="P1652" s="144">
        <f t="shared" ca="1" si="192"/>
        <v>1</v>
      </c>
      <c r="Q1652" s="144">
        <f t="shared" ca="1" si="192"/>
        <v>0.81188601120402693</v>
      </c>
    </row>
    <row r="1653" spans="1:17" x14ac:dyDescent="0.25">
      <c r="A1653" s="145">
        <v>41117</v>
      </c>
      <c r="B1653" s="144">
        <v>1.2317</v>
      </c>
      <c r="C1653" s="144">
        <v>39.706000000000003</v>
      </c>
      <c r="D1653" s="144">
        <v>7.4729999999999999</v>
      </c>
      <c r="E1653" s="144">
        <v>96.29</v>
      </c>
      <c r="F1653" s="144">
        <v>0.78295000000000003</v>
      </c>
      <c r="G1653" s="144">
        <v>1.2010000000000001</v>
      </c>
      <c r="I1653" s="144">
        <v>1</v>
      </c>
      <c r="J1653" s="145">
        <f t="shared" si="187"/>
        <v>41117</v>
      </c>
      <c r="K1653" s="144">
        <f t="shared" ca="1" si="192"/>
        <v>0.97507509945603643</v>
      </c>
      <c r="L1653" s="144">
        <f t="shared" ca="1" si="192"/>
        <v>0.63566615247219294</v>
      </c>
      <c r="M1653" s="144">
        <f t="shared" ca="1" si="192"/>
        <v>78.176504018835757</v>
      </c>
      <c r="N1653" s="144">
        <f t="shared" ca="1" si="192"/>
        <v>6.067224161727693</v>
      </c>
      <c r="O1653" s="144">
        <f t="shared" ca="1" si="192"/>
        <v>32.236745960867097</v>
      </c>
      <c r="P1653" s="144">
        <f t="shared" ca="1" si="192"/>
        <v>1</v>
      </c>
      <c r="Q1653" s="144">
        <f t="shared" ca="1" si="192"/>
        <v>0.81188601120402693</v>
      </c>
    </row>
    <row r="1654" spans="1:17" x14ac:dyDescent="0.25">
      <c r="A1654" s="145">
        <v>41116</v>
      </c>
      <c r="B1654" s="144">
        <v>1.226</v>
      </c>
      <c r="C1654" s="144">
        <v>39.688000000000002</v>
      </c>
      <c r="D1654" s="144">
        <v>7.399</v>
      </c>
      <c r="E1654" s="144">
        <v>95.79</v>
      </c>
      <c r="F1654" s="144">
        <v>0.78280000000000005</v>
      </c>
      <c r="G1654" s="144">
        <v>1.2010000000000001</v>
      </c>
      <c r="I1654" s="144">
        <v>1</v>
      </c>
      <c r="J1654" s="145">
        <f t="shared" si="187"/>
        <v>41116</v>
      </c>
      <c r="K1654" s="144">
        <f t="shared" ca="1" si="192"/>
        <v>0.97960848287112567</v>
      </c>
      <c r="L1654" s="144">
        <f t="shared" ca="1" si="192"/>
        <v>0.63849918433931485</v>
      </c>
      <c r="M1654" s="144">
        <f t="shared" ca="1" si="192"/>
        <v>78.132137030995111</v>
      </c>
      <c r="N1654" s="144">
        <f t="shared" ca="1" si="192"/>
        <v>6.0350734094616643</v>
      </c>
      <c r="O1654" s="144">
        <f t="shared" ca="1" si="192"/>
        <v>32.371941272430668</v>
      </c>
      <c r="P1654" s="144">
        <f t="shared" ca="1" si="192"/>
        <v>1</v>
      </c>
      <c r="Q1654" s="144">
        <f t="shared" ca="1" si="192"/>
        <v>0.81566068515497558</v>
      </c>
    </row>
    <row r="1655" spans="1:17" x14ac:dyDescent="0.25">
      <c r="A1655" s="145">
        <v>41115</v>
      </c>
      <c r="B1655" s="144">
        <v>1.2134</v>
      </c>
      <c r="C1655" s="144">
        <v>39.729999999999997</v>
      </c>
      <c r="D1655" s="144">
        <v>7.3695000000000004</v>
      </c>
      <c r="E1655" s="144">
        <v>94.97</v>
      </c>
      <c r="F1655" s="144">
        <v>0.78320000000000001</v>
      </c>
      <c r="G1655" s="144">
        <v>1.2010000000000001</v>
      </c>
      <c r="I1655" s="144">
        <v>1</v>
      </c>
      <c r="J1655" s="145">
        <f t="shared" si="187"/>
        <v>41115</v>
      </c>
      <c r="K1655" s="144">
        <f t="shared" ref="K1655:Q1664" ca="1" si="193">OFFSET($A1655,0,K$3)/OFFSET($A1655,0,$P$3)</f>
        <v>0.98978078127575408</v>
      </c>
      <c r="L1655" s="144">
        <f t="shared" ca="1" si="193"/>
        <v>0.64545904071204874</v>
      </c>
      <c r="M1655" s="144">
        <f t="shared" ca="1" si="193"/>
        <v>78.267677600131861</v>
      </c>
      <c r="N1655" s="144">
        <f t="shared" ca="1" si="193"/>
        <v>6.0734300313169607</v>
      </c>
      <c r="O1655" s="144">
        <f t="shared" ca="1" si="193"/>
        <v>32.742706444700836</v>
      </c>
      <c r="P1655" s="144">
        <f t="shared" ca="1" si="193"/>
        <v>1</v>
      </c>
      <c r="Q1655" s="144">
        <f t="shared" ca="1" si="193"/>
        <v>0.82413054227789684</v>
      </c>
    </row>
    <row r="1656" spans="1:17" x14ac:dyDescent="0.25">
      <c r="A1656" s="145">
        <v>41114</v>
      </c>
      <c r="B1656" s="144">
        <v>1.2089000000000001</v>
      </c>
      <c r="C1656" s="144">
        <v>39.624000000000002</v>
      </c>
      <c r="D1656" s="144">
        <v>7.3719999999999999</v>
      </c>
      <c r="E1656" s="144">
        <v>94.63</v>
      </c>
      <c r="F1656" s="144">
        <v>0.77849999999999997</v>
      </c>
      <c r="G1656" s="144">
        <v>1.2010000000000001</v>
      </c>
      <c r="I1656" s="144">
        <v>1</v>
      </c>
      <c r="J1656" s="145">
        <f t="shared" si="187"/>
        <v>41114</v>
      </c>
      <c r="K1656" s="144">
        <f t="shared" ca="1" si="193"/>
        <v>0.99346513359252209</v>
      </c>
      <c r="L1656" s="144">
        <f t="shared" ca="1" si="193"/>
        <v>0.64397386053437</v>
      </c>
      <c r="M1656" s="144">
        <f t="shared" ca="1" si="193"/>
        <v>78.277773182231769</v>
      </c>
      <c r="N1656" s="144">
        <f t="shared" ca="1" si="193"/>
        <v>6.0981057159401102</v>
      </c>
      <c r="O1656" s="144">
        <f t="shared" ca="1" si="193"/>
        <v>32.77690462403838</v>
      </c>
      <c r="P1656" s="144">
        <f t="shared" ca="1" si="193"/>
        <v>1</v>
      </c>
      <c r="Q1656" s="144">
        <f t="shared" ca="1" si="193"/>
        <v>0.82719827942757873</v>
      </c>
    </row>
    <row r="1657" spans="1:17" x14ac:dyDescent="0.25">
      <c r="A1657" s="145">
        <v>41113</v>
      </c>
      <c r="B1657" s="144">
        <v>1.2104999999999999</v>
      </c>
      <c r="C1657" s="144">
        <v>39.491399999999999</v>
      </c>
      <c r="D1657" s="144">
        <v>7.3810000000000002</v>
      </c>
      <c r="E1657" s="144">
        <v>94.72</v>
      </c>
      <c r="F1657" s="144">
        <v>0.77980000000000005</v>
      </c>
      <c r="G1657" s="144">
        <v>1.2010000000000001</v>
      </c>
      <c r="I1657" s="144">
        <v>1</v>
      </c>
      <c r="J1657" s="145">
        <f t="shared" si="187"/>
        <v>41113</v>
      </c>
      <c r="K1657" s="144">
        <f t="shared" ca="1" si="193"/>
        <v>0.99215200330441977</v>
      </c>
      <c r="L1657" s="144">
        <f t="shared" ca="1" si="193"/>
        <v>0.6441966129698472</v>
      </c>
      <c r="M1657" s="144">
        <f t="shared" ca="1" si="193"/>
        <v>78.24865757951261</v>
      </c>
      <c r="N1657" s="144">
        <f t="shared" ca="1" si="193"/>
        <v>6.0974803800082613</v>
      </c>
      <c r="O1657" s="144">
        <f t="shared" ca="1" si="193"/>
        <v>32.624039653035936</v>
      </c>
      <c r="P1657" s="144">
        <f t="shared" ca="1" si="193"/>
        <v>1</v>
      </c>
      <c r="Q1657" s="144">
        <f t="shared" ca="1" si="193"/>
        <v>0.82610491532424624</v>
      </c>
    </row>
    <row r="1658" spans="1:17" x14ac:dyDescent="0.25">
      <c r="A1658" s="145">
        <v>41112</v>
      </c>
      <c r="B1658" s="144">
        <v>1.22</v>
      </c>
      <c r="C1658" s="144">
        <v>39.015999999999998</v>
      </c>
      <c r="D1658" s="144">
        <v>7.423</v>
      </c>
      <c r="E1658" s="144">
        <v>95.86</v>
      </c>
      <c r="F1658" s="144">
        <v>0.77834999999999999</v>
      </c>
      <c r="G1658" s="144">
        <v>1.2009000000000001</v>
      </c>
      <c r="I1658" s="144">
        <v>1</v>
      </c>
      <c r="J1658" s="145">
        <f t="shared" si="187"/>
        <v>41112</v>
      </c>
      <c r="K1658" s="144">
        <f t="shared" ca="1" si="193"/>
        <v>0.9843442622950821</v>
      </c>
      <c r="L1658" s="144">
        <f t="shared" ca="1" si="193"/>
        <v>0.63799180327868854</v>
      </c>
      <c r="M1658" s="144">
        <f t="shared" ca="1" si="193"/>
        <v>78.573770491803273</v>
      </c>
      <c r="N1658" s="144">
        <f t="shared" ca="1" si="193"/>
        <v>6.084426229508197</v>
      </c>
      <c r="O1658" s="144">
        <f t="shared" ca="1" si="193"/>
        <v>31.980327868852459</v>
      </c>
      <c r="P1658" s="144">
        <f t="shared" ca="1" si="193"/>
        <v>1</v>
      </c>
      <c r="Q1658" s="144">
        <f t="shared" ca="1" si="193"/>
        <v>0.81967213114754101</v>
      </c>
    </row>
    <row r="1659" spans="1:17" x14ac:dyDescent="0.25">
      <c r="A1659" s="145">
        <v>41111</v>
      </c>
      <c r="B1659" s="144">
        <v>1.22</v>
      </c>
      <c r="C1659" s="144">
        <v>39.015999999999998</v>
      </c>
      <c r="D1659" s="144">
        <v>7.423</v>
      </c>
      <c r="E1659" s="144">
        <v>95.86</v>
      </c>
      <c r="F1659" s="144">
        <v>0.77834999999999999</v>
      </c>
      <c r="G1659" s="144">
        <v>1.2009000000000001</v>
      </c>
      <c r="I1659" s="144">
        <v>1</v>
      </c>
      <c r="J1659" s="145">
        <f t="shared" si="187"/>
        <v>41111</v>
      </c>
      <c r="K1659" s="144">
        <f t="shared" ca="1" si="193"/>
        <v>0.9843442622950821</v>
      </c>
      <c r="L1659" s="144">
        <f t="shared" ca="1" si="193"/>
        <v>0.63799180327868854</v>
      </c>
      <c r="M1659" s="144">
        <f t="shared" ca="1" si="193"/>
        <v>78.573770491803273</v>
      </c>
      <c r="N1659" s="144">
        <f t="shared" ca="1" si="193"/>
        <v>6.084426229508197</v>
      </c>
      <c r="O1659" s="144">
        <f t="shared" ca="1" si="193"/>
        <v>31.980327868852459</v>
      </c>
      <c r="P1659" s="144">
        <f t="shared" ca="1" si="193"/>
        <v>1</v>
      </c>
      <c r="Q1659" s="144">
        <f t="shared" ca="1" si="193"/>
        <v>0.81967213114754101</v>
      </c>
    </row>
    <row r="1660" spans="1:17" x14ac:dyDescent="0.25">
      <c r="A1660" s="145">
        <v>41110</v>
      </c>
      <c r="B1660" s="144">
        <v>1.22</v>
      </c>
      <c r="C1660" s="144">
        <v>39.015999999999998</v>
      </c>
      <c r="D1660" s="144">
        <v>7.423</v>
      </c>
      <c r="E1660" s="144">
        <v>95.86</v>
      </c>
      <c r="F1660" s="144">
        <v>0.77834999999999999</v>
      </c>
      <c r="G1660" s="144">
        <v>1.2009000000000001</v>
      </c>
      <c r="I1660" s="144">
        <v>1</v>
      </c>
      <c r="J1660" s="145">
        <f t="shared" si="187"/>
        <v>41110</v>
      </c>
      <c r="K1660" s="144">
        <f t="shared" ca="1" si="193"/>
        <v>0.9843442622950821</v>
      </c>
      <c r="L1660" s="144">
        <f t="shared" ca="1" si="193"/>
        <v>0.63799180327868854</v>
      </c>
      <c r="M1660" s="144">
        <f t="shared" ca="1" si="193"/>
        <v>78.573770491803273</v>
      </c>
      <c r="N1660" s="144">
        <f t="shared" ca="1" si="193"/>
        <v>6.084426229508197</v>
      </c>
      <c r="O1660" s="144">
        <f t="shared" ca="1" si="193"/>
        <v>31.980327868852459</v>
      </c>
      <c r="P1660" s="144">
        <f t="shared" ca="1" si="193"/>
        <v>1</v>
      </c>
      <c r="Q1660" s="144">
        <f t="shared" ca="1" si="193"/>
        <v>0.81967213114754101</v>
      </c>
    </row>
    <row r="1661" spans="1:17" x14ac:dyDescent="0.25">
      <c r="A1661" s="145">
        <v>41109</v>
      </c>
      <c r="B1661" s="144">
        <v>1.2286999999999999</v>
      </c>
      <c r="C1661" s="144">
        <v>39.31</v>
      </c>
      <c r="D1661" s="144">
        <v>7.4775</v>
      </c>
      <c r="E1661" s="144">
        <v>96.51</v>
      </c>
      <c r="F1661" s="144">
        <v>0.78300000000000003</v>
      </c>
      <c r="G1661" s="144">
        <v>1.2010000000000001</v>
      </c>
      <c r="I1661" s="144">
        <v>1</v>
      </c>
      <c r="J1661" s="145">
        <f t="shared" si="187"/>
        <v>41109</v>
      </c>
      <c r="K1661" s="144">
        <f t="shared" ca="1" si="193"/>
        <v>0.97745584764385141</v>
      </c>
      <c r="L1661" s="144">
        <f t="shared" ca="1" si="193"/>
        <v>0.63725889151135351</v>
      </c>
      <c r="M1661" s="144">
        <f t="shared" ca="1" si="193"/>
        <v>78.546431187433882</v>
      </c>
      <c r="N1661" s="144">
        <f t="shared" ca="1" si="193"/>
        <v>6.0857003336860105</v>
      </c>
      <c r="O1661" s="144">
        <f t="shared" ca="1" si="193"/>
        <v>31.993163506144711</v>
      </c>
      <c r="P1661" s="144">
        <f t="shared" ca="1" si="193"/>
        <v>1</v>
      </c>
      <c r="Q1661" s="144">
        <f t="shared" ca="1" si="193"/>
        <v>0.81386831610645405</v>
      </c>
    </row>
    <row r="1662" spans="1:17" x14ac:dyDescent="0.25">
      <c r="A1662" s="145">
        <v>41108</v>
      </c>
      <c r="B1662" s="144">
        <v>1.2234</v>
      </c>
      <c r="C1662" s="144">
        <v>39.699100000000001</v>
      </c>
      <c r="D1662" s="144">
        <v>7.4824999999999999</v>
      </c>
      <c r="E1662" s="144">
        <v>96.63</v>
      </c>
      <c r="F1662" s="144">
        <v>0.78400000000000003</v>
      </c>
      <c r="G1662" s="144">
        <v>1.2010000000000001</v>
      </c>
      <c r="I1662" s="144">
        <v>1</v>
      </c>
      <c r="J1662" s="145">
        <f t="shared" si="187"/>
        <v>41108</v>
      </c>
      <c r="K1662" s="144">
        <f t="shared" ca="1" si="193"/>
        <v>0.98169037109694302</v>
      </c>
      <c r="L1662" s="144">
        <f t="shared" ca="1" si="193"/>
        <v>0.64083701160699691</v>
      </c>
      <c r="M1662" s="144">
        <f t="shared" ca="1" si="193"/>
        <v>78.984796468857283</v>
      </c>
      <c r="N1662" s="144">
        <f t="shared" ca="1" si="193"/>
        <v>6.116151708353768</v>
      </c>
      <c r="O1662" s="144">
        <f t="shared" ca="1" si="193"/>
        <v>32.449811999346082</v>
      </c>
      <c r="P1662" s="144">
        <f t="shared" ca="1" si="193"/>
        <v>1</v>
      </c>
      <c r="Q1662" s="144">
        <f t="shared" ca="1" si="193"/>
        <v>0.81739414745790417</v>
      </c>
    </row>
    <row r="1663" spans="1:17" x14ac:dyDescent="0.25">
      <c r="A1663" s="145">
        <v>41107</v>
      </c>
      <c r="B1663" s="144">
        <v>1.2281</v>
      </c>
      <c r="C1663" s="144">
        <v>39.805</v>
      </c>
      <c r="D1663" s="144">
        <v>7.4749999999999996</v>
      </c>
      <c r="E1663" s="144">
        <v>97.14</v>
      </c>
      <c r="F1663" s="144">
        <v>0.78615000000000002</v>
      </c>
      <c r="G1663" s="144">
        <v>1.2010000000000001</v>
      </c>
      <c r="I1663" s="144">
        <v>1</v>
      </c>
      <c r="J1663" s="145">
        <f t="shared" si="187"/>
        <v>41107</v>
      </c>
      <c r="K1663" s="144">
        <f t="shared" ca="1" si="193"/>
        <v>0.977933393046169</v>
      </c>
      <c r="L1663" s="144">
        <f t="shared" ca="1" si="193"/>
        <v>0.64013516814591653</v>
      </c>
      <c r="M1663" s="144">
        <f t="shared" ca="1" si="193"/>
        <v>79.097793339304616</v>
      </c>
      <c r="N1663" s="144">
        <f t="shared" ca="1" si="193"/>
        <v>6.0866378959368133</v>
      </c>
      <c r="O1663" s="144">
        <f t="shared" ca="1" si="193"/>
        <v>32.411855712075564</v>
      </c>
      <c r="P1663" s="144">
        <f t="shared" ca="1" si="193"/>
        <v>1</v>
      </c>
      <c r="Q1663" s="144">
        <f t="shared" ca="1" si="193"/>
        <v>0.81426593925576096</v>
      </c>
    </row>
    <row r="1664" spans="1:17" x14ac:dyDescent="0.25">
      <c r="A1664" s="145">
        <v>41106</v>
      </c>
      <c r="B1664" s="144">
        <v>1.2177</v>
      </c>
      <c r="C1664" s="144">
        <v>39.791600000000003</v>
      </c>
      <c r="D1664" s="144">
        <v>7.4524999999999997</v>
      </c>
      <c r="E1664" s="144">
        <v>96.25</v>
      </c>
      <c r="F1664" s="144">
        <v>0.78439999999999999</v>
      </c>
      <c r="G1664" s="144">
        <v>1.2010000000000001</v>
      </c>
      <c r="I1664" s="144">
        <v>1</v>
      </c>
      <c r="J1664" s="145">
        <f t="shared" si="187"/>
        <v>41106</v>
      </c>
      <c r="K1664" s="144">
        <f t="shared" ca="1" si="193"/>
        <v>0.986285620431962</v>
      </c>
      <c r="L1664" s="144">
        <f t="shared" ca="1" si="193"/>
        <v>0.64416522953108313</v>
      </c>
      <c r="M1664" s="144">
        <f t="shared" ca="1" si="193"/>
        <v>79.04245709123758</v>
      </c>
      <c r="N1664" s="144">
        <f t="shared" ca="1" si="193"/>
        <v>6.1201445347786807</v>
      </c>
      <c r="O1664" s="144">
        <f t="shared" ca="1" si="193"/>
        <v>32.677671019134436</v>
      </c>
      <c r="P1664" s="144">
        <f t="shared" ca="1" si="193"/>
        <v>1</v>
      </c>
      <c r="Q1664" s="144">
        <f t="shared" ca="1" si="193"/>
        <v>0.82122033341545542</v>
      </c>
    </row>
    <row r="1665" spans="1:17" x14ac:dyDescent="0.25">
      <c r="A1665" s="145">
        <v>41105</v>
      </c>
      <c r="B1665" s="144">
        <v>1.2184999999999999</v>
      </c>
      <c r="C1665" s="144">
        <v>39.9148</v>
      </c>
      <c r="D1665" s="144">
        <v>7.4409999999999998</v>
      </c>
      <c r="E1665" s="144">
        <v>96.6</v>
      </c>
      <c r="F1665" s="144">
        <v>0.78749999999999998</v>
      </c>
      <c r="G1665" s="144">
        <v>1.2009000000000001</v>
      </c>
      <c r="I1665" s="144">
        <v>1</v>
      </c>
      <c r="J1665" s="145">
        <f t="shared" si="187"/>
        <v>41105</v>
      </c>
      <c r="K1665" s="144">
        <f t="shared" ref="K1665:Q1674" ca="1" si="194">OFFSET($A1665,0,K$3)/OFFSET($A1665,0,$P$3)</f>
        <v>0.98555601148953642</v>
      </c>
      <c r="L1665" s="144">
        <f t="shared" ca="1" si="194"/>
        <v>0.64628641772671325</v>
      </c>
      <c r="M1665" s="144">
        <f t="shared" ca="1" si="194"/>
        <v>79.277800574476814</v>
      </c>
      <c r="N1665" s="144">
        <f t="shared" ca="1" si="194"/>
        <v>6.1066885514977436</v>
      </c>
      <c r="O1665" s="144">
        <f t="shared" ca="1" si="194"/>
        <v>32.757324579400901</v>
      </c>
      <c r="P1665" s="144">
        <f t="shared" ca="1" si="194"/>
        <v>1</v>
      </c>
      <c r="Q1665" s="144">
        <f t="shared" ca="1" si="194"/>
        <v>0.82068116536725488</v>
      </c>
    </row>
    <row r="1666" spans="1:17" x14ac:dyDescent="0.25">
      <c r="A1666" s="145">
        <v>41104</v>
      </c>
      <c r="B1666" s="144">
        <v>1.2184999999999999</v>
      </c>
      <c r="C1666" s="144">
        <v>39.9148</v>
      </c>
      <c r="D1666" s="144">
        <v>7.4409999999999998</v>
      </c>
      <c r="E1666" s="144">
        <v>96.6</v>
      </c>
      <c r="F1666" s="144">
        <v>0.78749999999999998</v>
      </c>
      <c r="G1666" s="144">
        <v>1.2009000000000001</v>
      </c>
      <c r="I1666" s="144">
        <v>1</v>
      </c>
      <c r="J1666" s="145">
        <f t="shared" si="187"/>
        <v>41104</v>
      </c>
      <c r="K1666" s="144">
        <f t="shared" ca="1" si="194"/>
        <v>0.98555601148953642</v>
      </c>
      <c r="L1666" s="144">
        <f t="shared" ca="1" si="194"/>
        <v>0.64628641772671325</v>
      </c>
      <c r="M1666" s="144">
        <f t="shared" ca="1" si="194"/>
        <v>79.277800574476814</v>
      </c>
      <c r="N1666" s="144">
        <f t="shared" ca="1" si="194"/>
        <v>6.1066885514977436</v>
      </c>
      <c r="O1666" s="144">
        <f t="shared" ca="1" si="194"/>
        <v>32.757324579400901</v>
      </c>
      <c r="P1666" s="144">
        <f t="shared" ca="1" si="194"/>
        <v>1</v>
      </c>
      <c r="Q1666" s="144">
        <f t="shared" ca="1" si="194"/>
        <v>0.82068116536725488</v>
      </c>
    </row>
    <row r="1667" spans="1:17" x14ac:dyDescent="0.25">
      <c r="A1667" s="145">
        <v>41103</v>
      </c>
      <c r="B1667" s="144">
        <v>1.2184999999999999</v>
      </c>
      <c r="C1667" s="144">
        <v>39.9148</v>
      </c>
      <c r="D1667" s="144">
        <v>7.4409999999999998</v>
      </c>
      <c r="E1667" s="144">
        <v>96.6</v>
      </c>
      <c r="F1667" s="144">
        <v>0.78749999999999998</v>
      </c>
      <c r="G1667" s="144">
        <v>1.2009000000000001</v>
      </c>
      <c r="I1667" s="144">
        <v>1</v>
      </c>
      <c r="J1667" s="145">
        <f t="shared" si="187"/>
        <v>41103</v>
      </c>
      <c r="K1667" s="144">
        <f t="shared" ca="1" si="194"/>
        <v>0.98555601148953642</v>
      </c>
      <c r="L1667" s="144">
        <f t="shared" ca="1" si="194"/>
        <v>0.64628641772671325</v>
      </c>
      <c r="M1667" s="144">
        <f t="shared" ca="1" si="194"/>
        <v>79.277800574476814</v>
      </c>
      <c r="N1667" s="144">
        <f t="shared" ca="1" si="194"/>
        <v>6.1066885514977436</v>
      </c>
      <c r="O1667" s="144">
        <f t="shared" ca="1" si="194"/>
        <v>32.757324579400901</v>
      </c>
      <c r="P1667" s="144">
        <f t="shared" ca="1" si="194"/>
        <v>1</v>
      </c>
      <c r="Q1667" s="144">
        <f t="shared" ca="1" si="194"/>
        <v>0.82068116536725488</v>
      </c>
    </row>
    <row r="1668" spans="1:17" x14ac:dyDescent="0.25">
      <c r="A1668" s="145">
        <v>41102</v>
      </c>
      <c r="B1668" s="144">
        <v>1.2178</v>
      </c>
      <c r="C1668" s="144">
        <v>39.874000000000002</v>
      </c>
      <c r="D1668" s="144">
        <v>7.4710000000000001</v>
      </c>
      <c r="E1668" s="144">
        <v>96.63</v>
      </c>
      <c r="F1668" s="144">
        <v>0.78859999999999997</v>
      </c>
      <c r="G1668" s="144">
        <v>1.2010000000000001</v>
      </c>
      <c r="I1668" s="144">
        <v>1</v>
      </c>
      <c r="J1668" s="145">
        <f t="shared" si="187"/>
        <v>41102</v>
      </c>
      <c r="K1668" s="144">
        <f t="shared" ca="1" si="194"/>
        <v>0.98620463130234859</v>
      </c>
      <c r="L1668" s="144">
        <f t="shared" ca="1" si="194"/>
        <v>0.64756117589095086</v>
      </c>
      <c r="M1668" s="144">
        <f t="shared" ca="1" si="194"/>
        <v>79.348004598456228</v>
      </c>
      <c r="N1668" s="144">
        <f t="shared" ca="1" si="194"/>
        <v>6.1348333059615703</v>
      </c>
      <c r="O1668" s="144">
        <f t="shared" ca="1" si="194"/>
        <v>32.74265068155691</v>
      </c>
      <c r="P1668" s="144">
        <f t="shared" ca="1" si="194"/>
        <v>1</v>
      </c>
      <c r="Q1668" s="144">
        <f t="shared" ca="1" si="194"/>
        <v>0.82115289866973229</v>
      </c>
    </row>
    <row r="1669" spans="1:17" x14ac:dyDescent="0.25">
      <c r="A1669" s="145">
        <v>41101</v>
      </c>
      <c r="B1669" s="144">
        <v>1.226</v>
      </c>
      <c r="C1669" s="144">
        <v>40.234099999999998</v>
      </c>
      <c r="D1669" s="144">
        <v>7.4744999999999999</v>
      </c>
      <c r="E1669" s="144">
        <v>97.14</v>
      </c>
      <c r="F1669" s="144">
        <v>0.78815000000000002</v>
      </c>
      <c r="G1669" s="144">
        <v>1.2010000000000001</v>
      </c>
      <c r="I1669" s="144">
        <v>1</v>
      </c>
      <c r="J1669" s="145">
        <f t="shared" ref="J1669:J1732" si="195">A1669</f>
        <v>41101</v>
      </c>
      <c r="K1669" s="144">
        <f t="shared" ca="1" si="194"/>
        <v>0.97960848287112567</v>
      </c>
      <c r="L1669" s="144">
        <f t="shared" ca="1" si="194"/>
        <v>0.64286296900489404</v>
      </c>
      <c r="M1669" s="144">
        <f t="shared" ca="1" si="194"/>
        <v>79.233278955954319</v>
      </c>
      <c r="N1669" s="144">
        <f t="shared" ca="1" si="194"/>
        <v>6.096655791190865</v>
      </c>
      <c r="O1669" s="144">
        <f t="shared" ca="1" si="194"/>
        <v>32.817373572593802</v>
      </c>
      <c r="P1669" s="144">
        <f t="shared" ca="1" si="194"/>
        <v>1</v>
      </c>
      <c r="Q1669" s="144">
        <f t="shared" ca="1" si="194"/>
        <v>0.81566068515497558</v>
      </c>
    </row>
    <row r="1670" spans="1:17" x14ac:dyDescent="0.25">
      <c r="A1670" s="145">
        <v>41100</v>
      </c>
      <c r="B1670" s="144">
        <v>1.2284999999999999</v>
      </c>
      <c r="C1670" s="144">
        <v>40.340499999999999</v>
      </c>
      <c r="D1670" s="144">
        <v>7.4865000000000004</v>
      </c>
      <c r="E1670" s="144">
        <v>97.64</v>
      </c>
      <c r="F1670" s="144">
        <v>0.79210000000000003</v>
      </c>
      <c r="G1670" s="144">
        <v>1.2010000000000001</v>
      </c>
      <c r="I1670" s="144">
        <v>1</v>
      </c>
      <c r="J1670" s="145">
        <f t="shared" si="195"/>
        <v>41100</v>
      </c>
      <c r="K1670" s="144">
        <f t="shared" ca="1" si="194"/>
        <v>0.97761497761497773</v>
      </c>
      <c r="L1670" s="144">
        <f t="shared" ca="1" si="194"/>
        <v>0.64477004477004485</v>
      </c>
      <c r="M1670" s="144">
        <f t="shared" ca="1" si="194"/>
        <v>79.479039479039486</v>
      </c>
      <c r="N1670" s="144">
        <f t="shared" ca="1" si="194"/>
        <v>6.0940170940170946</v>
      </c>
      <c r="O1670" s="144">
        <f t="shared" ca="1" si="194"/>
        <v>32.83719983719984</v>
      </c>
      <c r="P1670" s="144">
        <f t="shared" ca="1" si="194"/>
        <v>1</v>
      </c>
      <c r="Q1670" s="144">
        <f t="shared" ca="1" si="194"/>
        <v>0.81400081400081403</v>
      </c>
    </row>
    <row r="1671" spans="1:17" x14ac:dyDescent="0.25">
      <c r="A1671" s="145">
        <v>41099</v>
      </c>
      <c r="B1671" s="144">
        <v>1.2293000000000001</v>
      </c>
      <c r="C1671" s="144">
        <v>40.606999999999999</v>
      </c>
      <c r="D1671" s="144">
        <v>7.4965000000000002</v>
      </c>
      <c r="E1671" s="144">
        <v>97.81</v>
      </c>
      <c r="F1671" s="144">
        <v>0.79359999999999997</v>
      </c>
      <c r="G1671" s="144">
        <v>1.2010000000000001</v>
      </c>
      <c r="I1671" s="144">
        <v>1</v>
      </c>
      <c r="J1671" s="145">
        <f t="shared" si="195"/>
        <v>41099</v>
      </c>
      <c r="K1671" s="144">
        <f t="shared" ca="1" si="194"/>
        <v>0.97697876840478326</v>
      </c>
      <c r="L1671" s="144">
        <f t="shared" ca="1" si="194"/>
        <v>0.64557064996339375</v>
      </c>
      <c r="M1671" s="144">
        <f t="shared" ca="1" si="194"/>
        <v>79.565606442690964</v>
      </c>
      <c r="N1671" s="144">
        <f t="shared" ca="1" si="194"/>
        <v>6.0981859594891397</v>
      </c>
      <c r="O1671" s="144">
        <f t="shared" ca="1" si="194"/>
        <v>33.032620190352233</v>
      </c>
      <c r="P1671" s="144">
        <f t="shared" ca="1" si="194"/>
        <v>1</v>
      </c>
      <c r="Q1671" s="144">
        <f t="shared" ca="1" si="194"/>
        <v>0.81347108110306676</v>
      </c>
    </row>
    <row r="1672" spans="1:17" x14ac:dyDescent="0.25">
      <c r="A1672" s="145">
        <v>41098</v>
      </c>
      <c r="B1672" s="144">
        <v>1.2377</v>
      </c>
      <c r="C1672" s="144">
        <v>40.438000000000002</v>
      </c>
      <c r="D1672" s="144">
        <v>7.5190000000000001</v>
      </c>
      <c r="E1672" s="144">
        <v>98.87</v>
      </c>
      <c r="F1672" s="144">
        <v>0.79649999999999999</v>
      </c>
      <c r="G1672" s="144">
        <v>1.2011000000000001</v>
      </c>
      <c r="I1672" s="144">
        <v>1</v>
      </c>
      <c r="J1672" s="145">
        <f t="shared" si="195"/>
        <v>41098</v>
      </c>
      <c r="K1672" s="144">
        <f t="shared" ca="1" si="194"/>
        <v>0.97042902157227118</v>
      </c>
      <c r="L1672" s="144">
        <f t="shared" ca="1" si="194"/>
        <v>0.64353235840672207</v>
      </c>
      <c r="M1672" s="144">
        <f t="shared" ca="1" si="194"/>
        <v>79.882039266381199</v>
      </c>
      <c r="N1672" s="144">
        <f t="shared" ca="1" si="194"/>
        <v>6.0749777813686681</v>
      </c>
      <c r="O1672" s="144">
        <f t="shared" ca="1" si="194"/>
        <v>32.671891411489057</v>
      </c>
      <c r="P1672" s="144">
        <f t="shared" ca="1" si="194"/>
        <v>1</v>
      </c>
      <c r="Q1672" s="144">
        <f t="shared" ca="1" si="194"/>
        <v>0.80795023026581558</v>
      </c>
    </row>
    <row r="1673" spans="1:17" x14ac:dyDescent="0.25">
      <c r="A1673" s="145">
        <v>41097</v>
      </c>
      <c r="B1673" s="144">
        <v>1.2377</v>
      </c>
      <c r="C1673" s="144">
        <v>40.438000000000002</v>
      </c>
      <c r="D1673" s="144">
        <v>7.5190000000000001</v>
      </c>
      <c r="E1673" s="144">
        <v>98.87</v>
      </c>
      <c r="F1673" s="144">
        <v>0.79649999999999999</v>
      </c>
      <c r="G1673" s="144">
        <v>1.2011000000000001</v>
      </c>
      <c r="I1673" s="144">
        <v>1</v>
      </c>
      <c r="J1673" s="145">
        <f t="shared" si="195"/>
        <v>41097</v>
      </c>
      <c r="K1673" s="144">
        <f t="shared" ca="1" si="194"/>
        <v>0.97042902157227118</v>
      </c>
      <c r="L1673" s="144">
        <f t="shared" ca="1" si="194"/>
        <v>0.64353235840672207</v>
      </c>
      <c r="M1673" s="144">
        <f t="shared" ca="1" si="194"/>
        <v>79.882039266381199</v>
      </c>
      <c r="N1673" s="144">
        <f t="shared" ca="1" si="194"/>
        <v>6.0749777813686681</v>
      </c>
      <c r="O1673" s="144">
        <f t="shared" ca="1" si="194"/>
        <v>32.671891411489057</v>
      </c>
      <c r="P1673" s="144">
        <f t="shared" ca="1" si="194"/>
        <v>1</v>
      </c>
      <c r="Q1673" s="144">
        <f t="shared" ca="1" si="194"/>
        <v>0.80795023026581558</v>
      </c>
    </row>
    <row r="1674" spans="1:17" x14ac:dyDescent="0.25">
      <c r="A1674" s="145">
        <v>41096</v>
      </c>
      <c r="B1674" s="144">
        <v>1.2377</v>
      </c>
      <c r="C1674" s="144">
        <v>40.438000000000002</v>
      </c>
      <c r="D1674" s="144">
        <v>7.5190000000000001</v>
      </c>
      <c r="E1674" s="144">
        <v>98.87</v>
      </c>
      <c r="F1674" s="144">
        <v>0.79649999999999999</v>
      </c>
      <c r="G1674" s="144">
        <v>1.2011000000000001</v>
      </c>
      <c r="I1674" s="144">
        <v>1</v>
      </c>
      <c r="J1674" s="145">
        <f t="shared" si="195"/>
        <v>41096</v>
      </c>
      <c r="K1674" s="144">
        <f t="shared" ca="1" si="194"/>
        <v>0.97042902157227118</v>
      </c>
      <c r="L1674" s="144">
        <f t="shared" ca="1" si="194"/>
        <v>0.64353235840672207</v>
      </c>
      <c r="M1674" s="144">
        <f t="shared" ca="1" si="194"/>
        <v>79.882039266381199</v>
      </c>
      <c r="N1674" s="144">
        <f t="shared" ca="1" si="194"/>
        <v>6.0749777813686681</v>
      </c>
      <c r="O1674" s="144">
        <f t="shared" ca="1" si="194"/>
        <v>32.671891411489057</v>
      </c>
      <c r="P1674" s="144">
        <f t="shared" ca="1" si="194"/>
        <v>1</v>
      </c>
      <c r="Q1674" s="144">
        <f t="shared" ca="1" si="194"/>
        <v>0.80795023026581558</v>
      </c>
    </row>
    <row r="1675" spans="1:17" x14ac:dyDescent="0.25">
      <c r="A1675" s="145">
        <v>41095</v>
      </c>
      <c r="B1675" s="144">
        <v>1.2425999999999999</v>
      </c>
      <c r="C1675" s="144">
        <v>40.350999999999999</v>
      </c>
      <c r="D1675" s="144">
        <v>7.476</v>
      </c>
      <c r="E1675" s="144">
        <v>99.14</v>
      </c>
      <c r="F1675" s="144">
        <v>0.7984</v>
      </c>
      <c r="G1675" s="144">
        <v>1.2012</v>
      </c>
      <c r="I1675" s="144">
        <v>1</v>
      </c>
      <c r="J1675" s="145">
        <f t="shared" si="195"/>
        <v>41095</v>
      </c>
      <c r="K1675" s="144">
        <f t="shared" ref="K1675:Q1684" ca="1" si="196">OFFSET($A1675,0,K$3)/OFFSET($A1675,0,$P$3)</f>
        <v>0.96668276195074854</v>
      </c>
      <c r="L1675" s="144">
        <f t="shared" ca="1" si="196"/>
        <v>0.64252374054402062</v>
      </c>
      <c r="M1675" s="144">
        <f t="shared" ca="1" si="196"/>
        <v>79.784323193304374</v>
      </c>
      <c r="N1675" s="144">
        <f t="shared" ca="1" si="196"/>
        <v>6.0164171897633993</v>
      </c>
      <c r="O1675" s="144">
        <f t="shared" ca="1" si="196"/>
        <v>32.473040399163047</v>
      </c>
      <c r="P1675" s="144">
        <f t="shared" ca="1" si="196"/>
        <v>1</v>
      </c>
      <c r="Q1675" s="144">
        <f t="shared" ca="1" si="196"/>
        <v>0.80476420408820215</v>
      </c>
    </row>
    <row r="1676" spans="1:17" x14ac:dyDescent="0.25">
      <c r="A1676" s="145">
        <v>41094</v>
      </c>
      <c r="B1676" s="144">
        <v>1.256</v>
      </c>
      <c r="C1676" s="144">
        <v>40.553400000000003</v>
      </c>
      <c r="D1676" s="144">
        <v>7.5164999999999997</v>
      </c>
      <c r="E1676" s="144">
        <v>100.28</v>
      </c>
      <c r="F1676" s="144">
        <v>0.80320000000000003</v>
      </c>
      <c r="G1676" s="144">
        <v>1.2013</v>
      </c>
      <c r="I1676" s="144">
        <v>1</v>
      </c>
      <c r="J1676" s="145">
        <f t="shared" si="195"/>
        <v>41094</v>
      </c>
      <c r="K1676" s="144">
        <f t="shared" ca="1" si="196"/>
        <v>0.95644904458598723</v>
      </c>
      <c r="L1676" s="144">
        <f t="shared" ca="1" si="196"/>
        <v>0.63949044585987258</v>
      </c>
      <c r="M1676" s="144">
        <f t="shared" ca="1" si="196"/>
        <v>79.840764331210195</v>
      </c>
      <c r="N1676" s="144">
        <f t="shared" ca="1" si="196"/>
        <v>5.9844745222929934</v>
      </c>
      <c r="O1676" s="144">
        <f t="shared" ca="1" si="196"/>
        <v>32.287738853503186</v>
      </c>
      <c r="P1676" s="144">
        <f t="shared" ca="1" si="196"/>
        <v>1</v>
      </c>
      <c r="Q1676" s="144">
        <f t="shared" ca="1" si="196"/>
        <v>0.79617834394904463</v>
      </c>
    </row>
    <row r="1677" spans="1:17" x14ac:dyDescent="0.25">
      <c r="A1677" s="145">
        <v>41093</v>
      </c>
      <c r="B1677" s="144">
        <v>1.2575000000000001</v>
      </c>
      <c r="C1677" s="144">
        <v>40.704999999999998</v>
      </c>
      <c r="D1677" s="144">
        <v>7.5194999999999999</v>
      </c>
      <c r="E1677" s="144">
        <v>100.26</v>
      </c>
      <c r="F1677" s="144">
        <v>0.80274999999999996</v>
      </c>
      <c r="G1677" s="144">
        <v>1.2012</v>
      </c>
      <c r="I1677" s="144">
        <v>1</v>
      </c>
      <c r="J1677" s="145">
        <f t="shared" si="195"/>
        <v>41093</v>
      </c>
      <c r="K1677" s="144">
        <f t="shared" ca="1" si="196"/>
        <v>0.95522862823061627</v>
      </c>
      <c r="L1677" s="144">
        <f t="shared" ca="1" si="196"/>
        <v>0.63836978131212718</v>
      </c>
      <c r="M1677" s="144">
        <f t="shared" ca="1" si="196"/>
        <v>79.729622266401591</v>
      </c>
      <c r="N1677" s="144">
        <f t="shared" ca="1" si="196"/>
        <v>5.979721669980119</v>
      </c>
      <c r="O1677" s="144">
        <f t="shared" ca="1" si="196"/>
        <v>32.36978131212723</v>
      </c>
      <c r="P1677" s="144">
        <f t="shared" ca="1" si="196"/>
        <v>1</v>
      </c>
      <c r="Q1677" s="144">
        <f t="shared" ca="1" si="196"/>
        <v>0.79522862823061624</v>
      </c>
    </row>
    <row r="1678" spans="1:17" x14ac:dyDescent="0.25">
      <c r="A1678" s="145">
        <v>41092</v>
      </c>
      <c r="B1678" s="144">
        <v>1.2593000000000001</v>
      </c>
      <c r="C1678" s="144">
        <v>41.052700000000002</v>
      </c>
      <c r="D1678" s="144">
        <v>7.5255000000000001</v>
      </c>
      <c r="E1678" s="144">
        <v>100.51</v>
      </c>
      <c r="F1678" s="144">
        <v>0.80410000000000004</v>
      </c>
      <c r="G1678" s="144">
        <v>1.2015</v>
      </c>
      <c r="I1678" s="144">
        <v>1</v>
      </c>
      <c r="J1678" s="145">
        <f t="shared" si="195"/>
        <v>41092</v>
      </c>
      <c r="K1678" s="144">
        <f t="shared" ca="1" si="196"/>
        <v>0.95410148495195735</v>
      </c>
      <c r="L1678" s="144">
        <f t="shared" ca="1" si="196"/>
        <v>0.63852934169776854</v>
      </c>
      <c r="M1678" s="144">
        <f t="shared" ca="1" si="196"/>
        <v>79.814182482331447</v>
      </c>
      <c r="N1678" s="144">
        <f t="shared" ca="1" si="196"/>
        <v>5.9759390137377908</v>
      </c>
      <c r="O1678" s="144">
        <f t="shared" ca="1" si="196"/>
        <v>32.599618835861193</v>
      </c>
      <c r="P1678" s="144">
        <f t="shared" ca="1" si="196"/>
        <v>1</v>
      </c>
      <c r="Q1678" s="144">
        <f t="shared" ca="1" si="196"/>
        <v>0.79409195584848724</v>
      </c>
    </row>
    <row r="1679" spans="1:17" x14ac:dyDescent="0.25">
      <c r="A1679" s="145">
        <v>41091</v>
      </c>
      <c r="B1679" s="144">
        <v>1.2589999999999999</v>
      </c>
      <c r="C1679" s="144">
        <v>41.37</v>
      </c>
      <c r="D1679" s="144">
        <v>7.5330000000000004</v>
      </c>
      <c r="E1679" s="144">
        <v>100.13</v>
      </c>
      <c r="F1679" s="144">
        <v>0.80679999999999996</v>
      </c>
      <c r="G1679" s="144">
        <v>1.2030000000000001</v>
      </c>
      <c r="I1679" s="144">
        <v>1</v>
      </c>
      <c r="J1679" s="145">
        <f t="shared" si="195"/>
        <v>41091</v>
      </c>
      <c r="K1679" s="144">
        <f t="shared" ca="1" si="196"/>
        <v>0.95552025416997632</v>
      </c>
      <c r="L1679" s="144">
        <f t="shared" ca="1" si="196"/>
        <v>0.64082605242255763</v>
      </c>
      <c r="M1679" s="144">
        <f t="shared" ca="1" si="196"/>
        <v>79.531374106433674</v>
      </c>
      <c r="N1679" s="144">
        <f t="shared" ca="1" si="196"/>
        <v>5.9833200953137418</v>
      </c>
      <c r="O1679" s="144">
        <f t="shared" ca="1" si="196"/>
        <v>32.859412231930101</v>
      </c>
      <c r="P1679" s="144">
        <f t="shared" ca="1" si="196"/>
        <v>1</v>
      </c>
      <c r="Q1679" s="144">
        <f t="shared" ca="1" si="196"/>
        <v>0.79428117553613986</v>
      </c>
    </row>
    <row r="1680" spans="1:17" x14ac:dyDescent="0.25">
      <c r="A1680" s="145">
        <v>41090</v>
      </c>
      <c r="B1680" s="144">
        <v>1.2589999999999999</v>
      </c>
      <c r="C1680" s="144">
        <v>41.37</v>
      </c>
      <c r="D1680" s="144">
        <v>7.5330000000000004</v>
      </c>
      <c r="E1680" s="144">
        <v>100.13</v>
      </c>
      <c r="F1680" s="144">
        <v>0.80679999999999996</v>
      </c>
      <c r="G1680" s="144">
        <v>1.2030000000000001</v>
      </c>
      <c r="I1680" s="144">
        <v>1</v>
      </c>
      <c r="J1680" s="145">
        <f t="shared" si="195"/>
        <v>41090</v>
      </c>
      <c r="K1680" s="144">
        <f t="shared" ca="1" si="196"/>
        <v>0.95552025416997632</v>
      </c>
      <c r="L1680" s="144">
        <f t="shared" ca="1" si="196"/>
        <v>0.64082605242255763</v>
      </c>
      <c r="M1680" s="144">
        <f t="shared" ca="1" si="196"/>
        <v>79.531374106433674</v>
      </c>
      <c r="N1680" s="144">
        <f t="shared" ca="1" si="196"/>
        <v>5.9833200953137418</v>
      </c>
      <c r="O1680" s="144">
        <f t="shared" ca="1" si="196"/>
        <v>32.859412231930101</v>
      </c>
      <c r="P1680" s="144">
        <f t="shared" ca="1" si="196"/>
        <v>1</v>
      </c>
      <c r="Q1680" s="144">
        <f t="shared" ca="1" si="196"/>
        <v>0.79428117553613986</v>
      </c>
    </row>
    <row r="1681" spans="1:17" x14ac:dyDescent="0.25">
      <c r="A1681" s="145">
        <v>41089</v>
      </c>
      <c r="B1681" s="144">
        <v>1.2589999999999999</v>
      </c>
      <c r="C1681" s="144">
        <v>41.37</v>
      </c>
      <c r="D1681" s="144">
        <v>7.5330000000000004</v>
      </c>
      <c r="E1681" s="144">
        <v>100.13</v>
      </c>
      <c r="F1681" s="144">
        <v>0.80679999999999996</v>
      </c>
      <c r="G1681" s="144">
        <v>1.2030000000000001</v>
      </c>
      <c r="I1681" s="144">
        <v>1</v>
      </c>
      <c r="J1681" s="145">
        <f t="shared" si="195"/>
        <v>41089</v>
      </c>
      <c r="K1681" s="144">
        <f t="shared" ca="1" si="196"/>
        <v>0.95552025416997632</v>
      </c>
      <c r="L1681" s="144">
        <f t="shared" ca="1" si="196"/>
        <v>0.64082605242255763</v>
      </c>
      <c r="M1681" s="144">
        <f t="shared" ca="1" si="196"/>
        <v>79.531374106433674</v>
      </c>
      <c r="N1681" s="144">
        <f t="shared" ca="1" si="196"/>
        <v>5.9833200953137418</v>
      </c>
      <c r="O1681" s="144">
        <f t="shared" ca="1" si="196"/>
        <v>32.859412231930101</v>
      </c>
      <c r="P1681" s="144">
        <f t="shared" ca="1" si="196"/>
        <v>1</v>
      </c>
      <c r="Q1681" s="144">
        <f t="shared" ca="1" si="196"/>
        <v>0.79428117553613986</v>
      </c>
    </row>
    <row r="1682" spans="1:17" x14ac:dyDescent="0.25">
      <c r="A1682" s="145">
        <v>41088</v>
      </c>
      <c r="B1682" s="144">
        <v>1.2418</v>
      </c>
      <c r="C1682" s="144">
        <v>41.143000000000001</v>
      </c>
      <c r="D1682" s="144">
        <v>7.5465</v>
      </c>
      <c r="E1682" s="144">
        <v>98.6</v>
      </c>
      <c r="F1682" s="144">
        <v>0.79884999999999995</v>
      </c>
      <c r="G1682" s="144">
        <v>1.2010000000000001</v>
      </c>
      <c r="I1682" s="144">
        <v>1</v>
      </c>
      <c r="J1682" s="145">
        <f t="shared" si="195"/>
        <v>41088</v>
      </c>
      <c r="K1682" s="144">
        <f t="shared" ca="1" si="196"/>
        <v>0.96714446770816564</v>
      </c>
      <c r="L1682" s="144">
        <f t="shared" ca="1" si="196"/>
        <v>0.64330004831695919</v>
      </c>
      <c r="M1682" s="144">
        <f t="shared" ca="1" si="196"/>
        <v>79.400869705266544</v>
      </c>
      <c r="N1682" s="144">
        <f t="shared" ca="1" si="196"/>
        <v>6.0770655500080526</v>
      </c>
      <c r="O1682" s="144">
        <f t="shared" ca="1" si="196"/>
        <v>33.131744242229026</v>
      </c>
      <c r="P1682" s="144">
        <f t="shared" ca="1" si="196"/>
        <v>1</v>
      </c>
      <c r="Q1682" s="144">
        <f t="shared" ca="1" si="196"/>
        <v>0.80528265421162826</v>
      </c>
    </row>
    <row r="1683" spans="1:17" x14ac:dyDescent="0.25">
      <c r="A1683" s="145">
        <v>41087</v>
      </c>
      <c r="B1683" s="144">
        <v>1.2478</v>
      </c>
      <c r="C1683" s="144">
        <v>41.1252</v>
      </c>
      <c r="D1683" s="144">
        <v>7.5229999999999997</v>
      </c>
      <c r="E1683" s="144">
        <v>99.49</v>
      </c>
      <c r="F1683" s="144">
        <v>0.79990000000000006</v>
      </c>
      <c r="G1683" s="144">
        <v>1.2011000000000001</v>
      </c>
      <c r="I1683" s="144">
        <v>1</v>
      </c>
      <c r="J1683" s="145">
        <f t="shared" si="195"/>
        <v>41087</v>
      </c>
      <c r="K1683" s="144">
        <f t="shared" ca="1" si="196"/>
        <v>0.96257413046962659</v>
      </c>
      <c r="L1683" s="144">
        <f t="shared" ca="1" si="196"/>
        <v>0.64104824491104351</v>
      </c>
      <c r="M1683" s="144">
        <f t="shared" ca="1" si="196"/>
        <v>79.732328898861994</v>
      </c>
      <c r="N1683" s="144">
        <f t="shared" ca="1" si="196"/>
        <v>6.0290110594646578</v>
      </c>
      <c r="O1683" s="144">
        <f t="shared" ca="1" si="196"/>
        <v>32.958166372816159</v>
      </c>
      <c r="P1683" s="144">
        <f t="shared" ca="1" si="196"/>
        <v>1</v>
      </c>
      <c r="Q1683" s="144">
        <f t="shared" ca="1" si="196"/>
        <v>0.8014104824491104</v>
      </c>
    </row>
    <row r="1684" spans="1:17" x14ac:dyDescent="0.25">
      <c r="A1684" s="145">
        <v>41086</v>
      </c>
      <c r="B1684" s="144">
        <v>1.2475000000000001</v>
      </c>
      <c r="C1684" s="144">
        <v>41.22</v>
      </c>
      <c r="D1684" s="144">
        <v>7.4995000000000003</v>
      </c>
      <c r="E1684" s="144">
        <v>98.97</v>
      </c>
      <c r="F1684" s="144">
        <v>0.79959999999999998</v>
      </c>
      <c r="G1684" s="144">
        <v>1.2010000000000001</v>
      </c>
      <c r="I1684" s="144">
        <v>1</v>
      </c>
      <c r="J1684" s="145">
        <f t="shared" si="195"/>
        <v>41086</v>
      </c>
      <c r="K1684" s="144">
        <f t="shared" ca="1" si="196"/>
        <v>0.96272545090180361</v>
      </c>
      <c r="L1684" s="144">
        <f t="shared" ca="1" si="196"/>
        <v>0.64096192384769535</v>
      </c>
      <c r="M1684" s="144">
        <f t="shared" ca="1" si="196"/>
        <v>79.334669338677344</v>
      </c>
      <c r="N1684" s="144">
        <f t="shared" ca="1" si="196"/>
        <v>6.0116232464929862</v>
      </c>
      <c r="O1684" s="144">
        <f t="shared" ca="1" si="196"/>
        <v>33.042084168336672</v>
      </c>
      <c r="P1684" s="144">
        <f t="shared" ca="1" si="196"/>
        <v>1</v>
      </c>
      <c r="Q1684" s="144">
        <f t="shared" ca="1" si="196"/>
        <v>0.80160320641282556</v>
      </c>
    </row>
    <row r="1685" spans="1:17" x14ac:dyDescent="0.25">
      <c r="A1685" s="145">
        <v>41085</v>
      </c>
      <c r="B1685" s="144">
        <v>1.2487999999999999</v>
      </c>
      <c r="C1685" s="144">
        <v>41.47</v>
      </c>
      <c r="D1685" s="144">
        <v>7.4980000000000002</v>
      </c>
      <c r="E1685" s="144">
        <v>99.57</v>
      </c>
      <c r="F1685" s="144">
        <v>0.80284999999999995</v>
      </c>
      <c r="G1685" s="144">
        <v>1.2008000000000001</v>
      </c>
      <c r="I1685" s="144">
        <v>1</v>
      </c>
      <c r="J1685" s="145">
        <f t="shared" si="195"/>
        <v>41085</v>
      </c>
      <c r="K1685" s="144">
        <f t="shared" ref="K1685:Q1694" ca="1" si="197">OFFSET($A1685,0,K$3)/OFFSET($A1685,0,$P$3)</f>
        <v>0.96156310057655359</v>
      </c>
      <c r="L1685" s="144">
        <f t="shared" ca="1" si="197"/>
        <v>0.64289718129404227</v>
      </c>
      <c r="M1685" s="144">
        <f t="shared" ca="1" si="197"/>
        <v>79.732543241511848</v>
      </c>
      <c r="N1685" s="144">
        <f t="shared" ca="1" si="197"/>
        <v>6.0041639974375407</v>
      </c>
      <c r="O1685" s="144">
        <f t="shared" ca="1" si="197"/>
        <v>33.207879564381805</v>
      </c>
      <c r="P1685" s="144">
        <f t="shared" ca="1" si="197"/>
        <v>1</v>
      </c>
      <c r="Q1685" s="144">
        <f t="shared" ca="1" si="197"/>
        <v>0.80076873798846904</v>
      </c>
    </row>
    <row r="1686" spans="1:17" x14ac:dyDescent="0.25">
      <c r="A1686" s="145">
        <v>41084</v>
      </c>
      <c r="B1686" s="144">
        <v>1.2539</v>
      </c>
      <c r="C1686" s="144">
        <v>41.704999999999998</v>
      </c>
      <c r="D1686" s="144">
        <v>7.4865000000000004</v>
      </c>
      <c r="E1686" s="144">
        <v>100.68</v>
      </c>
      <c r="F1686" s="144">
        <v>0.80420000000000003</v>
      </c>
      <c r="G1686" s="144">
        <v>1.2009000000000001</v>
      </c>
      <c r="I1686" s="144">
        <v>1</v>
      </c>
      <c r="J1686" s="145">
        <f t="shared" si="195"/>
        <v>41084</v>
      </c>
      <c r="K1686" s="144">
        <f t="shared" ca="1" si="197"/>
        <v>0.95773187654517911</v>
      </c>
      <c r="L1686" s="144">
        <f t="shared" ca="1" si="197"/>
        <v>0.64135896004466064</v>
      </c>
      <c r="M1686" s="144">
        <f t="shared" ca="1" si="197"/>
        <v>80.293484328893854</v>
      </c>
      <c r="N1686" s="144">
        <f t="shared" ca="1" si="197"/>
        <v>5.9705718159342851</v>
      </c>
      <c r="O1686" s="144">
        <f t="shared" ca="1" si="197"/>
        <v>33.2602280883643</v>
      </c>
      <c r="P1686" s="144">
        <f t="shared" ca="1" si="197"/>
        <v>1</v>
      </c>
      <c r="Q1686" s="144">
        <f t="shared" ca="1" si="197"/>
        <v>0.79751176329850859</v>
      </c>
    </row>
    <row r="1687" spans="1:17" x14ac:dyDescent="0.25">
      <c r="A1687" s="145">
        <v>41083</v>
      </c>
      <c r="B1687" s="144">
        <v>1.2539</v>
      </c>
      <c r="C1687" s="144">
        <v>41.704999999999998</v>
      </c>
      <c r="D1687" s="144">
        <v>7.4865000000000004</v>
      </c>
      <c r="E1687" s="144">
        <v>100.68</v>
      </c>
      <c r="F1687" s="144">
        <v>0.80420000000000003</v>
      </c>
      <c r="G1687" s="144">
        <v>1.2009000000000001</v>
      </c>
      <c r="I1687" s="144">
        <v>1</v>
      </c>
      <c r="J1687" s="145">
        <f t="shared" si="195"/>
        <v>41083</v>
      </c>
      <c r="K1687" s="144">
        <f t="shared" ca="1" si="197"/>
        <v>0.95773187654517911</v>
      </c>
      <c r="L1687" s="144">
        <f t="shared" ca="1" si="197"/>
        <v>0.64135896004466064</v>
      </c>
      <c r="M1687" s="144">
        <f t="shared" ca="1" si="197"/>
        <v>80.293484328893854</v>
      </c>
      <c r="N1687" s="144">
        <f t="shared" ca="1" si="197"/>
        <v>5.9705718159342851</v>
      </c>
      <c r="O1687" s="144">
        <f t="shared" ca="1" si="197"/>
        <v>33.2602280883643</v>
      </c>
      <c r="P1687" s="144">
        <f t="shared" ca="1" si="197"/>
        <v>1</v>
      </c>
      <c r="Q1687" s="144">
        <f t="shared" ca="1" si="197"/>
        <v>0.79751176329850859</v>
      </c>
    </row>
    <row r="1688" spans="1:17" x14ac:dyDescent="0.25">
      <c r="A1688" s="145">
        <v>41082</v>
      </c>
      <c r="B1688" s="144">
        <v>1.2539</v>
      </c>
      <c r="C1688" s="144">
        <v>41.704999999999998</v>
      </c>
      <c r="D1688" s="144">
        <v>7.4865000000000004</v>
      </c>
      <c r="E1688" s="144">
        <v>100.68</v>
      </c>
      <c r="F1688" s="144">
        <v>0.80420000000000003</v>
      </c>
      <c r="G1688" s="144">
        <v>1.2009000000000001</v>
      </c>
      <c r="I1688" s="144">
        <v>1</v>
      </c>
      <c r="J1688" s="145">
        <f t="shared" si="195"/>
        <v>41082</v>
      </c>
      <c r="K1688" s="144">
        <f t="shared" ca="1" si="197"/>
        <v>0.95773187654517911</v>
      </c>
      <c r="L1688" s="144">
        <f t="shared" ca="1" si="197"/>
        <v>0.64135896004466064</v>
      </c>
      <c r="M1688" s="144">
        <f t="shared" ca="1" si="197"/>
        <v>80.293484328893854</v>
      </c>
      <c r="N1688" s="144">
        <f t="shared" ca="1" si="197"/>
        <v>5.9705718159342851</v>
      </c>
      <c r="O1688" s="144">
        <f t="shared" ca="1" si="197"/>
        <v>33.2602280883643</v>
      </c>
      <c r="P1688" s="144">
        <f t="shared" ca="1" si="197"/>
        <v>1</v>
      </c>
      <c r="Q1688" s="144">
        <f t="shared" ca="1" si="197"/>
        <v>0.79751176329850859</v>
      </c>
    </row>
    <row r="1689" spans="1:17" x14ac:dyDescent="0.25">
      <c r="A1689" s="145">
        <v>41081</v>
      </c>
      <c r="B1689" s="144">
        <v>1.2669999999999999</v>
      </c>
      <c r="C1689" s="144">
        <v>41.62</v>
      </c>
      <c r="D1689" s="144">
        <v>7.4960000000000004</v>
      </c>
      <c r="E1689" s="144">
        <v>101.46</v>
      </c>
      <c r="F1689" s="144">
        <v>0.80694999999999995</v>
      </c>
      <c r="G1689" s="144">
        <v>1.2010000000000001</v>
      </c>
      <c r="I1689" s="144">
        <v>1</v>
      </c>
      <c r="J1689" s="145">
        <f t="shared" si="195"/>
        <v>41081</v>
      </c>
      <c r="K1689" s="144">
        <f t="shared" ca="1" si="197"/>
        <v>0.94790844514601436</v>
      </c>
      <c r="L1689" s="144">
        <f t="shared" ca="1" si="197"/>
        <v>0.63689818468823989</v>
      </c>
      <c r="M1689" s="144">
        <f t="shared" ca="1" si="197"/>
        <v>80.078926598263621</v>
      </c>
      <c r="N1689" s="144">
        <f t="shared" ca="1" si="197"/>
        <v>5.9163378058405689</v>
      </c>
      <c r="O1689" s="144">
        <f t="shared" ca="1" si="197"/>
        <v>32.849250197316493</v>
      </c>
      <c r="P1689" s="144">
        <f t="shared" ca="1" si="197"/>
        <v>1</v>
      </c>
      <c r="Q1689" s="144">
        <f t="shared" ca="1" si="197"/>
        <v>0.78926598263614844</v>
      </c>
    </row>
    <row r="1690" spans="1:17" x14ac:dyDescent="0.25">
      <c r="A1690" s="145">
        <v>41080</v>
      </c>
      <c r="B1690" s="144">
        <v>1.2704</v>
      </c>
      <c r="C1690" s="144">
        <v>41.346200000000003</v>
      </c>
      <c r="D1690" s="144">
        <v>7.5060000000000002</v>
      </c>
      <c r="E1690" s="144">
        <v>100.24</v>
      </c>
      <c r="F1690" s="144">
        <v>0.80600000000000005</v>
      </c>
      <c r="G1690" s="144">
        <v>1.2009000000000001</v>
      </c>
      <c r="I1690" s="144">
        <v>1</v>
      </c>
      <c r="J1690" s="145">
        <f t="shared" si="195"/>
        <v>41080</v>
      </c>
      <c r="K1690" s="144">
        <f t="shared" ca="1" si="197"/>
        <v>0.94529282115869029</v>
      </c>
      <c r="L1690" s="144">
        <f t="shared" ca="1" si="197"/>
        <v>0.63444584382871538</v>
      </c>
      <c r="M1690" s="144">
        <f t="shared" ca="1" si="197"/>
        <v>78.904282115869009</v>
      </c>
      <c r="N1690" s="144">
        <f t="shared" ca="1" si="197"/>
        <v>5.9083753148614608</v>
      </c>
      <c r="O1690" s="144">
        <f t="shared" ca="1" si="197"/>
        <v>32.54581234256927</v>
      </c>
      <c r="P1690" s="144">
        <f t="shared" ca="1" si="197"/>
        <v>1</v>
      </c>
      <c r="Q1690" s="144">
        <f t="shared" ca="1" si="197"/>
        <v>0.7871536523929471</v>
      </c>
    </row>
    <row r="1691" spans="1:17" x14ac:dyDescent="0.25">
      <c r="A1691" s="145">
        <v>41079</v>
      </c>
      <c r="B1691" s="144">
        <v>1.2619</v>
      </c>
      <c r="C1691" s="144">
        <v>41.107999999999997</v>
      </c>
      <c r="D1691" s="144">
        <v>7.5170000000000003</v>
      </c>
      <c r="E1691" s="144">
        <v>99.57</v>
      </c>
      <c r="F1691" s="144">
        <v>0.80520000000000003</v>
      </c>
      <c r="G1691" s="144">
        <v>1.2009000000000001</v>
      </c>
      <c r="I1691" s="144">
        <v>1</v>
      </c>
      <c r="J1691" s="145">
        <f t="shared" si="195"/>
        <v>41079</v>
      </c>
      <c r="K1691" s="144">
        <f t="shared" ca="1" si="197"/>
        <v>0.9516601949441319</v>
      </c>
      <c r="L1691" s="144">
        <f t="shared" ca="1" si="197"/>
        <v>0.63808542673745938</v>
      </c>
      <c r="M1691" s="144">
        <f t="shared" ca="1" si="197"/>
        <v>78.904826055947368</v>
      </c>
      <c r="N1691" s="144">
        <f t="shared" ca="1" si="197"/>
        <v>5.9568904033600125</v>
      </c>
      <c r="O1691" s="144">
        <f t="shared" ca="1" si="197"/>
        <v>32.576273872731591</v>
      </c>
      <c r="P1691" s="144">
        <f t="shared" ca="1" si="197"/>
        <v>1</v>
      </c>
      <c r="Q1691" s="144">
        <f t="shared" ca="1" si="197"/>
        <v>0.79245582058800224</v>
      </c>
    </row>
    <row r="1692" spans="1:17" x14ac:dyDescent="0.25">
      <c r="A1692" s="145">
        <v>41078</v>
      </c>
      <c r="B1692" s="144">
        <v>1.2618</v>
      </c>
      <c r="C1692" s="144">
        <v>40.83</v>
      </c>
      <c r="D1692" s="144">
        <v>7.5259999999999998</v>
      </c>
      <c r="E1692" s="144">
        <v>99.75</v>
      </c>
      <c r="F1692" s="144">
        <v>0.80600000000000005</v>
      </c>
      <c r="G1692" s="144">
        <v>1.2010000000000001</v>
      </c>
      <c r="I1692" s="144">
        <v>1</v>
      </c>
      <c r="J1692" s="145">
        <f t="shared" si="195"/>
        <v>41078</v>
      </c>
      <c r="K1692" s="144">
        <f t="shared" ca="1" si="197"/>
        <v>0.95181486764938983</v>
      </c>
      <c r="L1692" s="144">
        <f t="shared" ca="1" si="197"/>
        <v>0.63877001109526077</v>
      </c>
      <c r="M1692" s="144">
        <f t="shared" ca="1" si="197"/>
        <v>79.053732762719918</v>
      </c>
      <c r="N1692" s="144">
        <f t="shared" ca="1" si="197"/>
        <v>5.964495165636392</v>
      </c>
      <c r="O1692" s="144">
        <f t="shared" ca="1" si="197"/>
        <v>32.358535425582502</v>
      </c>
      <c r="P1692" s="144">
        <f t="shared" ca="1" si="197"/>
        <v>1</v>
      </c>
      <c r="Q1692" s="144">
        <f t="shared" ca="1" si="197"/>
        <v>0.79251862418766839</v>
      </c>
    </row>
    <row r="1693" spans="1:17" x14ac:dyDescent="0.25">
      <c r="A1693" s="145">
        <v>41077</v>
      </c>
      <c r="B1693" s="144">
        <v>1.2596000000000001</v>
      </c>
      <c r="C1693" s="144">
        <v>40.936799999999998</v>
      </c>
      <c r="D1693" s="144">
        <v>7.524</v>
      </c>
      <c r="E1693" s="144">
        <v>99.24</v>
      </c>
      <c r="F1693" s="144">
        <v>0.81189999999999996</v>
      </c>
      <c r="G1693" s="144">
        <v>1.2010000000000001</v>
      </c>
      <c r="I1693" s="144">
        <v>1</v>
      </c>
      <c r="J1693" s="145">
        <f t="shared" si="195"/>
        <v>41077</v>
      </c>
      <c r="K1693" s="144">
        <f t="shared" ca="1" si="197"/>
        <v>0.95347729437916795</v>
      </c>
      <c r="L1693" s="144">
        <f t="shared" ca="1" si="197"/>
        <v>0.64456970466814856</v>
      </c>
      <c r="M1693" s="144">
        <f t="shared" ca="1" si="197"/>
        <v>78.786916481422665</v>
      </c>
      <c r="N1693" s="144">
        <f t="shared" ca="1" si="197"/>
        <v>5.9733248650365196</v>
      </c>
      <c r="O1693" s="144">
        <f t="shared" ca="1" si="197"/>
        <v>32.499841219434735</v>
      </c>
      <c r="P1693" s="144">
        <f t="shared" ca="1" si="197"/>
        <v>1</v>
      </c>
      <c r="Q1693" s="144">
        <f t="shared" ca="1" si="197"/>
        <v>0.79390282629406161</v>
      </c>
    </row>
    <row r="1694" spans="1:17" x14ac:dyDescent="0.25">
      <c r="A1694" s="145">
        <v>41076</v>
      </c>
      <c r="B1694" s="144">
        <v>1.2596000000000001</v>
      </c>
      <c r="C1694" s="144">
        <v>40.936799999999998</v>
      </c>
      <c r="D1694" s="144">
        <v>7.524</v>
      </c>
      <c r="E1694" s="144">
        <v>99.24</v>
      </c>
      <c r="F1694" s="144">
        <v>0.81189999999999996</v>
      </c>
      <c r="G1694" s="144">
        <v>1.2010000000000001</v>
      </c>
      <c r="I1694" s="144">
        <v>1</v>
      </c>
      <c r="J1694" s="145">
        <f t="shared" si="195"/>
        <v>41076</v>
      </c>
      <c r="K1694" s="144">
        <f t="shared" ca="1" si="197"/>
        <v>0.95347729437916795</v>
      </c>
      <c r="L1694" s="144">
        <f t="shared" ca="1" si="197"/>
        <v>0.64456970466814856</v>
      </c>
      <c r="M1694" s="144">
        <f t="shared" ca="1" si="197"/>
        <v>78.786916481422665</v>
      </c>
      <c r="N1694" s="144">
        <f t="shared" ca="1" si="197"/>
        <v>5.9733248650365196</v>
      </c>
      <c r="O1694" s="144">
        <f t="shared" ca="1" si="197"/>
        <v>32.499841219434735</v>
      </c>
      <c r="P1694" s="144">
        <f t="shared" ca="1" si="197"/>
        <v>1</v>
      </c>
      <c r="Q1694" s="144">
        <f t="shared" ca="1" si="197"/>
        <v>0.79390282629406161</v>
      </c>
    </row>
    <row r="1695" spans="1:17" x14ac:dyDescent="0.25">
      <c r="A1695" s="145">
        <v>41075</v>
      </c>
      <c r="B1695" s="144">
        <v>1.2596000000000001</v>
      </c>
      <c r="C1695" s="144">
        <v>40.936799999999998</v>
      </c>
      <c r="D1695" s="144">
        <v>7.524</v>
      </c>
      <c r="E1695" s="144">
        <v>99.24</v>
      </c>
      <c r="F1695" s="144">
        <v>0.81189999999999996</v>
      </c>
      <c r="G1695" s="144">
        <v>1.2010000000000001</v>
      </c>
      <c r="I1695" s="144">
        <v>1</v>
      </c>
      <c r="J1695" s="145">
        <f t="shared" si="195"/>
        <v>41075</v>
      </c>
      <c r="K1695" s="144">
        <f t="shared" ref="K1695:Q1704" ca="1" si="198">OFFSET($A1695,0,K$3)/OFFSET($A1695,0,$P$3)</f>
        <v>0.95347729437916795</v>
      </c>
      <c r="L1695" s="144">
        <f t="shared" ca="1" si="198"/>
        <v>0.64456970466814856</v>
      </c>
      <c r="M1695" s="144">
        <f t="shared" ca="1" si="198"/>
        <v>78.786916481422665</v>
      </c>
      <c r="N1695" s="144">
        <f t="shared" ca="1" si="198"/>
        <v>5.9733248650365196</v>
      </c>
      <c r="O1695" s="144">
        <f t="shared" ca="1" si="198"/>
        <v>32.499841219434735</v>
      </c>
      <c r="P1695" s="144">
        <f t="shared" ca="1" si="198"/>
        <v>1</v>
      </c>
      <c r="Q1695" s="144">
        <f t="shared" ca="1" si="198"/>
        <v>0.79390282629406161</v>
      </c>
    </row>
    <row r="1696" spans="1:17" x14ac:dyDescent="0.25">
      <c r="A1696" s="145">
        <v>41074</v>
      </c>
      <c r="B1696" s="144">
        <v>1.2551000000000001</v>
      </c>
      <c r="C1696" s="144">
        <v>41.006999999999998</v>
      </c>
      <c r="D1696" s="144">
        <v>7.5069999999999997</v>
      </c>
      <c r="E1696" s="144">
        <v>99.51</v>
      </c>
      <c r="F1696" s="144">
        <v>0.80920000000000003</v>
      </c>
      <c r="G1696" s="144">
        <v>1.2008000000000001</v>
      </c>
      <c r="I1696" s="144">
        <v>1</v>
      </c>
      <c r="J1696" s="145">
        <f t="shared" si="195"/>
        <v>41074</v>
      </c>
      <c r="K1696" s="144">
        <f t="shared" ca="1" si="198"/>
        <v>0.95673651501872359</v>
      </c>
      <c r="L1696" s="144">
        <f t="shared" ca="1" si="198"/>
        <v>0.64472950362520909</v>
      </c>
      <c r="M1696" s="144">
        <f t="shared" ca="1" si="198"/>
        <v>79.284519161819773</v>
      </c>
      <c r="N1696" s="144">
        <f t="shared" ca="1" si="198"/>
        <v>5.9811967173930354</v>
      </c>
      <c r="O1696" s="144">
        <f t="shared" ca="1" si="198"/>
        <v>32.672297028125243</v>
      </c>
      <c r="P1696" s="144">
        <f t="shared" ca="1" si="198"/>
        <v>1</v>
      </c>
      <c r="Q1696" s="144">
        <f t="shared" ca="1" si="198"/>
        <v>0.79674926300693161</v>
      </c>
    </row>
    <row r="1697" spans="1:17" x14ac:dyDescent="0.25">
      <c r="A1697" s="145">
        <v>41073</v>
      </c>
      <c r="B1697" s="144">
        <v>1.2534000000000001</v>
      </c>
      <c r="C1697" s="144">
        <v>40.905000000000001</v>
      </c>
      <c r="D1697" s="144">
        <v>7.5114999999999998</v>
      </c>
      <c r="E1697" s="144">
        <v>99.8</v>
      </c>
      <c r="F1697" s="144">
        <v>0.80630000000000002</v>
      </c>
      <c r="G1697" s="144">
        <v>1.2009000000000001</v>
      </c>
      <c r="I1697" s="144">
        <v>1</v>
      </c>
      <c r="J1697" s="145">
        <f t="shared" si="195"/>
        <v>41073</v>
      </c>
      <c r="K1697" s="144">
        <f t="shared" ca="1" si="198"/>
        <v>0.95811393011010049</v>
      </c>
      <c r="L1697" s="144">
        <f t="shared" ca="1" si="198"/>
        <v>0.64329025051858946</v>
      </c>
      <c r="M1697" s="144">
        <f t="shared" ca="1" si="198"/>
        <v>79.623424285942235</v>
      </c>
      <c r="N1697" s="144">
        <f t="shared" ca="1" si="198"/>
        <v>5.9928993138662836</v>
      </c>
      <c r="O1697" s="144">
        <f t="shared" ca="1" si="198"/>
        <v>32.635232168501673</v>
      </c>
      <c r="P1697" s="144">
        <f t="shared" ca="1" si="198"/>
        <v>1</v>
      </c>
      <c r="Q1697" s="144">
        <f t="shared" ca="1" si="198"/>
        <v>0.79782990266475184</v>
      </c>
    </row>
    <row r="1698" spans="1:17" x14ac:dyDescent="0.25">
      <c r="A1698" s="145">
        <v>41072</v>
      </c>
      <c r="B1698" s="144">
        <v>1.2492000000000001</v>
      </c>
      <c r="C1698" s="144">
        <v>41.08</v>
      </c>
      <c r="D1698" s="144">
        <v>7.5465</v>
      </c>
      <c r="E1698" s="144">
        <v>99.4</v>
      </c>
      <c r="F1698" s="144">
        <v>0.80384999999999995</v>
      </c>
      <c r="G1698" s="144">
        <v>1.2012</v>
      </c>
      <c r="I1698" s="144">
        <v>1</v>
      </c>
      <c r="J1698" s="145">
        <f t="shared" si="195"/>
        <v>41072</v>
      </c>
      <c r="K1698" s="144">
        <f t="shared" ca="1" si="198"/>
        <v>0.96157540826128718</v>
      </c>
      <c r="L1698" s="144">
        <f t="shared" ca="1" si="198"/>
        <v>0.64349183477425542</v>
      </c>
      <c r="M1698" s="144">
        <f t="shared" ca="1" si="198"/>
        <v>79.570925392251041</v>
      </c>
      <c r="N1698" s="144">
        <f t="shared" ca="1" si="198"/>
        <v>6.0410662824207488</v>
      </c>
      <c r="O1698" s="144">
        <f t="shared" ca="1" si="198"/>
        <v>32.885046429715011</v>
      </c>
      <c r="P1698" s="144">
        <f t="shared" ca="1" si="198"/>
        <v>1</v>
      </c>
      <c r="Q1698" s="144">
        <f t="shared" ca="1" si="198"/>
        <v>0.8005123278898495</v>
      </c>
    </row>
    <row r="1699" spans="1:17" x14ac:dyDescent="0.25">
      <c r="A1699" s="145">
        <v>41071</v>
      </c>
      <c r="B1699" s="144">
        <v>1.2544</v>
      </c>
      <c r="C1699" s="144">
        <v>40.919400000000003</v>
      </c>
      <c r="D1699" s="144">
        <v>7.556</v>
      </c>
      <c r="E1699" s="144">
        <v>99.6</v>
      </c>
      <c r="F1699" s="144">
        <v>0.80769999999999997</v>
      </c>
      <c r="G1699" s="144">
        <v>1.2010000000000001</v>
      </c>
      <c r="I1699" s="144">
        <v>1</v>
      </c>
      <c r="J1699" s="145">
        <f t="shared" si="195"/>
        <v>41071</v>
      </c>
      <c r="K1699" s="144">
        <f t="shared" ca="1" si="198"/>
        <v>0.95742984693877564</v>
      </c>
      <c r="L1699" s="144">
        <f t="shared" ca="1" si="198"/>
        <v>0.64389349489795922</v>
      </c>
      <c r="M1699" s="144">
        <f t="shared" ca="1" si="198"/>
        <v>79.400510204081627</v>
      </c>
      <c r="N1699" s="144">
        <f t="shared" ca="1" si="198"/>
        <v>6.0235969387755102</v>
      </c>
      <c r="O1699" s="144">
        <f t="shared" ca="1" si="198"/>
        <v>32.620695153061227</v>
      </c>
      <c r="P1699" s="144">
        <f t="shared" ca="1" si="198"/>
        <v>1</v>
      </c>
      <c r="Q1699" s="144">
        <f t="shared" ca="1" si="198"/>
        <v>0.79719387755102045</v>
      </c>
    </row>
    <row r="1700" spans="1:17" x14ac:dyDescent="0.25">
      <c r="A1700" s="145">
        <v>41070</v>
      </c>
      <c r="B1700" s="144">
        <v>1.2467999999999999</v>
      </c>
      <c r="C1700" s="144">
        <v>40.807000000000002</v>
      </c>
      <c r="D1700" s="144">
        <v>7.5994999999999999</v>
      </c>
      <c r="E1700" s="144">
        <v>98.9</v>
      </c>
      <c r="F1700" s="144">
        <v>0.80794999999999995</v>
      </c>
      <c r="G1700" s="144">
        <v>1.2012</v>
      </c>
      <c r="I1700" s="144">
        <v>1</v>
      </c>
      <c r="J1700" s="145">
        <f t="shared" si="195"/>
        <v>41070</v>
      </c>
      <c r="K1700" s="144">
        <f t="shared" ca="1" si="198"/>
        <v>0.96342637151106847</v>
      </c>
      <c r="L1700" s="144">
        <f t="shared" ca="1" si="198"/>
        <v>0.6480189284568495</v>
      </c>
      <c r="M1700" s="144">
        <f t="shared" ca="1" si="198"/>
        <v>79.323067051652245</v>
      </c>
      <c r="N1700" s="144">
        <f t="shared" ca="1" si="198"/>
        <v>6.0952037215271098</v>
      </c>
      <c r="O1700" s="144">
        <f t="shared" ca="1" si="198"/>
        <v>32.729387231312167</v>
      </c>
      <c r="P1700" s="144">
        <f t="shared" ca="1" si="198"/>
        <v>1</v>
      </c>
      <c r="Q1700" s="144">
        <f t="shared" ca="1" si="198"/>
        <v>0.80205325633622082</v>
      </c>
    </row>
    <row r="1701" spans="1:17" x14ac:dyDescent="0.25">
      <c r="A1701" s="145">
        <v>41069</v>
      </c>
      <c r="B1701" s="144">
        <v>1.2467999999999999</v>
      </c>
      <c r="C1701" s="144">
        <v>40.807000000000002</v>
      </c>
      <c r="D1701" s="144">
        <v>7.5994999999999999</v>
      </c>
      <c r="E1701" s="144">
        <v>98.9</v>
      </c>
      <c r="F1701" s="144">
        <v>0.80794999999999995</v>
      </c>
      <c r="G1701" s="144">
        <v>1.2012</v>
      </c>
      <c r="I1701" s="144">
        <v>1</v>
      </c>
      <c r="J1701" s="145">
        <f t="shared" si="195"/>
        <v>41069</v>
      </c>
      <c r="K1701" s="144">
        <f t="shared" ca="1" si="198"/>
        <v>0.96342637151106847</v>
      </c>
      <c r="L1701" s="144">
        <f t="shared" ca="1" si="198"/>
        <v>0.6480189284568495</v>
      </c>
      <c r="M1701" s="144">
        <f t="shared" ca="1" si="198"/>
        <v>79.323067051652245</v>
      </c>
      <c r="N1701" s="144">
        <f t="shared" ca="1" si="198"/>
        <v>6.0952037215271098</v>
      </c>
      <c r="O1701" s="144">
        <f t="shared" ca="1" si="198"/>
        <v>32.729387231312167</v>
      </c>
      <c r="P1701" s="144">
        <f t="shared" ca="1" si="198"/>
        <v>1</v>
      </c>
      <c r="Q1701" s="144">
        <f t="shared" ca="1" si="198"/>
        <v>0.80205325633622082</v>
      </c>
    </row>
    <row r="1702" spans="1:17" x14ac:dyDescent="0.25">
      <c r="A1702" s="145">
        <v>41068</v>
      </c>
      <c r="B1702" s="144">
        <v>1.2467999999999999</v>
      </c>
      <c r="C1702" s="144">
        <v>40.807000000000002</v>
      </c>
      <c r="D1702" s="144">
        <v>7.5994999999999999</v>
      </c>
      <c r="E1702" s="144">
        <v>98.9</v>
      </c>
      <c r="F1702" s="144">
        <v>0.80794999999999995</v>
      </c>
      <c r="G1702" s="144">
        <v>1.2012</v>
      </c>
      <c r="I1702" s="144">
        <v>1</v>
      </c>
      <c r="J1702" s="145">
        <f t="shared" si="195"/>
        <v>41068</v>
      </c>
      <c r="K1702" s="144">
        <f t="shared" ca="1" si="198"/>
        <v>0.96342637151106847</v>
      </c>
      <c r="L1702" s="144">
        <f t="shared" ca="1" si="198"/>
        <v>0.6480189284568495</v>
      </c>
      <c r="M1702" s="144">
        <f t="shared" ca="1" si="198"/>
        <v>79.323067051652245</v>
      </c>
      <c r="N1702" s="144">
        <f t="shared" ca="1" si="198"/>
        <v>6.0952037215271098</v>
      </c>
      <c r="O1702" s="144">
        <f t="shared" ca="1" si="198"/>
        <v>32.729387231312167</v>
      </c>
      <c r="P1702" s="144">
        <f t="shared" ca="1" si="198"/>
        <v>1</v>
      </c>
      <c r="Q1702" s="144">
        <f t="shared" ca="1" si="198"/>
        <v>0.80205325633622082</v>
      </c>
    </row>
    <row r="1703" spans="1:17" x14ac:dyDescent="0.25">
      <c r="A1703" s="145">
        <v>41067</v>
      </c>
      <c r="B1703" s="144">
        <v>1.2595000000000001</v>
      </c>
      <c r="C1703" s="144">
        <v>40.640999999999998</v>
      </c>
      <c r="D1703" s="144">
        <v>7.5884999999999998</v>
      </c>
      <c r="E1703" s="144">
        <v>100.08</v>
      </c>
      <c r="F1703" s="144">
        <v>0.80859999999999999</v>
      </c>
      <c r="G1703" s="144">
        <v>1.2011000000000001</v>
      </c>
      <c r="I1703" s="144">
        <v>1</v>
      </c>
      <c r="J1703" s="145">
        <f t="shared" si="195"/>
        <v>41067</v>
      </c>
      <c r="K1703" s="144">
        <f t="shared" ca="1" si="198"/>
        <v>0.95363239380706633</v>
      </c>
      <c r="L1703" s="144">
        <f t="shared" ca="1" si="198"/>
        <v>0.64200079396585941</v>
      </c>
      <c r="M1703" s="144">
        <f t="shared" ca="1" si="198"/>
        <v>79.46010321556173</v>
      </c>
      <c r="N1703" s="144">
        <f t="shared" ca="1" si="198"/>
        <v>6.0250099245732427</v>
      </c>
      <c r="O1703" s="144">
        <f t="shared" ca="1" si="198"/>
        <v>32.267566494640725</v>
      </c>
      <c r="P1703" s="144">
        <f t="shared" ca="1" si="198"/>
        <v>1</v>
      </c>
      <c r="Q1703" s="144">
        <f t="shared" ca="1" si="198"/>
        <v>0.79396585946804288</v>
      </c>
    </row>
    <row r="1704" spans="1:17" x14ac:dyDescent="0.25">
      <c r="A1704" s="145">
        <v>41066</v>
      </c>
      <c r="B1704" s="144">
        <v>1.2484999999999999</v>
      </c>
      <c r="C1704" s="144">
        <v>40.650399999999998</v>
      </c>
      <c r="D1704" s="144">
        <v>7.6064999999999996</v>
      </c>
      <c r="E1704" s="144">
        <v>98.82</v>
      </c>
      <c r="F1704" s="144">
        <v>0.80630000000000002</v>
      </c>
      <c r="G1704" s="144">
        <v>1.2008000000000001</v>
      </c>
      <c r="I1704" s="144">
        <v>1</v>
      </c>
      <c r="J1704" s="145">
        <f t="shared" si="195"/>
        <v>41066</v>
      </c>
      <c r="K1704" s="144">
        <f t="shared" ca="1" si="198"/>
        <v>0.9617941529835804</v>
      </c>
      <c r="L1704" s="144">
        <f t="shared" ca="1" si="198"/>
        <v>0.64581497797356835</v>
      </c>
      <c r="M1704" s="144">
        <f t="shared" ca="1" si="198"/>
        <v>79.150981177412888</v>
      </c>
      <c r="N1704" s="144">
        <f t="shared" ca="1" si="198"/>
        <v>6.0925110132158586</v>
      </c>
      <c r="O1704" s="144">
        <f t="shared" ca="1" si="198"/>
        <v>32.559391269523431</v>
      </c>
      <c r="P1704" s="144">
        <f t="shared" ca="1" si="198"/>
        <v>1</v>
      </c>
      <c r="Q1704" s="144">
        <f t="shared" ca="1" si="198"/>
        <v>0.80096115338406093</v>
      </c>
    </row>
    <row r="1705" spans="1:17" x14ac:dyDescent="0.25">
      <c r="A1705" s="145">
        <v>41065</v>
      </c>
      <c r="B1705" s="144">
        <v>1.2428999999999999</v>
      </c>
      <c r="C1705" s="144">
        <v>41.261000000000003</v>
      </c>
      <c r="D1705" s="144">
        <v>7.5945</v>
      </c>
      <c r="E1705" s="144">
        <v>97.25</v>
      </c>
      <c r="F1705" s="144">
        <v>0.81005000000000005</v>
      </c>
      <c r="G1705" s="144">
        <v>1.2010000000000001</v>
      </c>
      <c r="I1705" s="144">
        <v>1</v>
      </c>
      <c r="J1705" s="145">
        <f t="shared" si="195"/>
        <v>41065</v>
      </c>
      <c r="K1705" s="144">
        <f t="shared" ref="K1705:Q1714" ca="1" si="199">OFFSET($A1705,0,K$3)/OFFSET($A1705,0,$P$3)</f>
        <v>0.96628851878670863</v>
      </c>
      <c r="L1705" s="144">
        <f t="shared" ca="1" si="199"/>
        <v>0.65174189395767967</v>
      </c>
      <c r="M1705" s="144">
        <f t="shared" ca="1" si="199"/>
        <v>78.244428353045308</v>
      </c>
      <c r="N1705" s="144">
        <f t="shared" ca="1" si="199"/>
        <v>6.1103065411537543</v>
      </c>
      <c r="O1705" s="144">
        <f t="shared" ca="1" si="199"/>
        <v>33.197361010539872</v>
      </c>
      <c r="P1705" s="144">
        <f t="shared" ca="1" si="199"/>
        <v>1</v>
      </c>
      <c r="Q1705" s="144">
        <f t="shared" ca="1" si="199"/>
        <v>0.80456995735779235</v>
      </c>
    </row>
    <row r="1706" spans="1:17" x14ac:dyDescent="0.25">
      <c r="A1706" s="145">
        <v>41064</v>
      </c>
      <c r="B1706" s="144">
        <v>1.2437</v>
      </c>
      <c r="C1706" s="144">
        <v>41.81</v>
      </c>
      <c r="D1706" s="144">
        <v>7.6029999999999998</v>
      </c>
      <c r="E1706" s="144">
        <v>97.16</v>
      </c>
      <c r="F1706" s="144">
        <v>0.80845</v>
      </c>
      <c r="G1706" s="144">
        <v>1.2009000000000001</v>
      </c>
      <c r="I1706" s="144">
        <v>1</v>
      </c>
      <c r="J1706" s="145">
        <f t="shared" si="195"/>
        <v>41064</v>
      </c>
      <c r="K1706" s="144">
        <f t="shared" ca="1" si="199"/>
        <v>0.96558655624346712</v>
      </c>
      <c r="L1706" s="144">
        <f t="shared" ca="1" si="199"/>
        <v>0.65003618235908978</v>
      </c>
      <c r="M1706" s="144">
        <f t="shared" ca="1" si="199"/>
        <v>78.121733537026614</v>
      </c>
      <c r="N1706" s="144">
        <f t="shared" ca="1" si="199"/>
        <v>6.113210581329902</v>
      </c>
      <c r="O1706" s="144">
        <f t="shared" ca="1" si="199"/>
        <v>33.617431856557047</v>
      </c>
      <c r="P1706" s="144">
        <f t="shared" ca="1" si="199"/>
        <v>1</v>
      </c>
      <c r="Q1706" s="144">
        <f t="shared" ca="1" si="199"/>
        <v>0.804052424218059</v>
      </c>
    </row>
    <row r="1707" spans="1:17" x14ac:dyDescent="0.25">
      <c r="A1707" s="145">
        <v>41063</v>
      </c>
      <c r="B1707" s="144">
        <v>1.2322</v>
      </c>
      <c r="C1707" s="144">
        <v>41.754600000000003</v>
      </c>
      <c r="D1707" s="144">
        <v>7.5744999999999996</v>
      </c>
      <c r="E1707" s="144">
        <v>96.25</v>
      </c>
      <c r="F1707" s="144">
        <v>0.80500000000000005</v>
      </c>
      <c r="G1707" s="144">
        <v>1.2008000000000001</v>
      </c>
      <c r="I1707" s="144">
        <v>1</v>
      </c>
      <c r="J1707" s="145">
        <f t="shared" si="195"/>
        <v>41063</v>
      </c>
      <c r="K1707" s="144">
        <f t="shared" ca="1" si="199"/>
        <v>0.97451712384353195</v>
      </c>
      <c r="L1707" s="144">
        <f t="shared" ca="1" si="199"/>
        <v>0.65330303522155497</v>
      </c>
      <c r="M1707" s="144">
        <f t="shared" ca="1" si="199"/>
        <v>78.112319428664179</v>
      </c>
      <c r="N1707" s="144">
        <f t="shared" ca="1" si="199"/>
        <v>6.1471352053238109</v>
      </c>
      <c r="O1707" s="144">
        <f t="shared" ca="1" si="199"/>
        <v>33.886219769517936</v>
      </c>
      <c r="P1707" s="144">
        <f t="shared" ca="1" si="199"/>
        <v>1</v>
      </c>
      <c r="Q1707" s="144">
        <f t="shared" ca="1" si="199"/>
        <v>0.8115565654926149</v>
      </c>
    </row>
    <row r="1708" spans="1:17" x14ac:dyDescent="0.25">
      <c r="A1708" s="145">
        <v>41062</v>
      </c>
      <c r="B1708" s="144">
        <v>1.2322</v>
      </c>
      <c r="C1708" s="144">
        <v>41.754600000000003</v>
      </c>
      <c r="D1708" s="144">
        <v>7.5744999999999996</v>
      </c>
      <c r="E1708" s="144">
        <v>96.25</v>
      </c>
      <c r="F1708" s="144">
        <v>0.80500000000000005</v>
      </c>
      <c r="G1708" s="144">
        <v>1.2008000000000001</v>
      </c>
      <c r="I1708" s="144">
        <v>1</v>
      </c>
      <c r="J1708" s="145">
        <f t="shared" si="195"/>
        <v>41062</v>
      </c>
      <c r="K1708" s="144">
        <f t="shared" ca="1" si="199"/>
        <v>0.97451712384353195</v>
      </c>
      <c r="L1708" s="144">
        <f t="shared" ca="1" si="199"/>
        <v>0.65330303522155497</v>
      </c>
      <c r="M1708" s="144">
        <f t="shared" ca="1" si="199"/>
        <v>78.112319428664179</v>
      </c>
      <c r="N1708" s="144">
        <f t="shared" ca="1" si="199"/>
        <v>6.1471352053238109</v>
      </c>
      <c r="O1708" s="144">
        <f t="shared" ca="1" si="199"/>
        <v>33.886219769517936</v>
      </c>
      <c r="P1708" s="144">
        <f t="shared" ca="1" si="199"/>
        <v>1</v>
      </c>
      <c r="Q1708" s="144">
        <f t="shared" ca="1" si="199"/>
        <v>0.8115565654926149</v>
      </c>
    </row>
    <row r="1709" spans="1:17" x14ac:dyDescent="0.25">
      <c r="A1709" s="145">
        <v>41061</v>
      </c>
      <c r="B1709" s="144">
        <v>1.2322</v>
      </c>
      <c r="C1709" s="144">
        <v>41.754600000000003</v>
      </c>
      <c r="D1709" s="144">
        <v>7.5744999999999996</v>
      </c>
      <c r="E1709" s="144">
        <v>96.25</v>
      </c>
      <c r="F1709" s="144">
        <v>0.80500000000000005</v>
      </c>
      <c r="G1709" s="144">
        <v>1.2008000000000001</v>
      </c>
      <c r="I1709" s="144">
        <v>1</v>
      </c>
      <c r="J1709" s="145">
        <f t="shared" si="195"/>
        <v>41061</v>
      </c>
      <c r="K1709" s="144">
        <f t="shared" ca="1" si="199"/>
        <v>0.97451712384353195</v>
      </c>
      <c r="L1709" s="144">
        <f t="shared" ca="1" si="199"/>
        <v>0.65330303522155497</v>
      </c>
      <c r="M1709" s="144">
        <f t="shared" ca="1" si="199"/>
        <v>78.112319428664179</v>
      </c>
      <c r="N1709" s="144">
        <f t="shared" ca="1" si="199"/>
        <v>6.1471352053238109</v>
      </c>
      <c r="O1709" s="144">
        <f t="shared" ca="1" si="199"/>
        <v>33.886219769517936</v>
      </c>
      <c r="P1709" s="144">
        <f t="shared" ca="1" si="199"/>
        <v>1</v>
      </c>
      <c r="Q1709" s="144">
        <f t="shared" ca="1" si="199"/>
        <v>0.8115565654926149</v>
      </c>
    </row>
    <row r="1710" spans="1:17" x14ac:dyDescent="0.25">
      <c r="A1710" s="145">
        <v>41060</v>
      </c>
      <c r="B1710" s="144">
        <v>1.2403</v>
      </c>
      <c r="C1710" s="144">
        <v>41.297499999999999</v>
      </c>
      <c r="D1710" s="144">
        <v>7.5235000000000003</v>
      </c>
      <c r="E1710" s="144">
        <v>97.66</v>
      </c>
      <c r="F1710" s="144">
        <v>0.79990000000000006</v>
      </c>
      <c r="G1710" s="144">
        <v>1.2010000000000001</v>
      </c>
      <c r="I1710" s="144">
        <v>1</v>
      </c>
      <c r="J1710" s="145">
        <f t="shared" si="195"/>
        <v>41060</v>
      </c>
      <c r="K1710" s="144">
        <f t="shared" ca="1" si="199"/>
        <v>0.9683141175522052</v>
      </c>
      <c r="L1710" s="144">
        <f t="shared" ca="1" si="199"/>
        <v>0.64492461501249709</v>
      </c>
      <c r="M1710" s="144">
        <f t="shared" ca="1" si="199"/>
        <v>78.739014754494875</v>
      </c>
      <c r="N1710" s="144">
        <f t="shared" ca="1" si="199"/>
        <v>6.0658711602031774</v>
      </c>
      <c r="O1710" s="144">
        <f t="shared" ca="1" si="199"/>
        <v>33.296379908086756</v>
      </c>
      <c r="P1710" s="144">
        <f t="shared" ca="1" si="199"/>
        <v>1</v>
      </c>
      <c r="Q1710" s="144">
        <f t="shared" ca="1" si="199"/>
        <v>0.80625655083447556</v>
      </c>
    </row>
    <row r="1711" spans="1:17" x14ac:dyDescent="0.25">
      <c r="A1711" s="145">
        <v>41059</v>
      </c>
      <c r="B1711" s="144">
        <v>1.2438</v>
      </c>
      <c r="C1711" s="144">
        <v>40.564999999999998</v>
      </c>
      <c r="D1711" s="144">
        <v>7.5145</v>
      </c>
      <c r="E1711" s="144">
        <v>98.38</v>
      </c>
      <c r="F1711" s="144">
        <v>0.79774999999999996</v>
      </c>
      <c r="G1711" s="144">
        <v>1.2010000000000001</v>
      </c>
      <c r="I1711" s="144">
        <v>1</v>
      </c>
      <c r="J1711" s="145">
        <f t="shared" si="195"/>
        <v>41059</v>
      </c>
      <c r="K1711" s="144">
        <f t="shared" ca="1" si="199"/>
        <v>0.96558932304228984</v>
      </c>
      <c r="L1711" s="144">
        <f t="shared" ca="1" si="199"/>
        <v>0.64138125100498466</v>
      </c>
      <c r="M1711" s="144">
        <f t="shared" ca="1" si="199"/>
        <v>79.096317735970402</v>
      </c>
      <c r="N1711" s="144">
        <f t="shared" ca="1" si="199"/>
        <v>6.041566168194243</v>
      </c>
      <c r="O1711" s="144">
        <f t="shared" ca="1" si="199"/>
        <v>32.613764270783079</v>
      </c>
      <c r="P1711" s="144">
        <f t="shared" ca="1" si="199"/>
        <v>1</v>
      </c>
      <c r="Q1711" s="144">
        <f t="shared" ca="1" si="199"/>
        <v>0.80398777938575328</v>
      </c>
    </row>
    <row r="1712" spans="1:17" x14ac:dyDescent="0.25">
      <c r="A1712" s="145">
        <v>41058</v>
      </c>
      <c r="B1712" s="144">
        <v>1.2523</v>
      </c>
      <c r="C1712" s="144">
        <v>40.317</v>
      </c>
      <c r="D1712" s="144">
        <v>7.5205000000000002</v>
      </c>
      <c r="E1712" s="144">
        <v>99.64</v>
      </c>
      <c r="F1712" s="144">
        <v>0.7994</v>
      </c>
      <c r="G1712" s="144">
        <v>1.2015</v>
      </c>
      <c r="I1712" s="144">
        <v>1</v>
      </c>
      <c r="J1712" s="145">
        <f t="shared" si="195"/>
        <v>41058</v>
      </c>
      <c r="K1712" s="144">
        <f t="shared" ca="1" si="199"/>
        <v>0.95943464026191816</v>
      </c>
      <c r="L1712" s="144">
        <f t="shared" ca="1" si="199"/>
        <v>0.63834544438233654</v>
      </c>
      <c r="M1712" s="144">
        <f t="shared" ca="1" si="199"/>
        <v>79.565599297292977</v>
      </c>
      <c r="N1712" s="144">
        <f t="shared" ca="1" si="199"/>
        <v>6.0053501557134874</v>
      </c>
      <c r="O1712" s="144">
        <f t="shared" ca="1" si="199"/>
        <v>32.194362373233254</v>
      </c>
      <c r="P1712" s="144">
        <f t="shared" ca="1" si="199"/>
        <v>1</v>
      </c>
      <c r="Q1712" s="144">
        <f t="shared" ca="1" si="199"/>
        <v>0.79853070350554978</v>
      </c>
    </row>
    <row r="1713" spans="1:17" x14ac:dyDescent="0.25">
      <c r="A1713" s="145">
        <v>41057</v>
      </c>
      <c r="B1713" s="144">
        <v>1.2565999999999999</v>
      </c>
      <c r="C1713" s="144">
        <v>40.116</v>
      </c>
      <c r="D1713" s="144">
        <v>7.5358999999999998</v>
      </c>
      <c r="E1713" s="144">
        <v>99.75</v>
      </c>
      <c r="F1713" s="144">
        <v>0.80010000000000003</v>
      </c>
      <c r="G1713" s="144">
        <v>1.2019</v>
      </c>
      <c r="I1713" s="144">
        <v>1</v>
      </c>
      <c r="J1713" s="145">
        <f t="shared" si="195"/>
        <v>41057</v>
      </c>
      <c r="K1713" s="144">
        <f t="shared" ca="1" si="199"/>
        <v>0.9564698392487665</v>
      </c>
      <c r="L1713" s="144">
        <f t="shared" ca="1" si="199"/>
        <v>0.63671812828266761</v>
      </c>
      <c r="M1713" s="144">
        <f t="shared" ca="1" si="199"/>
        <v>79.380869011618657</v>
      </c>
      <c r="N1713" s="144">
        <f t="shared" ca="1" si="199"/>
        <v>5.9970555467133533</v>
      </c>
      <c r="O1713" s="144">
        <f t="shared" ca="1" si="199"/>
        <v>31.924240012732771</v>
      </c>
      <c r="P1713" s="144">
        <f t="shared" ca="1" si="199"/>
        <v>1</v>
      </c>
      <c r="Q1713" s="144">
        <f t="shared" ca="1" si="199"/>
        <v>0.79579818558013693</v>
      </c>
    </row>
    <row r="1714" spans="1:17" x14ac:dyDescent="0.25">
      <c r="A1714" s="145">
        <v>41056</v>
      </c>
      <c r="B1714" s="144">
        <v>1.2545999999999999</v>
      </c>
      <c r="C1714" s="144">
        <v>40.051000000000002</v>
      </c>
      <c r="D1714" s="144">
        <v>7.5510000000000002</v>
      </c>
      <c r="E1714" s="144">
        <v>99.8</v>
      </c>
      <c r="F1714" s="144">
        <v>0.80030000000000001</v>
      </c>
      <c r="G1714" s="144">
        <v>1.2014</v>
      </c>
      <c r="I1714" s="144">
        <v>1</v>
      </c>
      <c r="J1714" s="145">
        <f t="shared" si="195"/>
        <v>41056</v>
      </c>
      <c r="K1714" s="144">
        <f t="shared" ca="1" si="199"/>
        <v>0.9575960465487009</v>
      </c>
      <c r="L1714" s="144">
        <f t="shared" ca="1" si="199"/>
        <v>0.6378925553961422</v>
      </c>
      <c r="M1714" s="144">
        <f t="shared" ca="1" si="199"/>
        <v>79.547266060895907</v>
      </c>
      <c r="N1714" s="144">
        <f t="shared" ca="1" si="199"/>
        <v>6.0186513629842189</v>
      </c>
      <c r="O1714" s="144">
        <f t="shared" ca="1" si="199"/>
        <v>31.923322174398219</v>
      </c>
      <c r="P1714" s="144">
        <f t="shared" ca="1" si="199"/>
        <v>1</v>
      </c>
      <c r="Q1714" s="144">
        <f t="shared" ca="1" si="199"/>
        <v>0.79706679419735382</v>
      </c>
    </row>
    <row r="1715" spans="1:17" x14ac:dyDescent="0.25">
      <c r="A1715" s="145">
        <v>41055</v>
      </c>
      <c r="B1715" s="144">
        <v>1.2545999999999999</v>
      </c>
      <c r="C1715" s="144">
        <v>40.051000000000002</v>
      </c>
      <c r="D1715" s="144">
        <v>7.5510000000000002</v>
      </c>
      <c r="E1715" s="144">
        <v>99.8</v>
      </c>
      <c r="F1715" s="144">
        <v>0.80030000000000001</v>
      </c>
      <c r="G1715" s="144">
        <v>1.2014</v>
      </c>
      <c r="I1715" s="144">
        <v>1</v>
      </c>
      <c r="J1715" s="145">
        <f t="shared" si="195"/>
        <v>41055</v>
      </c>
      <c r="K1715" s="144">
        <f t="shared" ref="K1715:Q1724" ca="1" si="200">OFFSET($A1715,0,K$3)/OFFSET($A1715,0,$P$3)</f>
        <v>0.9575960465487009</v>
      </c>
      <c r="L1715" s="144">
        <f t="shared" ca="1" si="200"/>
        <v>0.6378925553961422</v>
      </c>
      <c r="M1715" s="144">
        <f t="shared" ca="1" si="200"/>
        <v>79.547266060895907</v>
      </c>
      <c r="N1715" s="144">
        <f t="shared" ca="1" si="200"/>
        <v>6.0186513629842189</v>
      </c>
      <c r="O1715" s="144">
        <f t="shared" ca="1" si="200"/>
        <v>31.923322174398219</v>
      </c>
      <c r="P1715" s="144">
        <f t="shared" ca="1" si="200"/>
        <v>1</v>
      </c>
      <c r="Q1715" s="144">
        <f t="shared" ca="1" si="200"/>
        <v>0.79706679419735382</v>
      </c>
    </row>
    <row r="1716" spans="1:17" x14ac:dyDescent="0.25">
      <c r="A1716" s="145">
        <v>41054</v>
      </c>
      <c r="B1716" s="144">
        <v>1.2545999999999999</v>
      </c>
      <c r="C1716" s="144">
        <v>40.051000000000002</v>
      </c>
      <c r="D1716" s="144">
        <v>7.5510000000000002</v>
      </c>
      <c r="E1716" s="144">
        <v>99.8</v>
      </c>
      <c r="F1716" s="144">
        <v>0.80030000000000001</v>
      </c>
      <c r="G1716" s="144">
        <v>1.2014</v>
      </c>
      <c r="I1716" s="144">
        <v>1</v>
      </c>
      <c r="J1716" s="145">
        <f t="shared" si="195"/>
        <v>41054</v>
      </c>
      <c r="K1716" s="144">
        <f t="shared" ca="1" si="200"/>
        <v>0.9575960465487009</v>
      </c>
      <c r="L1716" s="144">
        <f t="shared" ca="1" si="200"/>
        <v>0.6378925553961422</v>
      </c>
      <c r="M1716" s="144">
        <f t="shared" ca="1" si="200"/>
        <v>79.547266060895907</v>
      </c>
      <c r="N1716" s="144">
        <f t="shared" ca="1" si="200"/>
        <v>6.0186513629842189</v>
      </c>
      <c r="O1716" s="144">
        <f t="shared" ca="1" si="200"/>
        <v>31.923322174398219</v>
      </c>
      <c r="P1716" s="144">
        <f t="shared" ca="1" si="200"/>
        <v>1</v>
      </c>
      <c r="Q1716" s="144">
        <f t="shared" ca="1" si="200"/>
        <v>0.79706679419735382</v>
      </c>
    </row>
    <row r="1717" spans="1:17" x14ac:dyDescent="0.25">
      <c r="A1717" s="145">
        <v>41053</v>
      </c>
      <c r="B1717" s="144">
        <v>1.2557</v>
      </c>
      <c r="C1717" s="144">
        <v>39.767499999999998</v>
      </c>
      <c r="D1717" s="144">
        <v>7.5359999999999996</v>
      </c>
      <c r="E1717" s="144">
        <v>99.75</v>
      </c>
      <c r="F1717" s="144">
        <v>0.80095000000000005</v>
      </c>
      <c r="G1717" s="144">
        <v>1.2010000000000001</v>
      </c>
      <c r="I1717" s="144">
        <v>1</v>
      </c>
      <c r="J1717" s="145">
        <f t="shared" si="195"/>
        <v>41053</v>
      </c>
      <c r="K1717" s="144">
        <f t="shared" ca="1" si="200"/>
        <v>0.95643863980250066</v>
      </c>
      <c r="L1717" s="144">
        <f t="shared" ca="1" si="200"/>
        <v>0.63785139762682175</v>
      </c>
      <c r="M1717" s="144">
        <f t="shared" ca="1" si="200"/>
        <v>79.437763797085282</v>
      </c>
      <c r="N1717" s="144">
        <f t="shared" ca="1" si="200"/>
        <v>6.0014334634068645</v>
      </c>
      <c r="O1717" s="144">
        <f t="shared" ca="1" si="200"/>
        <v>31.669586684717686</v>
      </c>
      <c r="P1717" s="144">
        <f t="shared" ca="1" si="200"/>
        <v>1</v>
      </c>
      <c r="Q1717" s="144">
        <f t="shared" ca="1" si="200"/>
        <v>0.79636855936927609</v>
      </c>
    </row>
    <row r="1718" spans="1:17" x14ac:dyDescent="0.25">
      <c r="A1718" s="145">
        <v>41052</v>
      </c>
      <c r="B1718" s="144">
        <v>1.2659</v>
      </c>
      <c r="C1718" s="144">
        <v>39.898400000000002</v>
      </c>
      <c r="D1718" s="144">
        <v>7.5730000000000004</v>
      </c>
      <c r="E1718" s="144">
        <v>100.59</v>
      </c>
      <c r="F1718" s="144">
        <v>0.8044</v>
      </c>
      <c r="G1718" s="144">
        <v>1.2011000000000001</v>
      </c>
      <c r="I1718" s="144">
        <v>1</v>
      </c>
      <c r="J1718" s="145">
        <f t="shared" si="195"/>
        <v>41052</v>
      </c>
      <c r="K1718" s="144">
        <f t="shared" ca="1" si="200"/>
        <v>0.94881112252152622</v>
      </c>
      <c r="L1718" s="144">
        <f t="shared" ca="1" si="200"/>
        <v>0.635437238328462</v>
      </c>
      <c r="M1718" s="144">
        <f t="shared" ca="1" si="200"/>
        <v>79.461252863575325</v>
      </c>
      <c r="N1718" s="144">
        <f t="shared" ca="1" si="200"/>
        <v>5.9823050793901578</v>
      </c>
      <c r="O1718" s="144">
        <f t="shared" ca="1" si="200"/>
        <v>31.517813413381784</v>
      </c>
      <c r="P1718" s="144">
        <f t="shared" ca="1" si="200"/>
        <v>1</v>
      </c>
      <c r="Q1718" s="144">
        <f t="shared" ca="1" si="200"/>
        <v>0.78995181293941064</v>
      </c>
    </row>
    <row r="1719" spans="1:17" x14ac:dyDescent="0.25">
      <c r="A1719" s="145">
        <v>41051</v>
      </c>
      <c r="B1719" s="144">
        <v>1.2767999999999999</v>
      </c>
      <c r="C1719" s="144">
        <v>39.7196</v>
      </c>
      <c r="D1719" s="144">
        <v>7.5715000000000003</v>
      </c>
      <c r="E1719" s="144">
        <v>101.99</v>
      </c>
      <c r="F1719" s="144">
        <v>0.80869999999999997</v>
      </c>
      <c r="G1719" s="144">
        <v>1.2011000000000001</v>
      </c>
      <c r="I1719" s="144">
        <v>1</v>
      </c>
      <c r="J1719" s="145">
        <f t="shared" si="195"/>
        <v>41051</v>
      </c>
      <c r="K1719" s="144">
        <f t="shared" ca="1" si="200"/>
        <v>0.94071115288220564</v>
      </c>
      <c r="L1719" s="144">
        <f t="shared" ca="1" si="200"/>
        <v>0.6333803258145364</v>
      </c>
      <c r="M1719" s="144">
        <f t="shared" ca="1" si="200"/>
        <v>79.879385964912274</v>
      </c>
      <c r="N1719" s="144">
        <f t="shared" ca="1" si="200"/>
        <v>5.9300595238095246</v>
      </c>
      <c r="O1719" s="144">
        <f t="shared" ca="1" si="200"/>
        <v>31.10870927318296</v>
      </c>
      <c r="P1719" s="144">
        <f t="shared" ca="1" si="200"/>
        <v>1</v>
      </c>
      <c r="Q1719" s="144">
        <f t="shared" ca="1" si="200"/>
        <v>0.78320802005012535</v>
      </c>
    </row>
    <row r="1720" spans="1:17" x14ac:dyDescent="0.25">
      <c r="A1720" s="145">
        <v>41050</v>
      </c>
      <c r="B1720" s="144">
        <v>1.2749999999999999</v>
      </c>
      <c r="C1720" s="144">
        <v>39.864699999999999</v>
      </c>
      <c r="D1720" s="144">
        <v>7.6265000000000001</v>
      </c>
      <c r="E1720" s="144">
        <v>101.06</v>
      </c>
      <c r="F1720" s="144">
        <v>0.8075</v>
      </c>
      <c r="G1720" s="144">
        <v>1.2011000000000001</v>
      </c>
      <c r="I1720" s="144">
        <v>1</v>
      </c>
      <c r="J1720" s="145">
        <f t="shared" si="195"/>
        <v>41050</v>
      </c>
      <c r="K1720" s="144">
        <f t="shared" ca="1" si="200"/>
        <v>0.94203921568627458</v>
      </c>
      <c r="L1720" s="144">
        <f t="shared" ca="1" si="200"/>
        <v>0.63333333333333341</v>
      </c>
      <c r="M1720" s="144">
        <f t="shared" ca="1" si="200"/>
        <v>79.262745098039218</v>
      </c>
      <c r="N1720" s="144">
        <f t="shared" ca="1" si="200"/>
        <v>5.9815686274509812</v>
      </c>
      <c r="O1720" s="144">
        <f t="shared" ca="1" si="200"/>
        <v>31.266431372549022</v>
      </c>
      <c r="P1720" s="144">
        <f t="shared" ca="1" si="200"/>
        <v>1</v>
      </c>
      <c r="Q1720" s="144">
        <f t="shared" ca="1" si="200"/>
        <v>0.78431372549019618</v>
      </c>
    </row>
    <row r="1721" spans="1:17" x14ac:dyDescent="0.25">
      <c r="A1721" s="145">
        <v>41049</v>
      </c>
      <c r="B1721" s="144">
        <v>1.2721</v>
      </c>
      <c r="C1721" s="144">
        <v>39.668500000000002</v>
      </c>
      <c r="D1721" s="144">
        <v>7.5975000000000001</v>
      </c>
      <c r="E1721" s="144">
        <v>100.95</v>
      </c>
      <c r="F1721" s="144">
        <v>0.80420000000000003</v>
      </c>
      <c r="G1721" s="144">
        <v>1.2012</v>
      </c>
      <c r="I1721" s="144">
        <v>1</v>
      </c>
      <c r="J1721" s="145">
        <f t="shared" si="195"/>
        <v>41049</v>
      </c>
      <c r="K1721" s="144">
        <f t="shared" ca="1" si="200"/>
        <v>0.94426538794119963</v>
      </c>
      <c r="L1721" s="144">
        <f t="shared" ca="1" si="200"/>
        <v>0.6321830044807798</v>
      </c>
      <c r="M1721" s="144">
        <f t="shared" ca="1" si="200"/>
        <v>79.356968791761659</v>
      </c>
      <c r="N1721" s="144">
        <f t="shared" ca="1" si="200"/>
        <v>5.9724078295731466</v>
      </c>
      <c r="O1721" s="144">
        <f t="shared" ca="1" si="200"/>
        <v>31.183476141812751</v>
      </c>
      <c r="P1721" s="144">
        <f t="shared" ca="1" si="200"/>
        <v>1</v>
      </c>
      <c r="Q1721" s="144">
        <f t="shared" ca="1" si="200"/>
        <v>0.78610172156277025</v>
      </c>
    </row>
    <row r="1722" spans="1:17" x14ac:dyDescent="0.25">
      <c r="A1722" s="145">
        <v>41048</v>
      </c>
      <c r="B1722" s="144">
        <v>1.2721</v>
      </c>
      <c r="C1722" s="144">
        <v>39.668500000000002</v>
      </c>
      <c r="D1722" s="144">
        <v>7.5975000000000001</v>
      </c>
      <c r="E1722" s="144">
        <v>100.95</v>
      </c>
      <c r="F1722" s="144">
        <v>0.80420000000000003</v>
      </c>
      <c r="G1722" s="144">
        <v>1.2012</v>
      </c>
      <c r="I1722" s="144">
        <v>1</v>
      </c>
      <c r="J1722" s="145">
        <f t="shared" si="195"/>
        <v>41048</v>
      </c>
      <c r="K1722" s="144">
        <f t="shared" ca="1" si="200"/>
        <v>0.94426538794119963</v>
      </c>
      <c r="L1722" s="144">
        <f t="shared" ca="1" si="200"/>
        <v>0.6321830044807798</v>
      </c>
      <c r="M1722" s="144">
        <f t="shared" ca="1" si="200"/>
        <v>79.356968791761659</v>
      </c>
      <c r="N1722" s="144">
        <f t="shared" ca="1" si="200"/>
        <v>5.9724078295731466</v>
      </c>
      <c r="O1722" s="144">
        <f t="shared" ca="1" si="200"/>
        <v>31.183476141812751</v>
      </c>
      <c r="P1722" s="144">
        <f t="shared" ca="1" si="200"/>
        <v>1</v>
      </c>
      <c r="Q1722" s="144">
        <f t="shared" ca="1" si="200"/>
        <v>0.78610172156277025</v>
      </c>
    </row>
    <row r="1723" spans="1:17" x14ac:dyDescent="0.25">
      <c r="A1723" s="145">
        <v>41047</v>
      </c>
      <c r="B1723" s="144">
        <v>1.2721</v>
      </c>
      <c r="C1723" s="144">
        <v>39.668500000000002</v>
      </c>
      <c r="D1723" s="144">
        <v>7.5975000000000001</v>
      </c>
      <c r="E1723" s="144">
        <v>100.95</v>
      </c>
      <c r="F1723" s="144">
        <v>0.80420000000000003</v>
      </c>
      <c r="G1723" s="144">
        <v>1.2012</v>
      </c>
      <c r="I1723" s="144">
        <v>1</v>
      </c>
      <c r="J1723" s="145">
        <f t="shared" si="195"/>
        <v>41047</v>
      </c>
      <c r="K1723" s="144">
        <f t="shared" ca="1" si="200"/>
        <v>0.94426538794119963</v>
      </c>
      <c r="L1723" s="144">
        <f t="shared" ca="1" si="200"/>
        <v>0.6321830044807798</v>
      </c>
      <c r="M1723" s="144">
        <f t="shared" ca="1" si="200"/>
        <v>79.356968791761659</v>
      </c>
      <c r="N1723" s="144">
        <f t="shared" ca="1" si="200"/>
        <v>5.9724078295731466</v>
      </c>
      <c r="O1723" s="144">
        <f t="shared" ca="1" si="200"/>
        <v>31.183476141812751</v>
      </c>
      <c r="P1723" s="144">
        <f t="shared" ca="1" si="200"/>
        <v>1</v>
      </c>
      <c r="Q1723" s="144">
        <f t="shared" ca="1" si="200"/>
        <v>0.78610172156277025</v>
      </c>
    </row>
    <row r="1724" spans="1:17" x14ac:dyDescent="0.25">
      <c r="A1724" s="145">
        <v>41046</v>
      </c>
      <c r="B1724" s="144">
        <v>1.2682</v>
      </c>
      <c r="C1724" s="144">
        <v>39.575000000000003</v>
      </c>
      <c r="D1724" s="144">
        <v>7.5801999999999996</v>
      </c>
      <c r="E1724" s="144">
        <v>101.77</v>
      </c>
      <c r="F1724" s="144">
        <v>0.80079999999999996</v>
      </c>
      <c r="G1724" s="144">
        <v>1.2011000000000001</v>
      </c>
      <c r="I1724" s="144">
        <v>1</v>
      </c>
      <c r="J1724" s="145">
        <f t="shared" si="195"/>
        <v>41046</v>
      </c>
      <c r="K1724" s="144">
        <f t="shared" ca="1" si="200"/>
        <v>0.94709036429585247</v>
      </c>
      <c r="L1724" s="144">
        <f t="shared" ca="1" si="200"/>
        <v>0.63144614414130262</v>
      </c>
      <c r="M1724" s="144">
        <f t="shared" ca="1" si="200"/>
        <v>80.247595016558904</v>
      </c>
      <c r="N1724" s="144">
        <f t="shared" ca="1" si="200"/>
        <v>5.9771329443305472</v>
      </c>
      <c r="O1724" s="144">
        <f t="shared" ca="1" si="200"/>
        <v>31.205645797192876</v>
      </c>
      <c r="P1724" s="144">
        <f t="shared" ca="1" si="200"/>
        <v>1</v>
      </c>
      <c r="Q1724" s="144">
        <f t="shared" ca="1" si="200"/>
        <v>0.7885191610156127</v>
      </c>
    </row>
    <row r="1725" spans="1:17" x14ac:dyDescent="0.25">
      <c r="A1725" s="145">
        <v>41045</v>
      </c>
      <c r="B1725" s="144">
        <v>1.2738</v>
      </c>
      <c r="C1725" s="144">
        <v>39.356200000000001</v>
      </c>
      <c r="D1725" s="144">
        <v>7.6210000000000004</v>
      </c>
      <c r="E1725" s="144">
        <v>102.53</v>
      </c>
      <c r="F1725" s="144">
        <v>0.79925000000000002</v>
      </c>
      <c r="G1725" s="144">
        <v>1.2011000000000001</v>
      </c>
      <c r="I1725" s="144">
        <v>1</v>
      </c>
      <c r="J1725" s="145">
        <f t="shared" si="195"/>
        <v>41045</v>
      </c>
      <c r="K1725" s="144">
        <f t="shared" ref="K1725:Q1734" ca="1" si="201">OFFSET($A1725,0,K$3)/OFFSET($A1725,0,$P$3)</f>
        <v>0.94292667608729785</v>
      </c>
      <c r="L1725" s="144">
        <f t="shared" ca="1" si="201"/>
        <v>0.6274532893703878</v>
      </c>
      <c r="M1725" s="144">
        <f t="shared" ca="1" si="201"/>
        <v>80.491442926676086</v>
      </c>
      <c r="N1725" s="144">
        <f t="shared" ca="1" si="201"/>
        <v>5.9828858533521752</v>
      </c>
      <c r="O1725" s="144">
        <f t="shared" ca="1" si="201"/>
        <v>30.89668707803423</v>
      </c>
      <c r="P1725" s="144">
        <f t="shared" ca="1" si="201"/>
        <v>1</v>
      </c>
      <c r="Q1725" s="144">
        <f t="shared" ca="1" si="201"/>
        <v>0.78505259852410114</v>
      </c>
    </row>
    <row r="1726" spans="1:17" x14ac:dyDescent="0.25">
      <c r="A1726" s="145">
        <v>41044</v>
      </c>
      <c r="B1726" s="144">
        <v>1.2843</v>
      </c>
      <c r="C1726" s="144">
        <v>39.045200000000001</v>
      </c>
      <c r="D1726" s="144">
        <v>7.6185</v>
      </c>
      <c r="E1726" s="144">
        <v>102.65</v>
      </c>
      <c r="F1726" s="144">
        <v>0.80010000000000003</v>
      </c>
      <c r="G1726" s="144">
        <v>1.2010000000000001</v>
      </c>
      <c r="I1726" s="144">
        <v>1</v>
      </c>
      <c r="J1726" s="145">
        <f t="shared" si="195"/>
        <v>41044</v>
      </c>
      <c r="K1726" s="144">
        <f t="shared" ca="1" si="201"/>
        <v>0.93513976485244887</v>
      </c>
      <c r="L1726" s="144">
        <f t="shared" ca="1" si="201"/>
        <v>0.62298528381219342</v>
      </c>
      <c r="M1726" s="144">
        <f t="shared" ca="1" si="201"/>
        <v>79.926808378104809</v>
      </c>
      <c r="N1726" s="144">
        <f t="shared" ca="1" si="201"/>
        <v>5.9320252277505254</v>
      </c>
      <c r="O1726" s="144">
        <f t="shared" ca="1" si="201"/>
        <v>30.401931013003193</v>
      </c>
      <c r="P1726" s="144">
        <f t="shared" ca="1" si="201"/>
        <v>1</v>
      </c>
      <c r="Q1726" s="144">
        <f t="shared" ca="1" si="201"/>
        <v>0.77863427548080666</v>
      </c>
    </row>
    <row r="1727" spans="1:17" x14ac:dyDescent="0.25">
      <c r="A1727" s="145">
        <v>41043</v>
      </c>
      <c r="B1727" s="144">
        <v>1.2863</v>
      </c>
      <c r="C1727" s="144">
        <v>39.0441</v>
      </c>
      <c r="D1727" s="144">
        <v>7.5914999999999999</v>
      </c>
      <c r="E1727" s="144">
        <v>102.64</v>
      </c>
      <c r="F1727" s="144">
        <v>0.8</v>
      </c>
      <c r="G1727" s="144">
        <v>1.2010000000000001</v>
      </c>
      <c r="I1727" s="144">
        <v>1</v>
      </c>
      <c r="J1727" s="145">
        <f t="shared" si="195"/>
        <v>41043</v>
      </c>
      <c r="K1727" s="144">
        <f t="shared" ca="1" si="201"/>
        <v>0.93368576537355208</v>
      </c>
      <c r="L1727" s="144">
        <f t="shared" ca="1" si="201"/>
        <v>0.62193889450361506</v>
      </c>
      <c r="M1727" s="144">
        <f t="shared" ca="1" si="201"/>
        <v>79.794760164813809</v>
      </c>
      <c r="N1727" s="144">
        <f t="shared" ca="1" si="201"/>
        <v>5.9018113970302419</v>
      </c>
      <c r="O1727" s="144">
        <f t="shared" ca="1" si="201"/>
        <v>30.353805488610742</v>
      </c>
      <c r="P1727" s="144">
        <f t="shared" ca="1" si="201"/>
        <v>1</v>
      </c>
      <c r="Q1727" s="144">
        <f t="shared" ca="1" si="201"/>
        <v>0.77742361812951877</v>
      </c>
    </row>
    <row r="1728" spans="1:17" x14ac:dyDescent="0.25">
      <c r="A1728" s="145">
        <v>41042</v>
      </c>
      <c r="B1728" s="144">
        <v>1.2944</v>
      </c>
      <c r="C1728" s="144">
        <v>39.013399999999997</v>
      </c>
      <c r="D1728" s="144">
        <v>7.5815000000000001</v>
      </c>
      <c r="E1728" s="144">
        <v>103.48</v>
      </c>
      <c r="F1728" s="144">
        <v>0.80330000000000001</v>
      </c>
      <c r="G1728" s="144">
        <v>1.2012</v>
      </c>
      <c r="I1728" s="144">
        <v>1</v>
      </c>
      <c r="J1728" s="145">
        <f t="shared" si="195"/>
        <v>41042</v>
      </c>
      <c r="K1728" s="144">
        <f t="shared" ca="1" si="201"/>
        <v>0.92799752781211375</v>
      </c>
      <c r="L1728" s="144">
        <f t="shared" ca="1" si="201"/>
        <v>0.62059641532756493</v>
      </c>
      <c r="M1728" s="144">
        <f t="shared" ca="1" si="201"/>
        <v>79.944375772558715</v>
      </c>
      <c r="N1728" s="144">
        <f t="shared" ca="1" si="201"/>
        <v>5.8571538936959211</v>
      </c>
      <c r="O1728" s="144">
        <f t="shared" ca="1" si="201"/>
        <v>30.140142150803459</v>
      </c>
      <c r="P1728" s="144">
        <f t="shared" ca="1" si="201"/>
        <v>1</v>
      </c>
      <c r="Q1728" s="144">
        <f t="shared" ca="1" si="201"/>
        <v>0.77255871446229918</v>
      </c>
    </row>
    <row r="1729" spans="1:17" x14ac:dyDescent="0.25">
      <c r="A1729" s="145">
        <v>41041</v>
      </c>
      <c r="B1729" s="144">
        <v>1.2944</v>
      </c>
      <c r="C1729" s="144">
        <v>39.013399999999997</v>
      </c>
      <c r="D1729" s="144">
        <v>7.5815000000000001</v>
      </c>
      <c r="E1729" s="144">
        <v>103.48</v>
      </c>
      <c r="F1729" s="144">
        <v>0.80330000000000001</v>
      </c>
      <c r="G1729" s="144">
        <v>1.2012</v>
      </c>
      <c r="I1729" s="144">
        <v>1</v>
      </c>
      <c r="J1729" s="145">
        <f t="shared" si="195"/>
        <v>41041</v>
      </c>
      <c r="K1729" s="144">
        <f t="shared" ca="1" si="201"/>
        <v>0.92799752781211375</v>
      </c>
      <c r="L1729" s="144">
        <f t="shared" ca="1" si="201"/>
        <v>0.62059641532756493</v>
      </c>
      <c r="M1729" s="144">
        <f t="shared" ca="1" si="201"/>
        <v>79.944375772558715</v>
      </c>
      <c r="N1729" s="144">
        <f t="shared" ca="1" si="201"/>
        <v>5.8571538936959211</v>
      </c>
      <c r="O1729" s="144">
        <f t="shared" ca="1" si="201"/>
        <v>30.140142150803459</v>
      </c>
      <c r="P1729" s="144">
        <f t="shared" ca="1" si="201"/>
        <v>1</v>
      </c>
      <c r="Q1729" s="144">
        <f t="shared" ca="1" si="201"/>
        <v>0.77255871446229918</v>
      </c>
    </row>
    <row r="1730" spans="1:17" x14ac:dyDescent="0.25">
      <c r="A1730" s="145">
        <v>41040</v>
      </c>
      <c r="B1730" s="144">
        <v>1.2944</v>
      </c>
      <c r="C1730" s="144">
        <v>39.013399999999997</v>
      </c>
      <c r="D1730" s="144">
        <v>7.5815000000000001</v>
      </c>
      <c r="E1730" s="144">
        <v>103.48</v>
      </c>
      <c r="F1730" s="144">
        <v>0.80330000000000001</v>
      </c>
      <c r="G1730" s="144">
        <v>1.2012</v>
      </c>
      <c r="I1730" s="144">
        <v>1</v>
      </c>
      <c r="J1730" s="145">
        <f t="shared" si="195"/>
        <v>41040</v>
      </c>
      <c r="K1730" s="144">
        <f t="shared" ca="1" si="201"/>
        <v>0.92799752781211375</v>
      </c>
      <c r="L1730" s="144">
        <f t="shared" ca="1" si="201"/>
        <v>0.62059641532756493</v>
      </c>
      <c r="M1730" s="144">
        <f t="shared" ca="1" si="201"/>
        <v>79.944375772558715</v>
      </c>
      <c r="N1730" s="144">
        <f t="shared" ca="1" si="201"/>
        <v>5.8571538936959211</v>
      </c>
      <c r="O1730" s="144">
        <f t="shared" ca="1" si="201"/>
        <v>30.140142150803459</v>
      </c>
      <c r="P1730" s="144">
        <f t="shared" ca="1" si="201"/>
        <v>1</v>
      </c>
      <c r="Q1730" s="144">
        <f t="shared" ca="1" si="201"/>
        <v>0.77255871446229918</v>
      </c>
    </row>
    <row r="1731" spans="1:17" x14ac:dyDescent="0.25">
      <c r="A1731" s="145">
        <v>41039</v>
      </c>
      <c r="B1731" s="144">
        <v>1.2961</v>
      </c>
      <c r="C1731" s="144">
        <v>39.036999999999999</v>
      </c>
      <c r="D1731" s="144">
        <v>7.5575000000000001</v>
      </c>
      <c r="E1731" s="144">
        <v>103.31</v>
      </c>
      <c r="F1731" s="144">
        <v>0.80179999999999996</v>
      </c>
      <c r="G1731" s="144">
        <v>1.2013</v>
      </c>
      <c r="I1731" s="144">
        <v>1</v>
      </c>
      <c r="J1731" s="145">
        <f t="shared" si="195"/>
        <v>41039</v>
      </c>
      <c r="K1731" s="144">
        <f t="shared" ca="1" si="201"/>
        <v>0.92685749556361396</v>
      </c>
      <c r="L1731" s="144">
        <f t="shared" ca="1" si="201"/>
        <v>0.61862510608749322</v>
      </c>
      <c r="M1731" s="144">
        <f t="shared" ca="1" si="201"/>
        <v>79.708355836740992</v>
      </c>
      <c r="N1731" s="144">
        <f t="shared" ca="1" si="201"/>
        <v>5.8309544016665384</v>
      </c>
      <c r="O1731" s="144">
        <f t="shared" ca="1" si="201"/>
        <v>30.118817992438853</v>
      </c>
      <c r="P1731" s="144">
        <f t="shared" ca="1" si="201"/>
        <v>1</v>
      </c>
      <c r="Q1731" s="144">
        <f t="shared" ca="1" si="201"/>
        <v>0.77154540544711059</v>
      </c>
    </row>
    <row r="1732" spans="1:17" x14ac:dyDescent="0.25">
      <c r="A1732" s="145">
        <v>41038</v>
      </c>
      <c r="B1732" s="144">
        <v>1.2949999999999999</v>
      </c>
      <c r="C1732" s="144">
        <v>39.299999999999997</v>
      </c>
      <c r="D1732" s="144">
        <v>7.5629999999999997</v>
      </c>
      <c r="E1732" s="144">
        <v>102.99</v>
      </c>
      <c r="F1732" s="144">
        <v>0.80495000000000005</v>
      </c>
      <c r="G1732" s="144">
        <v>1.2010000000000001</v>
      </c>
      <c r="I1732" s="144">
        <v>1</v>
      </c>
      <c r="J1732" s="145">
        <f t="shared" si="195"/>
        <v>41038</v>
      </c>
      <c r="K1732" s="144">
        <f t="shared" ca="1" si="201"/>
        <v>0.92741312741312754</v>
      </c>
      <c r="L1732" s="144">
        <f t="shared" ca="1" si="201"/>
        <v>0.62158301158301166</v>
      </c>
      <c r="M1732" s="144">
        <f t="shared" ca="1" si="201"/>
        <v>79.528957528957534</v>
      </c>
      <c r="N1732" s="144">
        <f t="shared" ca="1" si="201"/>
        <v>5.8401544401544401</v>
      </c>
      <c r="O1732" s="144">
        <f t="shared" ca="1" si="201"/>
        <v>30.347490347490346</v>
      </c>
      <c r="P1732" s="144">
        <f t="shared" ca="1" si="201"/>
        <v>1</v>
      </c>
      <c r="Q1732" s="144">
        <f t="shared" ca="1" si="201"/>
        <v>0.77220077220077221</v>
      </c>
    </row>
    <row r="1733" spans="1:17" x14ac:dyDescent="0.25">
      <c r="A1733" s="145">
        <v>41037</v>
      </c>
      <c r="B1733" s="144">
        <v>1.3025</v>
      </c>
      <c r="C1733" s="144">
        <v>39.112000000000002</v>
      </c>
      <c r="D1733" s="144">
        <v>7.5605000000000002</v>
      </c>
      <c r="E1733" s="144">
        <v>104.01</v>
      </c>
      <c r="F1733" s="144">
        <v>0.80645</v>
      </c>
      <c r="G1733" s="144">
        <v>1.2014</v>
      </c>
      <c r="I1733" s="144">
        <v>1</v>
      </c>
      <c r="J1733" s="145">
        <f t="shared" ref="J1733:J1796" si="202">A1733</f>
        <v>41037</v>
      </c>
      <c r="K1733" s="144">
        <f t="shared" ca="1" si="201"/>
        <v>0.92238003838771598</v>
      </c>
      <c r="L1733" s="144">
        <f t="shared" ca="1" si="201"/>
        <v>0.61915547024952011</v>
      </c>
      <c r="M1733" s="144">
        <f t="shared" ca="1" si="201"/>
        <v>79.854126679462581</v>
      </c>
      <c r="N1733" s="144">
        <f t="shared" ca="1" si="201"/>
        <v>5.8046065259117086</v>
      </c>
      <c r="O1733" s="144">
        <f t="shared" ca="1" si="201"/>
        <v>30.02840690978887</v>
      </c>
      <c r="P1733" s="144">
        <f t="shared" ca="1" si="201"/>
        <v>1</v>
      </c>
      <c r="Q1733" s="144">
        <f t="shared" ca="1" si="201"/>
        <v>0.76775431861804222</v>
      </c>
    </row>
    <row r="1734" spans="1:17" x14ac:dyDescent="0.25">
      <c r="A1734" s="145">
        <v>41036</v>
      </c>
      <c r="B1734" s="144">
        <v>1.3032999999999999</v>
      </c>
      <c r="C1734" s="144">
        <v>39.181899999999999</v>
      </c>
      <c r="D1734" s="144">
        <v>7.5635000000000003</v>
      </c>
      <c r="E1734" s="144">
        <v>104.19</v>
      </c>
      <c r="F1734" s="144">
        <v>0.80647000000000002</v>
      </c>
      <c r="G1734" s="144">
        <v>1.2012</v>
      </c>
      <c r="I1734" s="144">
        <v>1</v>
      </c>
      <c r="J1734" s="145">
        <f t="shared" si="202"/>
        <v>41036</v>
      </c>
      <c r="K1734" s="144">
        <f t="shared" ca="1" si="201"/>
        <v>0.92166040052175258</v>
      </c>
      <c r="L1734" s="144">
        <f t="shared" ca="1" si="201"/>
        <v>0.61879076191206939</v>
      </c>
      <c r="M1734" s="144">
        <f t="shared" ca="1" si="201"/>
        <v>79.943221054246919</v>
      </c>
      <c r="N1734" s="144">
        <f t="shared" ca="1" si="201"/>
        <v>5.8033453541011282</v>
      </c>
      <c r="O1734" s="144">
        <f t="shared" ca="1" si="201"/>
        <v>30.063607764904475</v>
      </c>
      <c r="P1734" s="144">
        <f t="shared" ca="1" si="201"/>
        <v>1</v>
      </c>
      <c r="Q1734" s="144">
        <f t="shared" ca="1" si="201"/>
        <v>0.76728305071740976</v>
      </c>
    </row>
    <row r="1735" spans="1:17" x14ac:dyDescent="0.25">
      <c r="A1735" s="145">
        <v>41035</v>
      </c>
      <c r="B1735" s="144">
        <v>1.3131999999999999</v>
      </c>
      <c r="C1735" s="144">
        <v>38.875</v>
      </c>
      <c r="D1735" s="144">
        <v>7.5609999999999999</v>
      </c>
      <c r="E1735" s="144">
        <v>105.41</v>
      </c>
      <c r="F1735" s="144">
        <v>0.81194999999999995</v>
      </c>
      <c r="G1735" s="144">
        <v>1.2014</v>
      </c>
      <c r="I1735" s="144">
        <v>1</v>
      </c>
      <c r="J1735" s="145">
        <f t="shared" si="202"/>
        <v>41035</v>
      </c>
      <c r="K1735" s="144">
        <f t="shared" ref="K1735:Q1744" ca="1" si="203">OFFSET($A1735,0,K$3)/OFFSET($A1735,0,$P$3)</f>
        <v>0.91486445324398424</v>
      </c>
      <c r="L1735" s="144">
        <f t="shared" ca="1" si="203"/>
        <v>0.61829881206213833</v>
      </c>
      <c r="M1735" s="144">
        <f t="shared" ca="1" si="203"/>
        <v>80.269570514773079</v>
      </c>
      <c r="N1735" s="144">
        <f t="shared" ca="1" si="203"/>
        <v>5.7576911361559553</v>
      </c>
      <c r="O1735" s="144">
        <f t="shared" ca="1" si="203"/>
        <v>29.603259214133416</v>
      </c>
      <c r="P1735" s="144">
        <f t="shared" ca="1" si="203"/>
        <v>1</v>
      </c>
      <c r="Q1735" s="144">
        <f t="shared" ca="1" si="203"/>
        <v>0.76149862930246726</v>
      </c>
    </row>
    <row r="1736" spans="1:17" x14ac:dyDescent="0.25">
      <c r="A1736" s="145">
        <v>41034</v>
      </c>
      <c r="B1736" s="144">
        <v>1.3131999999999999</v>
      </c>
      <c r="C1736" s="144">
        <v>38.875</v>
      </c>
      <c r="D1736" s="144">
        <v>7.5609999999999999</v>
      </c>
      <c r="E1736" s="144">
        <v>105.41</v>
      </c>
      <c r="F1736" s="144">
        <v>0.81194999999999995</v>
      </c>
      <c r="G1736" s="144">
        <v>1.2014</v>
      </c>
      <c r="I1736" s="144">
        <v>1</v>
      </c>
      <c r="J1736" s="145">
        <f t="shared" si="202"/>
        <v>41034</v>
      </c>
      <c r="K1736" s="144">
        <f t="shared" ca="1" si="203"/>
        <v>0.91486445324398424</v>
      </c>
      <c r="L1736" s="144">
        <f t="shared" ca="1" si="203"/>
        <v>0.61829881206213833</v>
      </c>
      <c r="M1736" s="144">
        <f t="shared" ca="1" si="203"/>
        <v>80.269570514773079</v>
      </c>
      <c r="N1736" s="144">
        <f t="shared" ca="1" si="203"/>
        <v>5.7576911361559553</v>
      </c>
      <c r="O1736" s="144">
        <f t="shared" ca="1" si="203"/>
        <v>29.603259214133416</v>
      </c>
      <c r="P1736" s="144">
        <f t="shared" ca="1" si="203"/>
        <v>1</v>
      </c>
      <c r="Q1736" s="144">
        <f t="shared" ca="1" si="203"/>
        <v>0.76149862930246726</v>
      </c>
    </row>
    <row r="1737" spans="1:17" x14ac:dyDescent="0.25">
      <c r="A1737" s="145">
        <v>41033</v>
      </c>
      <c r="B1737" s="144">
        <v>1.3131999999999999</v>
      </c>
      <c r="C1737" s="144">
        <v>38.875</v>
      </c>
      <c r="D1737" s="144">
        <v>7.5609999999999999</v>
      </c>
      <c r="E1737" s="144">
        <v>105.41</v>
      </c>
      <c r="F1737" s="144">
        <v>0.81194999999999995</v>
      </c>
      <c r="G1737" s="144">
        <v>1.2014</v>
      </c>
      <c r="I1737" s="144">
        <v>1</v>
      </c>
      <c r="J1737" s="145">
        <f t="shared" si="202"/>
        <v>41033</v>
      </c>
      <c r="K1737" s="144">
        <f t="shared" ca="1" si="203"/>
        <v>0.91486445324398424</v>
      </c>
      <c r="L1737" s="144">
        <f t="shared" ca="1" si="203"/>
        <v>0.61829881206213833</v>
      </c>
      <c r="M1737" s="144">
        <f t="shared" ca="1" si="203"/>
        <v>80.269570514773079</v>
      </c>
      <c r="N1737" s="144">
        <f t="shared" ca="1" si="203"/>
        <v>5.7576911361559553</v>
      </c>
      <c r="O1737" s="144">
        <f t="shared" ca="1" si="203"/>
        <v>29.603259214133416</v>
      </c>
      <c r="P1737" s="144">
        <f t="shared" ca="1" si="203"/>
        <v>1</v>
      </c>
      <c r="Q1737" s="144">
        <f t="shared" ca="1" si="203"/>
        <v>0.76149862930246726</v>
      </c>
    </row>
    <row r="1738" spans="1:17" x14ac:dyDescent="0.25">
      <c r="A1738" s="145">
        <v>41032</v>
      </c>
      <c r="B1738" s="144">
        <v>1.3123</v>
      </c>
      <c r="C1738" s="144">
        <v>38.782400000000003</v>
      </c>
      <c r="D1738" s="144">
        <v>7.5404999999999998</v>
      </c>
      <c r="E1738" s="144">
        <v>105.49</v>
      </c>
      <c r="F1738" s="144">
        <v>0.81125000000000003</v>
      </c>
      <c r="G1738" s="144">
        <v>1.2014</v>
      </c>
      <c r="I1738" s="144">
        <v>1</v>
      </c>
      <c r="J1738" s="145">
        <f t="shared" si="202"/>
        <v>41032</v>
      </c>
      <c r="K1738" s="144">
        <f t="shared" ca="1" si="203"/>
        <v>0.91549188447763474</v>
      </c>
      <c r="L1738" s="144">
        <f t="shared" ca="1" si="203"/>
        <v>0.61818943839061191</v>
      </c>
      <c r="M1738" s="144">
        <f t="shared" ca="1" si="203"/>
        <v>80.385582564962277</v>
      </c>
      <c r="N1738" s="144">
        <f t="shared" ca="1" si="203"/>
        <v>5.7460184409052806</v>
      </c>
      <c r="O1738" s="144">
        <f t="shared" ca="1" si="203"/>
        <v>29.552998552160332</v>
      </c>
      <c r="P1738" s="144">
        <f t="shared" ca="1" si="203"/>
        <v>1</v>
      </c>
      <c r="Q1738" s="144">
        <f t="shared" ca="1" si="203"/>
        <v>0.76202087937209473</v>
      </c>
    </row>
    <row r="1739" spans="1:17" x14ac:dyDescent="0.25">
      <c r="A1739" s="145">
        <v>41031</v>
      </c>
      <c r="B1739" s="144">
        <v>1.3130999999999999</v>
      </c>
      <c r="C1739" s="144">
        <v>38.700000000000003</v>
      </c>
      <c r="D1739" s="144">
        <v>7.5525000000000002</v>
      </c>
      <c r="E1739" s="144">
        <v>105.31</v>
      </c>
      <c r="F1739" s="144">
        <v>0.81205000000000005</v>
      </c>
      <c r="G1739" s="144">
        <v>1.2018</v>
      </c>
      <c r="I1739" s="144">
        <v>1</v>
      </c>
      <c r="J1739" s="145">
        <f t="shared" si="202"/>
        <v>41031</v>
      </c>
      <c r="K1739" s="144">
        <f t="shared" ca="1" si="203"/>
        <v>0.91523874800091387</v>
      </c>
      <c r="L1739" s="144">
        <f t="shared" ca="1" si="203"/>
        <v>0.61842205467976552</v>
      </c>
      <c r="M1739" s="144">
        <f t="shared" ca="1" si="203"/>
        <v>80.199527834894525</v>
      </c>
      <c r="N1739" s="144">
        <f t="shared" ca="1" si="203"/>
        <v>5.7516563856522733</v>
      </c>
      <c r="O1739" s="144">
        <f t="shared" ca="1" si="203"/>
        <v>29.472241261137768</v>
      </c>
      <c r="P1739" s="144">
        <f t="shared" ca="1" si="203"/>
        <v>1</v>
      </c>
      <c r="Q1739" s="144">
        <f t="shared" ca="1" si="203"/>
        <v>0.76155662173482608</v>
      </c>
    </row>
    <row r="1740" spans="1:17" x14ac:dyDescent="0.25">
      <c r="A1740" s="145">
        <v>41030</v>
      </c>
      <c r="B1740" s="144">
        <v>1.3213999999999999</v>
      </c>
      <c r="C1740" s="144">
        <v>38.846499999999999</v>
      </c>
      <c r="D1740" s="144">
        <v>7.5875000000000004</v>
      </c>
      <c r="E1740" s="144">
        <v>105.85</v>
      </c>
      <c r="F1740" s="144">
        <v>0.81294999999999995</v>
      </c>
      <c r="G1740" s="144">
        <v>1.2018</v>
      </c>
      <c r="I1740" s="144">
        <v>1</v>
      </c>
      <c r="J1740" s="145">
        <f t="shared" si="202"/>
        <v>41030</v>
      </c>
      <c r="K1740" s="144">
        <f t="shared" ca="1" si="203"/>
        <v>0.90948993491751173</v>
      </c>
      <c r="L1740" s="144">
        <f t="shared" ca="1" si="203"/>
        <v>0.61521870743151208</v>
      </c>
      <c r="M1740" s="144">
        <f t="shared" ca="1" si="203"/>
        <v>80.104434690479792</v>
      </c>
      <c r="N1740" s="144">
        <f t="shared" ca="1" si="203"/>
        <v>5.742016043590132</v>
      </c>
      <c r="O1740" s="144">
        <f t="shared" ca="1" si="203"/>
        <v>29.397986983502346</v>
      </c>
      <c r="P1740" s="144">
        <f t="shared" ca="1" si="203"/>
        <v>1</v>
      </c>
      <c r="Q1740" s="144">
        <f t="shared" ca="1" si="203"/>
        <v>0.75677311941879832</v>
      </c>
    </row>
    <row r="1741" spans="1:17" x14ac:dyDescent="0.25">
      <c r="A1741" s="145">
        <v>41029</v>
      </c>
      <c r="B1741" s="144">
        <v>1.3213999999999999</v>
      </c>
      <c r="C1741" s="144">
        <v>38.846499999999999</v>
      </c>
      <c r="D1741" s="144">
        <v>7.5875000000000004</v>
      </c>
      <c r="E1741" s="144">
        <v>105.85</v>
      </c>
      <c r="F1741" s="144">
        <v>0.81294999999999995</v>
      </c>
      <c r="G1741" s="144">
        <v>1.2018</v>
      </c>
      <c r="I1741" s="144">
        <v>1</v>
      </c>
      <c r="J1741" s="145">
        <f t="shared" si="202"/>
        <v>41029</v>
      </c>
      <c r="K1741" s="144">
        <f t="shared" ca="1" si="203"/>
        <v>0.90948993491751173</v>
      </c>
      <c r="L1741" s="144">
        <f t="shared" ca="1" si="203"/>
        <v>0.61521870743151208</v>
      </c>
      <c r="M1741" s="144">
        <f t="shared" ca="1" si="203"/>
        <v>80.104434690479792</v>
      </c>
      <c r="N1741" s="144">
        <f t="shared" ca="1" si="203"/>
        <v>5.742016043590132</v>
      </c>
      <c r="O1741" s="144">
        <f t="shared" ca="1" si="203"/>
        <v>29.397986983502346</v>
      </c>
      <c r="P1741" s="144">
        <f t="shared" ca="1" si="203"/>
        <v>1</v>
      </c>
      <c r="Q1741" s="144">
        <f t="shared" ca="1" si="203"/>
        <v>0.75677311941879832</v>
      </c>
    </row>
    <row r="1742" spans="1:17" x14ac:dyDescent="0.25">
      <c r="A1742" s="145">
        <v>41028</v>
      </c>
      <c r="B1742" s="144">
        <v>1.3229</v>
      </c>
      <c r="C1742" s="144">
        <v>38.875</v>
      </c>
      <c r="D1742" s="144">
        <v>7.5880000000000001</v>
      </c>
      <c r="E1742" s="144">
        <v>106.75</v>
      </c>
      <c r="F1742" s="144">
        <v>0.81530000000000002</v>
      </c>
      <c r="G1742" s="144">
        <v>1.2014</v>
      </c>
      <c r="I1742" s="144">
        <v>1</v>
      </c>
      <c r="J1742" s="145">
        <f t="shared" si="202"/>
        <v>41028</v>
      </c>
      <c r="K1742" s="144">
        <f t="shared" ca="1" si="203"/>
        <v>0.90815632322926909</v>
      </c>
      <c r="L1742" s="144">
        <f t="shared" ca="1" si="203"/>
        <v>0.61629752815783512</v>
      </c>
      <c r="M1742" s="144">
        <f t="shared" ca="1" si="203"/>
        <v>80.693930002267749</v>
      </c>
      <c r="N1742" s="144">
        <f t="shared" ca="1" si="203"/>
        <v>5.7358832867185727</v>
      </c>
      <c r="O1742" s="144">
        <f t="shared" ca="1" si="203"/>
        <v>29.38619699145816</v>
      </c>
      <c r="P1742" s="144">
        <f t="shared" ca="1" si="203"/>
        <v>1</v>
      </c>
      <c r="Q1742" s="144">
        <f t="shared" ca="1" si="203"/>
        <v>0.75591503515004921</v>
      </c>
    </row>
    <row r="1743" spans="1:17" x14ac:dyDescent="0.25">
      <c r="A1743" s="145">
        <v>41027</v>
      </c>
      <c r="B1743" s="144">
        <v>1.3229</v>
      </c>
      <c r="C1743" s="144">
        <v>38.875</v>
      </c>
      <c r="D1743" s="144">
        <v>7.5880000000000001</v>
      </c>
      <c r="E1743" s="144">
        <v>106.75</v>
      </c>
      <c r="F1743" s="144">
        <v>0.81530000000000002</v>
      </c>
      <c r="G1743" s="144">
        <v>1.2014</v>
      </c>
      <c r="I1743" s="144">
        <v>1</v>
      </c>
      <c r="J1743" s="145">
        <f t="shared" si="202"/>
        <v>41027</v>
      </c>
      <c r="K1743" s="144">
        <f t="shared" ca="1" si="203"/>
        <v>0.90815632322926909</v>
      </c>
      <c r="L1743" s="144">
        <f t="shared" ca="1" si="203"/>
        <v>0.61629752815783512</v>
      </c>
      <c r="M1743" s="144">
        <f t="shared" ca="1" si="203"/>
        <v>80.693930002267749</v>
      </c>
      <c r="N1743" s="144">
        <f t="shared" ca="1" si="203"/>
        <v>5.7358832867185727</v>
      </c>
      <c r="O1743" s="144">
        <f t="shared" ca="1" si="203"/>
        <v>29.38619699145816</v>
      </c>
      <c r="P1743" s="144">
        <f t="shared" ca="1" si="203"/>
        <v>1</v>
      </c>
      <c r="Q1743" s="144">
        <f t="shared" ca="1" si="203"/>
        <v>0.75591503515004921</v>
      </c>
    </row>
    <row r="1744" spans="1:17" x14ac:dyDescent="0.25">
      <c r="A1744" s="145">
        <v>41026</v>
      </c>
      <c r="B1744" s="144">
        <v>1.3229</v>
      </c>
      <c r="C1744" s="144">
        <v>38.875</v>
      </c>
      <c r="D1744" s="144">
        <v>7.5880000000000001</v>
      </c>
      <c r="E1744" s="144">
        <v>106.75</v>
      </c>
      <c r="F1744" s="144">
        <v>0.81530000000000002</v>
      </c>
      <c r="G1744" s="144">
        <v>1.2014</v>
      </c>
      <c r="I1744" s="144">
        <v>1</v>
      </c>
      <c r="J1744" s="145">
        <f t="shared" si="202"/>
        <v>41026</v>
      </c>
      <c r="K1744" s="144">
        <f t="shared" ca="1" si="203"/>
        <v>0.90815632322926909</v>
      </c>
      <c r="L1744" s="144">
        <f t="shared" ca="1" si="203"/>
        <v>0.61629752815783512</v>
      </c>
      <c r="M1744" s="144">
        <f t="shared" ca="1" si="203"/>
        <v>80.693930002267749</v>
      </c>
      <c r="N1744" s="144">
        <f t="shared" ca="1" si="203"/>
        <v>5.7358832867185727</v>
      </c>
      <c r="O1744" s="144">
        <f t="shared" ca="1" si="203"/>
        <v>29.38619699145816</v>
      </c>
      <c r="P1744" s="144">
        <f t="shared" ca="1" si="203"/>
        <v>1</v>
      </c>
      <c r="Q1744" s="144">
        <f t="shared" ca="1" si="203"/>
        <v>0.75591503515004921</v>
      </c>
    </row>
    <row r="1745" spans="1:17" x14ac:dyDescent="0.25">
      <c r="A1745" s="145">
        <v>41025</v>
      </c>
      <c r="B1745" s="144">
        <v>1.3214999999999999</v>
      </c>
      <c r="C1745" s="144">
        <v>38.741999999999997</v>
      </c>
      <c r="D1745" s="144">
        <v>7.5765000000000002</v>
      </c>
      <c r="E1745" s="144">
        <v>106.96</v>
      </c>
      <c r="F1745" s="144">
        <v>0.81640000000000001</v>
      </c>
      <c r="G1745" s="144">
        <v>1.2016</v>
      </c>
      <c r="I1745" s="144">
        <v>1</v>
      </c>
      <c r="J1745" s="145">
        <f t="shared" si="202"/>
        <v>41025</v>
      </c>
      <c r="K1745" s="144">
        <f t="shared" ref="K1745:Q1754" ca="1" si="204">OFFSET($A1745,0,K$3)/OFFSET($A1745,0,$P$3)</f>
        <v>0.9092697692016648</v>
      </c>
      <c r="L1745" s="144">
        <f t="shared" ca="1" si="204"/>
        <v>0.6177828225501325</v>
      </c>
      <c r="M1745" s="144">
        <f t="shared" ca="1" si="204"/>
        <v>80.938327657964436</v>
      </c>
      <c r="N1745" s="144">
        <f t="shared" ca="1" si="204"/>
        <v>5.7332576617480147</v>
      </c>
      <c r="O1745" s="144">
        <f t="shared" ca="1" si="204"/>
        <v>29.316685584562997</v>
      </c>
      <c r="P1745" s="144">
        <f t="shared" ca="1" si="204"/>
        <v>1</v>
      </c>
      <c r="Q1745" s="144">
        <f t="shared" ca="1" si="204"/>
        <v>0.75671585319712453</v>
      </c>
    </row>
    <row r="1746" spans="1:17" x14ac:dyDescent="0.25">
      <c r="A1746" s="145">
        <v>41024</v>
      </c>
      <c r="B1746" s="144">
        <v>1.3206</v>
      </c>
      <c r="C1746" s="144">
        <v>38.749000000000002</v>
      </c>
      <c r="D1746" s="144">
        <v>7.5625</v>
      </c>
      <c r="E1746" s="144">
        <v>107.35</v>
      </c>
      <c r="F1746" s="144">
        <v>0.81940000000000002</v>
      </c>
      <c r="G1746" s="144">
        <v>1.2018</v>
      </c>
      <c r="I1746" s="144">
        <v>1</v>
      </c>
      <c r="J1746" s="145">
        <f t="shared" si="202"/>
        <v>41024</v>
      </c>
      <c r="K1746" s="144">
        <f t="shared" ca="1" si="204"/>
        <v>0.91004089050431625</v>
      </c>
      <c r="L1746" s="144">
        <f t="shared" ca="1" si="204"/>
        <v>0.62047554142056638</v>
      </c>
      <c r="M1746" s="144">
        <f t="shared" ca="1" si="204"/>
        <v>81.288808117522336</v>
      </c>
      <c r="N1746" s="144">
        <f t="shared" ca="1" si="204"/>
        <v>5.726563683174315</v>
      </c>
      <c r="O1746" s="144">
        <f t="shared" ca="1" si="204"/>
        <v>29.341965773133428</v>
      </c>
      <c r="P1746" s="144">
        <f t="shared" ca="1" si="204"/>
        <v>1</v>
      </c>
      <c r="Q1746" s="144">
        <f t="shared" ca="1" si="204"/>
        <v>0.75723156141147963</v>
      </c>
    </row>
    <row r="1747" spans="1:17" x14ac:dyDescent="0.25">
      <c r="A1747" s="145">
        <v>41023</v>
      </c>
      <c r="B1747" s="144">
        <v>1.3161</v>
      </c>
      <c r="C1747" s="144">
        <v>38.655000000000001</v>
      </c>
      <c r="D1747" s="144">
        <v>7.5564999999999998</v>
      </c>
      <c r="E1747" s="144">
        <v>106.87</v>
      </c>
      <c r="F1747" s="144">
        <v>0.81540000000000001</v>
      </c>
      <c r="G1747" s="144">
        <v>1.2020999999999999</v>
      </c>
      <c r="I1747" s="144">
        <v>1</v>
      </c>
      <c r="J1747" s="145">
        <f t="shared" si="202"/>
        <v>41023</v>
      </c>
      <c r="K1747" s="144">
        <f t="shared" ca="1" si="204"/>
        <v>0.91338044221563708</v>
      </c>
      <c r="L1747" s="144">
        <f t="shared" ca="1" si="204"/>
        <v>0.61955778436289033</v>
      </c>
      <c r="M1747" s="144">
        <f t="shared" ca="1" si="204"/>
        <v>81.202036319428615</v>
      </c>
      <c r="N1747" s="144">
        <f t="shared" ca="1" si="204"/>
        <v>5.7415849859433168</v>
      </c>
      <c r="O1747" s="144">
        <f t="shared" ca="1" si="204"/>
        <v>29.370868475039892</v>
      </c>
      <c r="P1747" s="144">
        <f t="shared" ca="1" si="204"/>
        <v>1</v>
      </c>
      <c r="Q1747" s="144">
        <f t="shared" ca="1" si="204"/>
        <v>0.75982068231897271</v>
      </c>
    </row>
    <row r="1748" spans="1:17" x14ac:dyDescent="0.25">
      <c r="A1748" s="145">
        <v>41022</v>
      </c>
      <c r="B1748" s="144">
        <v>1.3130999999999999</v>
      </c>
      <c r="C1748" s="144">
        <v>38.786999999999999</v>
      </c>
      <c r="D1748" s="144">
        <v>7.5590000000000002</v>
      </c>
      <c r="E1748" s="144">
        <v>106.51</v>
      </c>
      <c r="F1748" s="144">
        <v>0.81659999999999999</v>
      </c>
      <c r="G1748" s="144">
        <v>1.2018</v>
      </c>
      <c r="I1748" s="144">
        <v>1</v>
      </c>
      <c r="J1748" s="145">
        <f t="shared" si="202"/>
        <v>41022</v>
      </c>
      <c r="K1748" s="144">
        <f t="shared" ca="1" si="204"/>
        <v>0.91523874800091387</v>
      </c>
      <c r="L1748" s="144">
        <f t="shared" ca="1" si="204"/>
        <v>0.62188713730865897</v>
      </c>
      <c r="M1748" s="144">
        <f t="shared" ca="1" si="204"/>
        <v>81.113395780976319</v>
      </c>
      <c r="N1748" s="144">
        <f t="shared" ca="1" si="204"/>
        <v>5.7566065036935496</v>
      </c>
      <c r="O1748" s="144">
        <f t="shared" ca="1" si="204"/>
        <v>29.538496687228697</v>
      </c>
      <c r="P1748" s="144">
        <f t="shared" ca="1" si="204"/>
        <v>1</v>
      </c>
      <c r="Q1748" s="144">
        <f t="shared" ca="1" si="204"/>
        <v>0.76155662173482608</v>
      </c>
    </row>
    <row r="1749" spans="1:17" x14ac:dyDescent="0.25">
      <c r="A1749" s="145">
        <v>41021</v>
      </c>
      <c r="B1749" s="144">
        <v>1.3191999999999999</v>
      </c>
      <c r="C1749" s="144">
        <v>38.85</v>
      </c>
      <c r="D1749" s="144">
        <v>7.5469999999999997</v>
      </c>
      <c r="E1749" s="144">
        <v>107.81</v>
      </c>
      <c r="F1749" s="144">
        <v>0.81874999999999998</v>
      </c>
      <c r="G1749" s="144">
        <v>1.2017</v>
      </c>
      <c r="I1749" s="144">
        <v>1</v>
      </c>
      <c r="J1749" s="145">
        <f t="shared" si="202"/>
        <v>41021</v>
      </c>
      <c r="K1749" s="144">
        <f t="shared" ca="1" si="204"/>
        <v>0.91093086719223781</v>
      </c>
      <c r="L1749" s="144">
        <f t="shared" ca="1" si="204"/>
        <v>0.6206412977562159</v>
      </c>
      <c r="M1749" s="144">
        <f t="shared" ca="1" si="204"/>
        <v>81.723771983020015</v>
      </c>
      <c r="N1749" s="144">
        <f t="shared" ca="1" si="204"/>
        <v>5.7208914493632506</v>
      </c>
      <c r="O1749" s="144">
        <f t="shared" ca="1" si="204"/>
        <v>29.449666464523958</v>
      </c>
      <c r="P1749" s="144">
        <f t="shared" ca="1" si="204"/>
        <v>1</v>
      </c>
      <c r="Q1749" s="144">
        <f t="shared" ca="1" si="204"/>
        <v>0.75803517283201949</v>
      </c>
    </row>
    <row r="1750" spans="1:17" x14ac:dyDescent="0.25">
      <c r="A1750" s="145">
        <v>41020</v>
      </c>
      <c r="B1750" s="144">
        <v>1.3191999999999999</v>
      </c>
      <c r="C1750" s="144">
        <v>38.85</v>
      </c>
      <c r="D1750" s="144">
        <v>7.5469999999999997</v>
      </c>
      <c r="E1750" s="144">
        <v>107.81</v>
      </c>
      <c r="F1750" s="144">
        <v>0.81874999999999998</v>
      </c>
      <c r="G1750" s="144">
        <v>1.2017</v>
      </c>
      <c r="I1750" s="144">
        <v>1</v>
      </c>
      <c r="J1750" s="145">
        <f t="shared" si="202"/>
        <v>41020</v>
      </c>
      <c r="K1750" s="144">
        <f t="shared" ca="1" si="204"/>
        <v>0.91093086719223781</v>
      </c>
      <c r="L1750" s="144">
        <f t="shared" ca="1" si="204"/>
        <v>0.6206412977562159</v>
      </c>
      <c r="M1750" s="144">
        <f t="shared" ca="1" si="204"/>
        <v>81.723771983020015</v>
      </c>
      <c r="N1750" s="144">
        <f t="shared" ca="1" si="204"/>
        <v>5.7208914493632506</v>
      </c>
      <c r="O1750" s="144">
        <f t="shared" ca="1" si="204"/>
        <v>29.449666464523958</v>
      </c>
      <c r="P1750" s="144">
        <f t="shared" ca="1" si="204"/>
        <v>1</v>
      </c>
      <c r="Q1750" s="144">
        <f t="shared" ca="1" si="204"/>
        <v>0.75803517283201949</v>
      </c>
    </row>
    <row r="1751" spans="1:17" x14ac:dyDescent="0.25">
      <c r="A1751" s="145">
        <v>41019</v>
      </c>
      <c r="B1751" s="144">
        <v>1.3191999999999999</v>
      </c>
      <c r="C1751" s="144">
        <v>38.85</v>
      </c>
      <c r="D1751" s="144">
        <v>7.5469999999999997</v>
      </c>
      <c r="E1751" s="144">
        <v>107.81</v>
      </c>
      <c r="F1751" s="144">
        <v>0.81874999999999998</v>
      </c>
      <c r="G1751" s="144">
        <v>1.2017</v>
      </c>
      <c r="I1751" s="144">
        <v>1</v>
      </c>
      <c r="J1751" s="145">
        <f t="shared" si="202"/>
        <v>41019</v>
      </c>
      <c r="K1751" s="144">
        <f t="shared" ca="1" si="204"/>
        <v>0.91093086719223781</v>
      </c>
      <c r="L1751" s="144">
        <f t="shared" ca="1" si="204"/>
        <v>0.6206412977562159</v>
      </c>
      <c r="M1751" s="144">
        <f t="shared" ca="1" si="204"/>
        <v>81.723771983020015</v>
      </c>
      <c r="N1751" s="144">
        <f t="shared" ca="1" si="204"/>
        <v>5.7208914493632506</v>
      </c>
      <c r="O1751" s="144">
        <f t="shared" ca="1" si="204"/>
        <v>29.449666464523958</v>
      </c>
      <c r="P1751" s="144">
        <f t="shared" ca="1" si="204"/>
        <v>1</v>
      </c>
      <c r="Q1751" s="144">
        <f t="shared" ca="1" si="204"/>
        <v>0.75803517283201949</v>
      </c>
    </row>
    <row r="1752" spans="1:17" x14ac:dyDescent="0.25">
      <c r="A1752" s="145">
        <v>41018</v>
      </c>
      <c r="B1752" s="144">
        <v>1.3086</v>
      </c>
      <c r="C1752" s="144">
        <v>38.657499999999999</v>
      </c>
      <c r="D1752" s="144">
        <v>7.5484999999999998</v>
      </c>
      <c r="E1752" s="144">
        <v>106.92</v>
      </c>
      <c r="F1752" s="144">
        <v>0.81710000000000005</v>
      </c>
      <c r="G1752" s="144">
        <v>1.2020999999999999</v>
      </c>
      <c r="I1752" s="144">
        <v>1</v>
      </c>
      <c r="J1752" s="145">
        <f t="shared" si="202"/>
        <v>41018</v>
      </c>
      <c r="K1752" s="144">
        <f t="shared" ca="1" si="204"/>
        <v>0.91861531407611186</v>
      </c>
      <c r="L1752" s="144">
        <f t="shared" ca="1" si="204"/>
        <v>0.62440776402261966</v>
      </c>
      <c r="M1752" s="144">
        <f t="shared" ca="1" si="204"/>
        <v>81.705639614855571</v>
      </c>
      <c r="N1752" s="144">
        <f t="shared" ca="1" si="204"/>
        <v>5.7683784196851597</v>
      </c>
      <c r="O1752" s="144">
        <f t="shared" ca="1" si="204"/>
        <v>29.541112639462021</v>
      </c>
      <c r="P1752" s="144">
        <f t="shared" ca="1" si="204"/>
        <v>1</v>
      </c>
      <c r="Q1752" s="144">
        <f t="shared" ca="1" si="204"/>
        <v>0.76417545468439552</v>
      </c>
    </row>
    <row r="1753" spans="1:17" x14ac:dyDescent="0.25">
      <c r="A1753" s="145">
        <v>41017</v>
      </c>
      <c r="B1753" s="144">
        <v>1.3092999999999999</v>
      </c>
      <c r="C1753" s="144">
        <v>38.671999999999997</v>
      </c>
      <c r="D1753" s="144">
        <v>7.5525000000000002</v>
      </c>
      <c r="E1753" s="144">
        <v>106.64</v>
      </c>
      <c r="F1753" s="144">
        <v>0.81915000000000004</v>
      </c>
      <c r="G1753" s="144">
        <v>1.2032</v>
      </c>
      <c r="I1753" s="144">
        <v>1</v>
      </c>
      <c r="J1753" s="145">
        <f t="shared" si="202"/>
        <v>41017</v>
      </c>
      <c r="K1753" s="144">
        <f t="shared" ca="1" si="204"/>
        <v>0.91896433208584749</v>
      </c>
      <c r="L1753" s="144">
        <f t="shared" ca="1" si="204"/>
        <v>0.62563965477736205</v>
      </c>
      <c r="M1753" s="144">
        <f t="shared" ca="1" si="204"/>
        <v>81.44810203925762</v>
      </c>
      <c r="N1753" s="144">
        <f t="shared" ca="1" si="204"/>
        <v>5.7683494997326825</v>
      </c>
      <c r="O1753" s="144">
        <f t="shared" ca="1" si="204"/>
        <v>29.536393492706026</v>
      </c>
      <c r="P1753" s="144">
        <f t="shared" ca="1" si="204"/>
        <v>1</v>
      </c>
      <c r="Q1753" s="144">
        <f t="shared" ca="1" si="204"/>
        <v>0.7637668983426259</v>
      </c>
    </row>
    <row r="1754" spans="1:17" x14ac:dyDescent="0.25">
      <c r="A1754" s="145">
        <v>41016</v>
      </c>
      <c r="B1754" s="144">
        <v>1.3131999999999999</v>
      </c>
      <c r="C1754" s="144">
        <v>38.854999999999997</v>
      </c>
      <c r="D1754" s="144">
        <v>7.5475000000000003</v>
      </c>
      <c r="E1754" s="144">
        <v>105.96</v>
      </c>
      <c r="F1754" s="144">
        <v>0.82340000000000002</v>
      </c>
      <c r="G1754" s="144">
        <v>1.2018</v>
      </c>
      <c r="I1754" s="144">
        <v>1</v>
      </c>
      <c r="J1754" s="145">
        <f t="shared" si="202"/>
        <v>41016</v>
      </c>
      <c r="K1754" s="144">
        <f t="shared" ca="1" si="204"/>
        <v>0.91516905269570514</v>
      </c>
      <c r="L1754" s="144">
        <f t="shared" ca="1" si="204"/>
        <v>0.62701797136765158</v>
      </c>
      <c r="M1754" s="144">
        <f t="shared" ca="1" si="204"/>
        <v>80.688394760889437</v>
      </c>
      <c r="N1754" s="144">
        <f t="shared" ca="1" si="204"/>
        <v>5.7474109046603719</v>
      </c>
      <c r="O1754" s="144">
        <f t="shared" ca="1" si="204"/>
        <v>29.588029241547364</v>
      </c>
      <c r="P1754" s="144">
        <f t="shared" ca="1" si="204"/>
        <v>1</v>
      </c>
      <c r="Q1754" s="144">
        <f t="shared" ca="1" si="204"/>
        <v>0.76149862930246726</v>
      </c>
    </row>
    <row r="1755" spans="1:17" x14ac:dyDescent="0.25">
      <c r="A1755" s="145">
        <v>41015</v>
      </c>
      <c r="B1755" s="144">
        <v>1.3024</v>
      </c>
      <c r="C1755" s="144">
        <v>38.673999999999999</v>
      </c>
      <c r="D1755" s="144">
        <v>7.5529999999999999</v>
      </c>
      <c r="E1755" s="144">
        <v>105.18</v>
      </c>
      <c r="F1755" s="144">
        <v>0.82269999999999999</v>
      </c>
      <c r="G1755" s="144">
        <v>1.2024999999999999</v>
      </c>
      <c r="I1755" s="144">
        <v>1</v>
      </c>
      <c r="J1755" s="145">
        <f t="shared" si="202"/>
        <v>41015</v>
      </c>
      <c r="K1755" s="144">
        <f t="shared" ref="K1755:Q1764" ca="1" si="205">OFFSET($A1755,0,K$3)/OFFSET($A1755,0,$P$3)</f>
        <v>0.92329545454545447</v>
      </c>
      <c r="L1755" s="144">
        <f t="shared" ca="1" si="205"/>
        <v>0.63167997542997545</v>
      </c>
      <c r="M1755" s="144">
        <f t="shared" ca="1" si="205"/>
        <v>80.758599508599517</v>
      </c>
      <c r="N1755" s="144">
        <f t="shared" ca="1" si="205"/>
        <v>5.7992936117936118</v>
      </c>
      <c r="O1755" s="144">
        <f t="shared" ca="1" si="205"/>
        <v>29.69441031941032</v>
      </c>
      <c r="P1755" s="144">
        <f t="shared" ca="1" si="205"/>
        <v>1</v>
      </c>
      <c r="Q1755" s="144">
        <f t="shared" ca="1" si="205"/>
        <v>0.76781326781326786</v>
      </c>
    </row>
    <row r="1756" spans="1:17" x14ac:dyDescent="0.25">
      <c r="A1756" s="145">
        <v>41014</v>
      </c>
      <c r="B1756" s="144">
        <v>1.3148</v>
      </c>
      <c r="C1756" s="144">
        <v>38.805999999999997</v>
      </c>
      <c r="D1756" s="144">
        <v>7.5990000000000002</v>
      </c>
      <c r="E1756" s="144">
        <v>106.49</v>
      </c>
      <c r="F1756" s="144">
        <v>0.82479999999999998</v>
      </c>
      <c r="G1756" s="144">
        <v>1.2017</v>
      </c>
      <c r="I1756" s="144">
        <v>1</v>
      </c>
      <c r="J1756" s="145">
        <f t="shared" si="202"/>
        <v>41014</v>
      </c>
      <c r="K1756" s="144">
        <f t="shared" ca="1" si="205"/>
        <v>0.91397931244295716</v>
      </c>
      <c r="L1756" s="144">
        <f t="shared" ca="1" si="205"/>
        <v>0.62731974444782479</v>
      </c>
      <c r="M1756" s="144">
        <f t="shared" ca="1" si="205"/>
        <v>80.993306966839057</v>
      </c>
      <c r="N1756" s="144">
        <f t="shared" ca="1" si="205"/>
        <v>5.7795862488591423</v>
      </c>
      <c r="O1756" s="144">
        <f t="shared" ca="1" si="205"/>
        <v>29.514755095832065</v>
      </c>
      <c r="P1756" s="144">
        <f t="shared" ca="1" si="205"/>
        <v>1</v>
      </c>
      <c r="Q1756" s="144">
        <f t="shared" ca="1" si="205"/>
        <v>0.76057195010648004</v>
      </c>
    </row>
    <row r="1757" spans="1:17" x14ac:dyDescent="0.25">
      <c r="A1757" s="145">
        <v>41013</v>
      </c>
      <c r="B1757" s="144">
        <v>1.3148</v>
      </c>
      <c r="C1757" s="144">
        <v>38.805999999999997</v>
      </c>
      <c r="D1757" s="144">
        <v>7.5990000000000002</v>
      </c>
      <c r="E1757" s="144">
        <v>106.49</v>
      </c>
      <c r="F1757" s="144">
        <v>0.82479999999999998</v>
      </c>
      <c r="G1757" s="144">
        <v>1.2017</v>
      </c>
      <c r="I1757" s="144">
        <v>1</v>
      </c>
      <c r="J1757" s="145">
        <f t="shared" si="202"/>
        <v>41013</v>
      </c>
      <c r="K1757" s="144">
        <f t="shared" ca="1" si="205"/>
        <v>0.91397931244295716</v>
      </c>
      <c r="L1757" s="144">
        <f t="shared" ca="1" si="205"/>
        <v>0.62731974444782479</v>
      </c>
      <c r="M1757" s="144">
        <f t="shared" ca="1" si="205"/>
        <v>80.993306966839057</v>
      </c>
      <c r="N1757" s="144">
        <f t="shared" ca="1" si="205"/>
        <v>5.7795862488591423</v>
      </c>
      <c r="O1757" s="144">
        <f t="shared" ca="1" si="205"/>
        <v>29.514755095832065</v>
      </c>
      <c r="P1757" s="144">
        <f t="shared" ca="1" si="205"/>
        <v>1</v>
      </c>
      <c r="Q1757" s="144">
        <f t="shared" ca="1" si="205"/>
        <v>0.76057195010648004</v>
      </c>
    </row>
    <row r="1758" spans="1:17" x14ac:dyDescent="0.25">
      <c r="A1758" s="145">
        <v>41012</v>
      </c>
      <c r="B1758" s="144">
        <v>1.3148</v>
      </c>
      <c r="C1758" s="144">
        <v>38.805999999999997</v>
      </c>
      <c r="D1758" s="144">
        <v>7.5990000000000002</v>
      </c>
      <c r="E1758" s="144">
        <v>106.49</v>
      </c>
      <c r="F1758" s="144">
        <v>0.82479999999999998</v>
      </c>
      <c r="G1758" s="144">
        <v>1.2017</v>
      </c>
      <c r="I1758" s="144">
        <v>1</v>
      </c>
      <c r="J1758" s="145">
        <f t="shared" si="202"/>
        <v>41012</v>
      </c>
      <c r="K1758" s="144">
        <f t="shared" ca="1" si="205"/>
        <v>0.91397931244295716</v>
      </c>
      <c r="L1758" s="144">
        <f t="shared" ca="1" si="205"/>
        <v>0.62731974444782479</v>
      </c>
      <c r="M1758" s="144">
        <f t="shared" ca="1" si="205"/>
        <v>80.993306966839057</v>
      </c>
      <c r="N1758" s="144">
        <f t="shared" ca="1" si="205"/>
        <v>5.7795862488591423</v>
      </c>
      <c r="O1758" s="144">
        <f t="shared" ca="1" si="205"/>
        <v>29.514755095832065</v>
      </c>
      <c r="P1758" s="144">
        <f t="shared" ca="1" si="205"/>
        <v>1</v>
      </c>
      <c r="Q1758" s="144">
        <f t="shared" ca="1" si="205"/>
        <v>0.76057195010648004</v>
      </c>
    </row>
    <row r="1759" spans="1:17" x14ac:dyDescent="0.25">
      <c r="A1759" s="145">
        <v>41011</v>
      </c>
      <c r="B1759" s="144">
        <v>1.3152999999999999</v>
      </c>
      <c r="C1759" s="144">
        <v>38.783999999999999</v>
      </c>
      <c r="D1759" s="144">
        <v>7.61</v>
      </c>
      <c r="E1759" s="144">
        <v>106.54</v>
      </c>
      <c r="F1759" s="144">
        <v>0.82469999999999999</v>
      </c>
      <c r="G1759" s="144">
        <v>1.2027000000000001</v>
      </c>
      <c r="I1759" s="144">
        <v>1</v>
      </c>
      <c r="J1759" s="145">
        <f t="shared" si="202"/>
        <v>41011</v>
      </c>
      <c r="K1759" s="144">
        <f t="shared" ca="1" si="205"/>
        <v>0.91439215388124395</v>
      </c>
      <c r="L1759" s="144">
        <f t="shared" ca="1" si="205"/>
        <v>0.62700524595149398</v>
      </c>
      <c r="M1759" s="144">
        <f t="shared" ca="1" si="205"/>
        <v>81.000532197977662</v>
      </c>
      <c r="N1759" s="144">
        <f t="shared" ca="1" si="205"/>
        <v>5.7857522998555471</v>
      </c>
      <c r="O1759" s="144">
        <f t="shared" ca="1" si="205"/>
        <v>29.48680909298259</v>
      </c>
      <c r="P1759" s="144">
        <f t="shared" ca="1" si="205"/>
        <v>1</v>
      </c>
      <c r="Q1759" s="144">
        <f t="shared" ca="1" si="205"/>
        <v>0.76028282521097856</v>
      </c>
    </row>
    <row r="1760" spans="1:17" x14ac:dyDescent="0.25">
      <c r="A1760" s="145">
        <v>41010</v>
      </c>
      <c r="B1760" s="144">
        <v>1.3130999999999999</v>
      </c>
      <c r="C1760" s="144">
        <v>38.981000000000002</v>
      </c>
      <c r="D1760" s="144">
        <v>7.6040000000000001</v>
      </c>
      <c r="E1760" s="144">
        <v>106.18</v>
      </c>
      <c r="F1760" s="144">
        <v>0.82594999999999996</v>
      </c>
      <c r="G1760" s="144">
        <v>1.2011000000000001</v>
      </c>
      <c r="I1760" s="144">
        <v>1</v>
      </c>
      <c r="J1760" s="145">
        <f t="shared" si="202"/>
        <v>41010</v>
      </c>
      <c r="K1760" s="144">
        <f t="shared" ca="1" si="205"/>
        <v>0.91470565836569961</v>
      </c>
      <c r="L1760" s="144">
        <f t="shared" ca="1" si="205"/>
        <v>0.62900769172187954</v>
      </c>
      <c r="M1760" s="144">
        <f t="shared" ca="1" si="205"/>
        <v>80.862082095803828</v>
      </c>
      <c r="N1760" s="144">
        <f t="shared" ca="1" si="205"/>
        <v>5.7908765516716167</v>
      </c>
      <c r="O1760" s="144">
        <f t="shared" ca="1" si="205"/>
        <v>29.686238671845253</v>
      </c>
      <c r="P1760" s="144">
        <f t="shared" ca="1" si="205"/>
        <v>1</v>
      </c>
      <c r="Q1760" s="144">
        <f t="shared" ca="1" si="205"/>
        <v>0.76155662173482608</v>
      </c>
    </row>
    <row r="1761" spans="1:17" x14ac:dyDescent="0.25">
      <c r="A1761" s="145">
        <v>41009</v>
      </c>
      <c r="B1761" s="144">
        <v>1.3113999999999999</v>
      </c>
      <c r="C1761" s="144">
        <v>38.898000000000003</v>
      </c>
      <c r="D1761" s="144">
        <v>7.5815000000000001</v>
      </c>
      <c r="E1761" s="144">
        <v>106.48</v>
      </c>
      <c r="F1761" s="144">
        <v>0.82689999999999997</v>
      </c>
      <c r="G1761" s="144">
        <v>1.2027000000000001</v>
      </c>
      <c r="I1761" s="144">
        <v>1</v>
      </c>
      <c r="J1761" s="145">
        <f t="shared" si="202"/>
        <v>41009</v>
      </c>
      <c r="K1761" s="144">
        <f t="shared" ca="1" si="205"/>
        <v>0.91711148391032504</v>
      </c>
      <c r="L1761" s="144">
        <f t="shared" ca="1" si="205"/>
        <v>0.63054750648162272</v>
      </c>
      <c r="M1761" s="144">
        <f t="shared" ca="1" si="205"/>
        <v>81.195668750953189</v>
      </c>
      <c r="N1761" s="144">
        <f t="shared" ca="1" si="205"/>
        <v>5.7812261705048043</v>
      </c>
      <c r="O1761" s="144">
        <f t="shared" ca="1" si="205"/>
        <v>29.661430532255608</v>
      </c>
      <c r="P1761" s="144">
        <f t="shared" ca="1" si="205"/>
        <v>1</v>
      </c>
      <c r="Q1761" s="144">
        <f t="shared" ca="1" si="205"/>
        <v>0.76254384627116067</v>
      </c>
    </row>
    <row r="1762" spans="1:17" x14ac:dyDescent="0.25">
      <c r="A1762" s="145">
        <v>41008</v>
      </c>
      <c r="B1762" s="144">
        <v>1.3068</v>
      </c>
      <c r="C1762" s="144">
        <v>38.659999999999997</v>
      </c>
      <c r="D1762" s="144">
        <v>7.5692000000000004</v>
      </c>
      <c r="E1762" s="144">
        <v>107.06</v>
      </c>
      <c r="F1762" s="144">
        <v>0.82420000000000004</v>
      </c>
      <c r="G1762" s="144">
        <v>1.2024999999999999</v>
      </c>
      <c r="I1762" s="144">
        <v>1</v>
      </c>
      <c r="J1762" s="145">
        <f t="shared" si="202"/>
        <v>41008</v>
      </c>
      <c r="K1762" s="144">
        <f t="shared" ca="1" si="205"/>
        <v>0.92018671564126109</v>
      </c>
      <c r="L1762" s="144">
        <f t="shared" ca="1" si="205"/>
        <v>0.63070094888276707</v>
      </c>
      <c r="M1762" s="144">
        <f t="shared" ca="1" si="205"/>
        <v>81.925313743495565</v>
      </c>
      <c r="N1762" s="144">
        <f t="shared" ca="1" si="205"/>
        <v>5.7921640648913382</v>
      </c>
      <c r="O1762" s="144">
        <f t="shared" ca="1" si="205"/>
        <v>29.58371594735231</v>
      </c>
      <c r="P1762" s="144">
        <f t="shared" ca="1" si="205"/>
        <v>1</v>
      </c>
      <c r="Q1762" s="144">
        <f t="shared" ca="1" si="205"/>
        <v>0.76522803795531069</v>
      </c>
    </row>
    <row r="1763" spans="1:17" x14ac:dyDescent="0.25">
      <c r="A1763" s="145">
        <v>41007</v>
      </c>
      <c r="B1763" s="144">
        <v>1.3068</v>
      </c>
      <c r="C1763" s="144">
        <v>38.659999999999997</v>
      </c>
      <c r="D1763" s="144">
        <v>7.5692000000000004</v>
      </c>
      <c r="E1763" s="144">
        <v>107.06</v>
      </c>
      <c r="F1763" s="144">
        <v>0.82420000000000004</v>
      </c>
      <c r="G1763" s="144">
        <v>1.2024999999999999</v>
      </c>
      <c r="I1763" s="144">
        <v>1</v>
      </c>
      <c r="J1763" s="145">
        <f t="shared" si="202"/>
        <v>41007</v>
      </c>
      <c r="K1763" s="144">
        <f t="shared" ca="1" si="205"/>
        <v>0.92018671564126109</v>
      </c>
      <c r="L1763" s="144">
        <f t="shared" ca="1" si="205"/>
        <v>0.63070094888276707</v>
      </c>
      <c r="M1763" s="144">
        <f t="shared" ca="1" si="205"/>
        <v>81.925313743495565</v>
      </c>
      <c r="N1763" s="144">
        <f t="shared" ca="1" si="205"/>
        <v>5.7921640648913382</v>
      </c>
      <c r="O1763" s="144">
        <f t="shared" ca="1" si="205"/>
        <v>29.58371594735231</v>
      </c>
      <c r="P1763" s="144">
        <f t="shared" ca="1" si="205"/>
        <v>1</v>
      </c>
      <c r="Q1763" s="144">
        <f t="shared" ca="1" si="205"/>
        <v>0.76522803795531069</v>
      </c>
    </row>
    <row r="1764" spans="1:17" x14ac:dyDescent="0.25">
      <c r="A1764" s="145">
        <v>41006</v>
      </c>
      <c r="B1764" s="144">
        <v>1.3068</v>
      </c>
      <c r="C1764" s="144">
        <v>38.659999999999997</v>
      </c>
      <c r="D1764" s="144">
        <v>7.5692000000000004</v>
      </c>
      <c r="E1764" s="144">
        <v>107.06</v>
      </c>
      <c r="F1764" s="144">
        <v>0.82420000000000004</v>
      </c>
      <c r="G1764" s="144">
        <v>1.2024999999999999</v>
      </c>
      <c r="I1764" s="144">
        <v>1</v>
      </c>
      <c r="J1764" s="145">
        <f t="shared" si="202"/>
        <v>41006</v>
      </c>
      <c r="K1764" s="144">
        <f t="shared" ca="1" si="205"/>
        <v>0.92018671564126109</v>
      </c>
      <c r="L1764" s="144">
        <f t="shared" ca="1" si="205"/>
        <v>0.63070094888276707</v>
      </c>
      <c r="M1764" s="144">
        <f t="shared" ca="1" si="205"/>
        <v>81.925313743495565</v>
      </c>
      <c r="N1764" s="144">
        <f t="shared" ca="1" si="205"/>
        <v>5.7921640648913382</v>
      </c>
      <c r="O1764" s="144">
        <f t="shared" ca="1" si="205"/>
        <v>29.58371594735231</v>
      </c>
      <c r="P1764" s="144">
        <f t="shared" ca="1" si="205"/>
        <v>1</v>
      </c>
      <c r="Q1764" s="144">
        <f t="shared" ca="1" si="205"/>
        <v>0.76522803795531069</v>
      </c>
    </row>
    <row r="1765" spans="1:17" x14ac:dyDescent="0.25">
      <c r="A1765" s="145">
        <v>41005</v>
      </c>
      <c r="B1765" s="144">
        <v>1.3068</v>
      </c>
      <c r="C1765" s="144">
        <v>38.659999999999997</v>
      </c>
      <c r="D1765" s="144">
        <v>7.5692000000000004</v>
      </c>
      <c r="E1765" s="144">
        <v>107.06</v>
      </c>
      <c r="F1765" s="144">
        <v>0.82420000000000004</v>
      </c>
      <c r="G1765" s="144">
        <v>1.2024999999999999</v>
      </c>
      <c r="I1765" s="144">
        <v>1</v>
      </c>
      <c r="J1765" s="145">
        <f t="shared" si="202"/>
        <v>41005</v>
      </c>
      <c r="K1765" s="144">
        <f t="shared" ref="K1765:Q1774" ca="1" si="206">OFFSET($A1765,0,K$3)/OFFSET($A1765,0,$P$3)</f>
        <v>0.92018671564126109</v>
      </c>
      <c r="L1765" s="144">
        <f t="shared" ca="1" si="206"/>
        <v>0.63070094888276707</v>
      </c>
      <c r="M1765" s="144">
        <f t="shared" ca="1" si="206"/>
        <v>81.925313743495565</v>
      </c>
      <c r="N1765" s="144">
        <f t="shared" ca="1" si="206"/>
        <v>5.7921640648913382</v>
      </c>
      <c r="O1765" s="144">
        <f t="shared" ca="1" si="206"/>
        <v>29.58371594735231</v>
      </c>
      <c r="P1765" s="144">
        <f t="shared" ca="1" si="206"/>
        <v>1</v>
      </c>
      <c r="Q1765" s="144">
        <f t="shared" ca="1" si="206"/>
        <v>0.76522803795531069</v>
      </c>
    </row>
    <row r="1766" spans="1:17" x14ac:dyDescent="0.25">
      <c r="A1766" s="145">
        <v>41004</v>
      </c>
      <c r="B1766" s="144">
        <v>1.3068</v>
      </c>
      <c r="C1766" s="144">
        <v>38.659999999999997</v>
      </c>
      <c r="D1766" s="144">
        <v>7.5692000000000004</v>
      </c>
      <c r="E1766" s="144">
        <v>107.06</v>
      </c>
      <c r="F1766" s="144">
        <v>0.82420000000000004</v>
      </c>
      <c r="G1766" s="144">
        <v>1.2024999999999999</v>
      </c>
      <c r="I1766" s="144">
        <v>1</v>
      </c>
      <c r="J1766" s="145">
        <f t="shared" si="202"/>
        <v>41004</v>
      </c>
      <c r="K1766" s="144">
        <f t="shared" ca="1" si="206"/>
        <v>0.92018671564126109</v>
      </c>
      <c r="L1766" s="144">
        <f t="shared" ca="1" si="206"/>
        <v>0.63070094888276707</v>
      </c>
      <c r="M1766" s="144">
        <f t="shared" ca="1" si="206"/>
        <v>81.925313743495565</v>
      </c>
      <c r="N1766" s="144">
        <f t="shared" ca="1" si="206"/>
        <v>5.7921640648913382</v>
      </c>
      <c r="O1766" s="144">
        <f t="shared" ca="1" si="206"/>
        <v>29.58371594735231</v>
      </c>
      <c r="P1766" s="144">
        <f t="shared" ca="1" si="206"/>
        <v>1</v>
      </c>
      <c r="Q1766" s="144">
        <f t="shared" ca="1" si="206"/>
        <v>0.76522803795531069</v>
      </c>
    </row>
    <row r="1767" spans="1:17" x14ac:dyDescent="0.25">
      <c r="A1767" s="145">
        <v>41003</v>
      </c>
      <c r="B1767" s="144">
        <v>1.3142</v>
      </c>
      <c r="C1767" s="144">
        <v>38.630400000000002</v>
      </c>
      <c r="D1767" s="144">
        <v>7.5730000000000004</v>
      </c>
      <c r="E1767" s="144">
        <v>108.22</v>
      </c>
      <c r="F1767" s="144">
        <v>0.82850000000000001</v>
      </c>
      <c r="G1767" s="144">
        <v>1.2038</v>
      </c>
      <c r="I1767" s="144">
        <v>1</v>
      </c>
      <c r="J1767" s="145">
        <f t="shared" si="202"/>
        <v>41003</v>
      </c>
      <c r="K1767" s="144">
        <f t="shared" ca="1" si="206"/>
        <v>0.91599452138182924</v>
      </c>
      <c r="L1767" s="144">
        <f t="shared" ca="1" si="206"/>
        <v>0.63042154923147165</v>
      </c>
      <c r="M1767" s="144">
        <f t="shared" ca="1" si="206"/>
        <v>82.346674783138027</v>
      </c>
      <c r="N1767" s="144">
        <f t="shared" ca="1" si="206"/>
        <v>5.7624410287627459</v>
      </c>
      <c r="O1767" s="144">
        <f t="shared" ca="1" si="206"/>
        <v>29.394612692132096</v>
      </c>
      <c r="P1767" s="144">
        <f t="shared" ca="1" si="206"/>
        <v>1</v>
      </c>
      <c r="Q1767" s="144">
        <f t="shared" ca="1" si="206"/>
        <v>0.76091919038198141</v>
      </c>
    </row>
    <row r="1768" spans="1:17" x14ac:dyDescent="0.25">
      <c r="A1768" s="145">
        <v>41002</v>
      </c>
      <c r="B1768" s="144">
        <v>1.3314999999999999</v>
      </c>
      <c r="C1768" s="144">
        <v>39.023699999999998</v>
      </c>
      <c r="D1768" s="144">
        <v>7.56</v>
      </c>
      <c r="E1768" s="144">
        <v>109.3</v>
      </c>
      <c r="F1768" s="144">
        <v>0.83255000000000001</v>
      </c>
      <c r="G1768" s="144">
        <v>1.2035</v>
      </c>
      <c r="I1768" s="144">
        <v>1</v>
      </c>
      <c r="J1768" s="145">
        <f t="shared" si="202"/>
        <v>41002</v>
      </c>
      <c r="K1768" s="144">
        <f t="shared" ca="1" si="206"/>
        <v>0.90386781825009399</v>
      </c>
      <c r="L1768" s="144">
        <f t="shared" ca="1" si="206"/>
        <v>0.62527224934284642</v>
      </c>
      <c r="M1768" s="144">
        <f t="shared" ca="1" si="206"/>
        <v>82.087870822380779</v>
      </c>
      <c r="N1768" s="144">
        <f t="shared" ca="1" si="206"/>
        <v>5.6778069846038299</v>
      </c>
      <c r="O1768" s="144">
        <f t="shared" ca="1" si="206"/>
        <v>29.308073601201652</v>
      </c>
      <c r="P1768" s="144">
        <f t="shared" ca="1" si="206"/>
        <v>1</v>
      </c>
      <c r="Q1768" s="144">
        <f t="shared" ca="1" si="206"/>
        <v>0.75103266992114159</v>
      </c>
    </row>
    <row r="1769" spans="1:17" x14ac:dyDescent="0.25">
      <c r="A1769" s="145">
        <v>41001</v>
      </c>
      <c r="B1769" s="144">
        <v>1.3319000000000001</v>
      </c>
      <c r="C1769" s="144">
        <v>39.22</v>
      </c>
      <c r="D1769" s="144">
        <v>7.5505000000000004</v>
      </c>
      <c r="E1769" s="144">
        <v>109.95</v>
      </c>
      <c r="F1769" s="144">
        <v>0.83104999999999996</v>
      </c>
      <c r="G1769" s="144">
        <v>1.2043999999999999</v>
      </c>
      <c r="I1769" s="144">
        <v>1</v>
      </c>
      <c r="J1769" s="145">
        <f t="shared" si="202"/>
        <v>41001</v>
      </c>
      <c r="K1769" s="144">
        <f t="shared" ca="1" si="206"/>
        <v>0.90427209249943674</v>
      </c>
      <c r="L1769" s="144">
        <f t="shared" ca="1" si="206"/>
        <v>0.62395825512425851</v>
      </c>
      <c r="M1769" s="144">
        <f t="shared" ca="1" si="206"/>
        <v>82.551242585779704</v>
      </c>
      <c r="N1769" s="144">
        <f t="shared" ca="1" si="206"/>
        <v>5.6689691418274641</v>
      </c>
      <c r="O1769" s="144">
        <f t="shared" ca="1" si="206"/>
        <v>29.446655154290859</v>
      </c>
      <c r="P1769" s="144">
        <f t="shared" ca="1" si="206"/>
        <v>1</v>
      </c>
      <c r="Q1769" s="144">
        <f t="shared" ca="1" si="206"/>
        <v>0.75080711765147534</v>
      </c>
    </row>
    <row r="1770" spans="1:17" x14ac:dyDescent="0.25">
      <c r="A1770" s="145">
        <v>41000</v>
      </c>
      <c r="B1770" s="144">
        <v>1.3355999999999999</v>
      </c>
      <c r="C1770" s="144">
        <v>39.295000000000002</v>
      </c>
      <c r="D1770" s="144">
        <v>7.6040000000000001</v>
      </c>
      <c r="E1770" s="144">
        <v>109.56</v>
      </c>
      <c r="F1770" s="144">
        <v>0.83389999999999997</v>
      </c>
      <c r="G1770" s="144">
        <v>1.2044999999999999</v>
      </c>
      <c r="I1770" s="144">
        <v>1</v>
      </c>
      <c r="J1770" s="145">
        <f t="shared" si="202"/>
        <v>41000</v>
      </c>
      <c r="K1770" s="144">
        <f t="shared" ca="1" si="206"/>
        <v>0.90184186882300088</v>
      </c>
      <c r="L1770" s="144">
        <f t="shared" ca="1" si="206"/>
        <v>0.6243635819107517</v>
      </c>
      <c r="M1770" s="144">
        <f t="shared" ca="1" si="206"/>
        <v>82.03054806828392</v>
      </c>
      <c r="N1770" s="144">
        <f t="shared" ca="1" si="206"/>
        <v>5.6933213536987131</v>
      </c>
      <c r="O1770" s="144">
        <f t="shared" ca="1" si="206"/>
        <v>29.42123390236598</v>
      </c>
      <c r="P1770" s="144">
        <f t="shared" ca="1" si="206"/>
        <v>1</v>
      </c>
      <c r="Q1770" s="144">
        <f t="shared" ca="1" si="206"/>
        <v>0.74872716382150351</v>
      </c>
    </row>
    <row r="1771" spans="1:17" x14ac:dyDescent="0.25">
      <c r="A1771" s="145">
        <v>40999</v>
      </c>
      <c r="B1771" s="144">
        <v>1.3355999999999999</v>
      </c>
      <c r="C1771" s="144">
        <v>39.295000000000002</v>
      </c>
      <c r="D1771" s="144">
        <v>7.6040000000000001</v>
      </c>
      <c r="E1771" s="144">
        <v>109.56</v>
      </c>
      <c r="F1771" s="144">
        <v>0.83389999999999997</v>
      </c>
      <c r="G1771" s="144">
        <v>1.2044999999999999</v>
      </c>
      <c r="I1771" s="144">
        <v>1</v>
      </c>
      <c r="J1771" s="145">
        <f t="shared" si="202"/>
        <v>40999</v>
      </c>
      <c r="K1771" s="144">
        <f t="shared" ca="1" si="206"/>
        <v>0.90184186882300088</v>
      </c>
      <c r="L1771" s="144">
        <f t="shared" ca="1" si="206"/>
        <v>0.6243635819107517</v>
      </c>
      <c r="M1771" s="144">
        <f t="shared" ca="1" si="206"/>
        <v>82.03054806828392</v>
      </c>
      <c r="N1771" s="144">
        <f t="shared" ca="1" si="206"/>
        <v>5.6933213536987131</v>
      </c>
      <c r="O1771" s="144">
        <f t="shared" ca="1" si="206"/>
        <v>29.42123390236598</v>
      </c>
      <c r="P1771" s="144">
        <f t="shared" ca="1" si="206"/>
        <v>1</v>
      </c>
      <c r="Q1771" s="144">
        <f t="shared" ca="1" si="206"/>
        <v>0.74872716382150351</v>
      </c>
    </row>
    <row r="1772" spans="1:17" x14ac:dyDescent="0.25">
      <c r="A1772" s="145">
        <v>40998</v>
      </c>
      <c r="B1772" s="144">
        <v>1.3355999999999999</v>
      </c>
      <c r="C1772" s="144">
        <v>39.295000000000002</v>
      </c>
      <c r="D1772" s="144">
        <v>7.6040000000000001</v>
      </c>
      <c r="E1772" s="144">
        <v>109.56</v>
      </c>
      <c r="F1772" s="144">
        <v>0.83389999999999997</v>
      </c>
      <c r="G1772" s="144">
        <v>1.2044999999999999</v>
      </c>
      <c r="I1772" s="144">
        <v>1</v>
      </c>
      <c r="J1772" s="145">
        <f t="shared" si="202"/>
        <v>40998</v>
      </c>
      <c r="K1772" s="144">
        <f t="shared" ca="1" si="206"/>
        <v>0.90184186882300088</v>
      </c>
      <c r="L1772" s="144">
        <f t="shared" ca="1" si="206"/>
        <v>0.6243635819107517</v>
      </c>
      <c r="M1772" s="144">
        <f t="shared" ca="1" si="206"/>
        <v>82.03054806828392</v>
      </c>
      <c r="N1772" s="144">
        <f t="shared" ca="1" si="206"/>
        <v>5.6933213536987131</v>
      </c>
      <c r="O1772" s="144">
        <f t="shared" ca="1" si="206"/>
        <v>29.42123390236598</v>
      </c>
      <c r="P1772" s="144">
        <f t="shared" ca="1" si="206"/>
        <v>1</v>
      </c>
      <c r="Q1772" s="144">
        <f t="shared" ca="1" si="206"/>
        <v>0.74872716382150351</v>
      </c>
    </row>
    <row r="1773" spans="1:17" x14ac:dyDescent="0.25">
      <c r="A1773" s="145">
        <v>40997</v>
      </c>
      <c r="B1773" s="144">
        <v>1.3271999999999999</v>
      </c>
      <c r="C1773" s="144">
        <v>38.96</v>
      </c>
      <c r="D1773" s="144">
        <v>7.6319999999999997</v>
      </c>
      <c r="E1773" s="144">
        <v>109.21</v>
      </c>
      <c r="F1773" s="144">
        <v>0.83579999999999999</v>
      </c>
      <c r="G1773" s="144">
        <v>1.2051000000000001</v>
      </c>
      <c r="I1773" s="144">
        <v>1</v>
      </c>
      <c r="J1773" s="145">
        <f t="shared" si="202"/>
        <v>40997</v>
      </c>
      <c r="K1773" s="144">
        <f t="shared" ca="1" si="206"/>
        <v>0.90800180831826416</v>
      </c>
      <c r="L1773" s="144">
        <f t="shared" ca="1" si="206"/>
        <v>0.629746835443038</v>
      </c>
      <c r="M1773" s="144">
        <f t="shared" ca="1" si="206"/>
        <v>82.286015672091622</v>
      </c>
      <c r="N1773" s="144">
        <f t="shared" ca="1" si="206"/>
        <v>5.7504520795660037</v>
      </c>
      <c r="O1773" s="144">
        <f t="shared" ca="1" si="206"/>
        <v>29.355033152501509</v>
      </c>
      <c r="P1773" s="144">
        <f t="shared" ca="1" si="206"/>
        <v>1</v>
      </c>
      <c r="Q1773" s="144">
        <f t="shared" ca="1" si="206"/>
        <v>0.75346594333936112</v>
      </c>
    </row>
    <row r="1774" spans="1:17" x14ac:dyDescent="0.25">
      <c r="A1774" s="145">
        <v>40996</v>
      </c>
      <c r="B1774" s="144">
        <v>1.3337000000000001</v>
      </c>
      <c r="C1774" s="144">
        <v>38.931199999999997</v>
      </c>
      <c r="D1774" s="144">
        <v>7.6109999999999998</v>
      </c>
      <c r="E1774" s="144">
        <v>110.74</v>
      </c>
      <c r="F1774" s="144">
        <v>0.83899999999999997</v>
      </c>
      <c r="G1774" s="144">
        <v>1.2062999999999999</v>
      </c>
      <c r="I1774" s="144">
        <v>1</v>
      </c>
      <c r="J1774" s="145">
        <f t="shared" si="202"/>
        <v>40996</v>
      </c>
      <c r="K1774" s="144">
        <f t="shared" ca="1" si="206"/>
        <v>0.90447626902601774</v>
      </c>
      <c r="L1774" s="144">
        <f t="shared" ca="1" si="206"/>
        <v>0.62907700382394838</v>
      </c>
      <c r="M1774" s="144">
        <f t="shared" ca="1" si="206"/>
        <v>83.032166154307561</v>
      </c>
      <c r="N1774" s="144">
        <f t="shared" ca="1" si="206"/>
        <v>5.7066806628177247</v>
      </c>
      <c r="O1774" s="144">
        <f t="shared" ca="1" si="206"/>
        <v>29.190372647521926</v>
      </c>
      <c r="P1774" s="144">
        <f t="shared" ca="1" si="206"/>
        <v>1</v>
      </c>
      <c r="Q1774" s="144">
        <f t="shared" ca="1" si="206"/>
        <v>0.74979380670315654</v>
      </c>
    </row>
    <row r="1775" spans="1:17" x14ac:dyDescent="0.25">
      <c r="A1775" s="145">
        <v>40995</v>
      </c>
      <c r="B1775" s="144">
        <v>1.3332999999999999</v>
      </c>
      <c r="C1775" s="144">
        <v>38.664999999999999</v>
      </c>
      <c r="D1775" s="144">
        <v>7.5709999999999997</v>
      </c>
      <c r="E1775" s="144">
        <v>110.57</v>
      </c>
      <c r="F1775" s="144">
        <v>0.83589999999999998</v>
      </c>
      <c r="G1775" s="144">
        <v>1.2056</v>
      </c>
      <c r="I1775" s="144">
        <v>1</v>
      </c>
      <c r="J1775" s="145">
        <f t="shared" si="202"/>
        <v>40995</v>
      </c>
      <c r="K1775" s="144">
        <f t="shared" ref="K1775:Q1784" ca="1" si="207">OFFSET($A1775,0,K$3)/OFFSET($A1775,0,$P$3)</f>
        <v>0.90422260556513923</v>
      </c>
      <c r="L1775" s="144">
        <f t="shared" ca="1" si="207"/>
        <v>0.62694067351683791</v>
      </c>
      <c r="M1775" s="144">
        <f t="shared" ca="1" si="207"/>
        <v>82.929573239330978</v>
      </c>
      <c r="N1775" s="144">
        <f t="shared" ca="1" si="207"/>
        <v>5.6783919597989954</v>
      </c>
      <c r="O1775" s="144">
        <f t="shared" ca="1" si="207"/>
        <v>28.999474986874674</v>
      </c>
      <c r="P1775" s="144">
        <f t="shared" ca="1" si="207"/>
        <v>1</v>
      </c>
      <c r="Q1775" s="144">
        <f t="shared" ca="1" si="207"/>
        <v>0.75001875046876176</v>
      </c>
    </row>
    <row r="1776" spans="1:17" x14ac:dyDescent="0.25">
      <c r="A1776" s="145">
        <v>40994</v>
      </c>
      <c r="B1776" s="144">
        <v>1.3275999999999999</v>
      </c>
      <c r="C1776" s="144">
        <v>38.5</v>
      </c>
      <c r="D1776" s="144">
        <v>7.609</v>
      </c>
      <c r="E1776" s="144">
        <v>109.82</v>
      </c>
      <c r="F1776" s="144">
        <v>0.83520000000000005</v>
      </c>
      <c r="G1776" s="144">
        <v>1.2054</v>
      </c>
      <c r="I1776" s="144">
        <v>1</v>
      </c>
      <c r="J1776" s="145">
        <f t="shared" si="202"/>
        <v>40994</v>
      </c>
      <c r="K1776" s="144">
        <f t="shared" ca="1" si="207"/>
        <v>0.90795420307321495</v>
      </c>
      <c r="L1776" s="144">
        <f t="shared" ca="1" si="207"/>
        <v>0.62910515215426344</v>
      </c>
      <c r="M1776" s="144">
        <f t="shared" ca="1" si="207"/>
        <v>82.720699005724612</v>
      </c>
      <c r="N1776" s="144">
        <f t="shared" ca="1" si="207"/>
        <v>5.7313949984935224</v>
      </c>
      <c r="O1776" s="144">
        <f t="shared" ca="1" si="207"/>
        <v>28.999698704429047</v>
      </c>
      <c r="P1776" s="144">
        <f t="shared" ca="1" si="207"/>
        <v>1</v>
      </c>
      <c r="Q1776" s="144">
        <f t="shared" ca="1" si="207"/>
        <v>0.75323892738776743</v>
      </c>
    </row>
    <row r="1777" spans="1:17" x14ac:dyDescent="0.25">
      <c r="A1777" s="145">
        <v>40993</v>
      </c>
      <c r="B1777" s="144">
        <v>1.3242</v>
      </c>
      <c r="C1777" s="144">
        <v>38.914400000000001</v>
      </c>
      <c r="D1777" s="144">
        <v>7.6379999999999999</v>
      </c>
      <c r="E1777" s="144">
        <v>109.1</v>
      </c>
      <c r="F1777" s="144">
        <v>0.83630000000000004</v>
      </c>
      <c r="G1777" s="144">
        <v>1.2054</v>
      </c>
      <c r="I1777" s="144">
        <v>1</v>
      </c>
      <c r="J1777" s="145">
        <f t="shared" si="202"/>
        <v>40993</v>
      </c>
      <c r="K1777" s="144">
        <f t="shared" ca="1" si="207"/>
        <v>0.91028545536927952</v>
      </c>
      <c r="L1777" s="144">
        <f t="shared" ca="1" si="207"/>
        <v>0.63155112520767254</v>
      </c>
      <c r="M1777" s="144">
        <f t="shared" ca="1" si="207"/>
        <v>82.389367165080799</v>
      </c>
      <c r="N1777" s="144">
        <f t="shared" ca="1" si="207"/>
        <v>5.7680108744902583</v>
      </c>
      <c r="O1777" s="144">
        <f t="shared" ca="1" si="207"/>
        <v>29.387101646276996</v>
      </c>
      <c r="P1777" s="144">
        <f t="shared" ca="1" si="207"/>
        <v>1</v>
      </c>
      <c r="Q1777" s="144">
        <f t="shared" ca="1" si="207"/>
        <v>0.75517293460202384</v>
      </c>
    </row>
    <row r="1778" spans="1:17" x14ac:dyDescent="0.25">
      <c r="A1778" s="145">
        <v>40992</v>
      </c>
      <c r="B1778" s="144">
        <v>1.3242</v>
      </c>
      <c r="C1778" s="144">
        <v>38.914400000000001</v>
      </c>
      <c r="D1778" s="144">
        <v>7.6379999999999999</v>
      </c>
      <c r="E1778" s="144">
        <v>109.1</v>
      </c>
      <c r="F1778" s="144">
        <v>0.83630000000000004</v>
      </c>
      <c r="G1778" s="144">
        <v>1.2054</v>
      </c>
      <c r="I1778" s="144">
        <v>1</v>
      </c>
      <c r="J1778" s="145">
        <f t="shared" si="202"/>
        <v>40992</v>
      </c>
      <c r="K1778" s="144">
        <f t="shared" ca="1" si="207"/>
        <v>0.91028545536927952</v>
      </c>
      <c r="L1778" s="144">
        <f t="shared" ca="1" si="207"/>
        <v>0.63155112520767254</v>
      </c>
      <c r="M1778" s="144">
        <f t="shared" ca="1" si="207"/>
        <v>82.389367165080799</v>
      </c>
      <c r="N1778" s="144">
        <f t="shared" ca="1" si="207"/>
        <v>5.7680108744902583</v>
      </c>
      <c r="O1778" s="144">
        <f t="shared" ca="1" si="207"/>
        <v>29.387101646276996</v>
      </c>
      <c r="P1778" s="144">
        <f t="shared" ca="1" si="207"/>
        <v>1</v>
      </c>
      <c r="Q1778" s="144">
        <f t="shared" ca="1" si="207"/>
        <v>0.75517293460202384</v>
      </c>
    </row>
    <row r="1779" spans="1:17" x14ac:dyDescent="0.25">
      <c r="A1779" s="145">
        <v>40991</v>
      </c>
      <c r="B1779" s="144">
        <v>1.3242</v>
      </c>
      <c r="C1779" s="144">
        <v>38.914400000000001</v>
      </c>
      <c r="D1779" s="144">
        <v>7.6379999999999999</v>
      </c>
      <c r="E1779" s="144">
        <v>109.1</v>
      </c>
      <c r="F1779" s="144">
        <v>0.83630000000000004</v>
      </c>
      <c r="G1779" s="144">
        <v>1.2054</v>
      </c>
      <c r="I1779" s="144">
        <v>1</v>
      </c>
      <c r="J1779" s="145">
        <f t="shared" si="202"/>
        <v>40991</v>
      </c>
      <c r="K1779" s="144">
        <f t="shared" ca="1" si="207"/>
        <v>0.91028545536927952</v>
      </c>
      <c r="L1779" s="144">
        <f t="shared" ca="1" si="207"/>
        <v>0.63155112520767254</v>
      </c>
      <c r="M1779" s="144">
        <f t="shared" ca="1" si="207"/>
        <v>82.389367165080799</v>
      </c>
      <c r="N1779" s="144">
        <f t="shared" ca="1" si="207"/>
        <v>5.7680108744902583</v>
      </c>
      <c r="O1779" s="144">
        <f t="shared" ca="1" si="207"/>
        <v>29.387101646276996</v>
      </c>
      <c r="P1779" s="144">
        <f t="shared" ca="1" si="207"/>
        <v>1</v>
      </c>
      <c r="Q1779" s="144">
        <f t="shared" ca="1" si="207"/>
        <v>0.75517293460202384</v>
      </c>
    </row>
    <row r="1780" spans="1:17" x14ac:dyDescent="0.25">
      <c r="A1780" s="145">
        <v>40990</v>
      </c>
      <c r="B1780" s="144">
        <v>1.3167</v>
      </c>
      <c r="C1780" s="144">
        <v>38.758000000000003</v>
      </c>
      <c r="D1780" s="144">
        <v>7.6239999999999997</v>
      </c>
      <c r="E1780" s="144">
        <v>109.4</v>
      </c>
      <c r="F1780" s="144">
        <v>0.83330000000000004</v>
      </c>
      <c r="G1780" s="144">
        <v>1.2055</v>
      </c>
      <c r="I1780" s="144">
        <v>1</v>
      </c>
      <c r="J1780" s="145">
        <f t="shared" si="202"/>
        <v>40990</v>
      </c>
      <c r="K1780" s="144">
        <f t="shared" ca="1" si="207"/>
        <v>0.91554644186223133</v>
      </c>
      <c r="L1780" s="144">
        <f t="shared" ca="1" si="207"/>
        <v>0.63287005392268558</v>
      </c>
      <c r="M1780" s="144">
        <f t="shared" ca="1" si="207"/>
        <v>83.086504139135727</v>
      </c>
      <c r="N1780" s="144">
        <f t="shared" ca="1" si="207"/>
        <v>5.7902331586542113</v>
      </c>
      <c r="O1780" s="144">
        <f t="shared" ca="1" si="207"/>
        <v>29.435710488342071</v>
      </c>
      <c r="P1780" s="144">
        <f t="shared" ca="1" si="207"/>
        <v>1</v>
      </c>
      <c r="Q1780" s="144">
        <f t="shared" ca="1" si="207"/>
        <v>0.75947444368496997</v>
      </c>
    </row>
    <row r="1781" spans="1:17" x14ac:dyDescent="0.25">
      <c r="A1781" s="145">
        <v>40989</v>
      </c>
      <c r="B1781" s="144">
        <v>1.3225</v>
      </c>
      <c r="C1781" s="144">
        <v>38.674799999999998</v>
      </c>
      <c r="D1781" s="144">
        <v>7.6105</v>
      </c>
      <c r="E1781" s="144">
        <v>111.11</v>
      </c>
      <c r="F1781" s="144">
        <v>0.83494999999999997</v>
      </c>
      <c r="G1781" s="144">
        <v>1.2058</v>
      </c>
      <c r="I1781" s="144">
        <v>1</v>
      </c>
      <c r="J1781" s="145">
        <f t="shared" si="202"/>
        <v>40989</v>
      </c>
      <c r="K1781" s="144">
        <f t="shared" ca="1" si="207"/>
        <v>0.91175803402646505</v>
      </c>
      <c r="L1781" s="144">
        <f t="shared" ca="1" si="207"/>
        <v>0.63134215500945179</v>
      </c>
      <c r="M1781" s="144">
        <f t="shared" ca="1" si="207"/>
        <v>84.015122873345931</v>
      </c>
      <c r="N1781" s="144">
        <f t="shared" ca="1" si="207"/>
        <v>5.7546313799621931</v>
      </c>
      <c r="O1781" s="144">
        <f t="shared" ca="1" si="207"/>
        <v>29.243705103969752</v>
      </c>
      <c r="P1781" s="144">
        <f t="shared" ca="1" si="207"/>
        <v>1</v>
      </c>
      <c r="Q1781" s="144">
        <f t="shared" ca="1" si="207"/>
        <v>0.75614366729678639</v>
      </c>
    </row>
    <row r="1782" spans="1:17" x14ac:dyDescent="0.25">
      <c r="A1782" s="145">
        <v>40988</v>
      </c>
      <c r="B1782" s="144">
        <v>1.3198000000000001</v>
      </c>
      <c r="C1782" s="144">
        <v>38.6432</v>
      </c>
      <c r="D1782" s="144">
        <v>7.6059999999999999</v>
      </c>
      <c r="E1782" s="144">
        <v>110.48</v>
      </c>
      <c r="F1782" s="144">
        <v>0.83220000000000005</v>
      </c>
      <c r="G1782" s="144">
        <v>1.2059</v>
      </c>
      <c r="I1782" s="144">
        <v>1</v>
      </c>
      <c r="J1782" s="145">
        <f t="shared" si="202"/>
        <v>40988</v>
      </c>
      <c r="K1782" s="144">
        <f t="shared" ca="1" si="207"/>
        <v>0.91369904530989532</v>
      </c>
      <c r="L1782" s="144">
        <f t="shared" ca="1" si="207"/>
        <v>0.63055008334596152</v>
      </c>
      <c r="M1782" s="144">
        <f t="shared" ca="1" si="207"/>
        <v>83.709652977723891</v>
      </c>
      <c r="N1782" s="144">
        <f t="shared" ca="1" si="207"/>
        <v>5.7629943930898619</v>
      </c>
      <c r="O1782" s="144">
        <f t="shared" ca="1" si="207"/>
        <v>29.279587816335805</v>
      </c>
      <c r="P1782" s="144">
        <f t="shared" ca="1" si="207"/>
        <v>1</v>
      </c>
      <c r="Q1782" s="144">
        <f t="shared" ca="1" si="207"/>
        <v>0.75769055917563266</v>
      </c>
    </row>
    <row r="1783" spans="1:17" x14ac:dyDescent="0.25">
      <c r="A1783" s="145">
        <v>40987</v>
      </c>
      <c r="B1783" s="144">
        <v>1.3149999999999999</v>
      </c>
      <c r="C1783" s="144">
        <v>38.456200000000003</v>
      </c>
      <c r="D1783" s="144">
        <v>7.5505000000000004</v>
      </c>
      <c r="E1783" s="144">
        <v>109.73</v>
      </c>
      <c r="F1783" s="144">
        <v>0.82845000000000002</v>
      </c>
      <c r="G1783" s="144">
        <v>1.2067000000000001</v>
      </c>
      <c r="I1783" s="144">
        <v>1</v>
      </c>
      <c r="J1783" s="145">
        <f t="shared" si="202"/>
        <v>40987</v>
      </c>
      <c r="K1783" s="144">
        <f t="shared" ca="1" si="207"/>
        <v>0.91764258555133094</v>
      </c>
      <c r="L1783" s="144">
        <f t="shared" ca="1" si="207"/>
        <v>0.63</v>
      </c>
      <c r="M1783" s="144">
        <f t="shared" ca="1" si="207"/>
        <v>83.444866920152094</v>
      </c>
      <c r="N1783" s="144">
        <f t="shared" ca="1" si="207"/>
        <v>5.7418250950570346</v>
      </c>
      <c r="O1783" s="144">
        <f t="shared" ca="1" si="207"/>
        <v>29.244258555133083</v>
      </c>
      <c r="P1783" s="144">
        <f t="shared" ca="1" si="207"/>
        <v>1</v>
      </c>
      <c r="Q1783" s="144">
        <f t="shared" ca="1" si="207"/>
        <v>0.76045627376425862</v>
      </c>
    </row>
    <row r="1784" spans="1:17" x14ac:dyDescent="0.25">
      <c r="A1784" s="145">
        <v>40986</v>
      </c>
      <c r="B1784" s="144">
        <v>1.3116000000000001</v>
      </c>
      <c r="C1784" s="144">
        <v>38.478999999999999</v>
      </c>
      <c r="D1784" s="144">
        <v>7.548</v>
      </c>
      <c r="E1784" s="144">
        <v>109.81</v>
      </c>
      <c r="F1784" s="144">
        <v>0.82950000000000002</v>
      </c>
      <c r="G1784" s="144">
        <v>1.2070000000000001</v>
      </c>
      <c r="I1784" s="144">
        <v>1</v>
      </c>
      <c r="J1784" s="145">
        <f t="shared" si="202"/>
        <v>40986</v>
      </c>
      <c r="K1784" s="144">
        <f t="shared" ca="1" si="207"/>
        <v>0.9202500762427569</v>
      </c>
      <c r="L1784" s="144">
        <f t="shared" ca="1" si="207"/>
        <v>0.63243366880146379</v>
      </c>
      <c r="M1784" s="144">
        <f t="shared" ca="1" si="207"/>
        <v>83.722171393717588</v>
      </c>
      <c r="N1784" s="144">
        <f t="shared" ca="1" si="207"/>
        <v>5.7548032936870994</v>
      </c>
      <c r="O1784" s="144">
        <f t="shared" ca="1" si="207"/>
        <v>29.337450442207988</v>
      </c>
      <c r="P1784" s="144">
        <f t="shared" ca="1" si="207"/>
        <v>1</v>
      </c>
      <c r="Q1784" s="144">
        <f t="shared" ca="1" si="207"/>
        <v>0.76242756938090872</v>
      </c>
    </row>
    <row r="1785" spans="1:17" x14ac:dyDescent="0.25">
      <c r="A1785" s="145">
        <v>40985</v>
      </c>
      <c r="B1785" s="144">
        <v>1.3116000000000001</v>
      </c>
      <c r="C1785" s="144">
        <v>38.478999999999999</v>
      </c>
      <c r="D1785" s="144">
        <v>7.548</v>
      </c>
      <c r="E1785" s="144">
        <v>109.81</v>
      </c>
      <c r="F1785" s="144">
        <v>0.82950000000000002</v>
      </c>
      <c r="G1785" s="144">
        <v>1.2070000000000001</v>
      </c>
      <c r="I1785" s="144">
        <v>1</v>
      </c>
      <c r="J1785" s="145">
        <f t="shared" si="202"/>
        <v>40985</v>
      </c>
      <c r="K1785" s="144">
        <f t="shared" ref="K1785:Q1794" ca="1" si="208">OFFSET($A1785,0,K$3)/OFFSET($A1785,0,$P$3)</f>
        <v>0.9202500762427569</v>
      </c>
      <c r="L1785" s="144">
        <f t="shared" ca="1" si="208"/>
        <v>0.63243366880146379</v>
      </c>
      <c r="M1785" s="144">
        <f t="shared" ca="1" si="208"/>
        <v>83.722171393717588</v>
      </c>
      <c r="N1785" s="144">
        <f t="shared" ca="1" si="208"/>
        <v>5.7548032936870994</v>
      </c>
      <c r="O1785" s="144">
        <f t="shared" ca="1" si="208"/>
        <v>29.337450442207988</v>
      </c>
      <c r="P1785" s="144">
        <f t="shared" ca="1" si="208"/>
        <v>1</v>
      </c>
      <c r="Q1785" s="144">
        <f t="shared" ca="1" si="208"/>
        <v>0.76242756938090872</v>
      </c>
    </row>
    <row r="1786" spans="1:17" x14ac:dyDescent="0.25">
      <c r="A1786" s="145">
        <v>40984</v>
      </c>
      <c r="B1786" s="144">
        <v>1.3116000000000001</v>
      </c>
      <c r="C1786" s="144">
        <v>38.478999999999999</v>
      </c>
      <c r="D1786" s="144">
        <v>7.548</v>
      </c>
      <c r="E1786" s="144">
        <v>109.81</v>
      </c>
      <c r="F1786" s="144">
        <v>0.82950000000000002</v>
      </c>
      <c r="G1786" s="144">
        <v>1.2070000000000001</v>
      </c>
      <c r="I1786" s="144">
        <v>1</v>
      </c>
      <c r="J1786" s="145">
        <f t="shared" si="202"/>
        <v>40984</v>
      </c>
      <c r="K1786" s="144">
        <f t="shared" ca="1" si="208"/>
        <v>0.9202500762427569</v>
      </c>
      <c r="L1786" s="144">
        <f t="shared" ca="1" si="208"/>
        <v>0.63243366880146379</v>
      </c>
      <c r="M1786" s="144">
        <f t="shared" ca="1" si="208"/>
        <v>83.722171393717588</v>
      </c>
      <c r="N1786" s="144">
        <f t="shared" ca="1" si="208"/>
        <v>5.7548032936870994</v>
      </c>
      <c r="O1786" s="144">
        <f t="shared" ca="1" si="208"/>
        <v>29.337450442207988</v>
      </c>
      <c r="P1786" s="144">
        <f t="shared" ca="1" si="208"/>
        <v>1</v>
      </c>
      <c r="Q1786" s="144">
        <f t="shared" ca="1" si="208"/>
        <v>0.76242756938090872</v>
      </c>
    </row>
    <row r="1787" spans="1:17" x14ac:dyDescent="0.25">
      <c r="A1787" s="145">
        <v>40983</v>
      </c>
      <c r="B1787" s="144">
        <v>1.3057000000000001</v>
      </c>
      <c r="C1787" s="144">
        <v>38.412999999999997</v>
      </c>
      <c r="D1787" s="144">
        <v>7.5664999999999996</v>
      </c>
      <c r="E1787" s="144">
        <v>108.82</v>
      </c>
      <c r="F1787" s="144">
        <v>0.83345000000000002</v>
      </c>
      <c r="G1787" s="144">
        <v>1.2096</v>
      </c>
      <c r="I1787" s="144">
        <v>1</v>
      </c>
      <c r="J1787" s="145">
        <f t="shared" si="202"/>
        <v>40983</v>
      </c>
      <c r="K1787" s="144">
        <f t="shared" ca="1" si="208"/>
        <v>0.92639963238109824</v>
      </c>
      <c r="L1787" s="144">
        <f t="shared" ca="1" si="208"/>
        <v>0.63831661177912224</v>
      </c>
      <c r="M1787" s="144">
        <f t="shared" ca="1" si="208"/>
        <v>83.342268514972801</v>
      </c>
      <c r="N1787" s="144">
        <f t="shared" ca="1" si="208"/>
        <v>5.7949758750095723</v>
      </c>
      <c r="O1787" s="144">
        <f t="shared" ca="1" si="208"/>
        <v>29.419468484337898</v>
      </c>
      <c r="P1787" s="144">
        <f t="shared" ca="1" si="208"/>
        <v>1</v>
      </c>
      <c r="Q1787" s="144">
        <f t="shared" ca="1" si="208"/>
        <v>0.76587271195527296</v>
      </c>
    </row>
    <row r="1788" spans="1:17" x14ac:dyDescent="0.25">
      <c r="A1788" s="145">
        <v>40982</v>
      </c>
      <c r="B1788" s="144">
        <v>1.3062</v>
      </c>
      <c r="C1788" s="144">
        <v>38.494</v>
      </c>
      <c r="D1788" s="144">
        <v>7.5469999999999997</v>
      </c>
      <c r="E1788" s="144">
        <v>109.16</v>
      </c>
      <c r="F1788" s="144">
        <v>0.83140000000000003</v>
      </c>
      <c r="G1788" s="144">
        <v>1.2110000000000001</v>
      </c>
      <c r="I1788" s="144">
        <v>1</v>
      </c>
      <c r="J1788" s="145">
        <f t="shared" si="202"/>
        <v>40982</v>
      </c>
      <c r="K1788" s="144">
        <f t="shared" ca="1" si="208"/>
        <v>0.92711682743837087</v>
      </c>
      <c r="L1788" s="144">
        <f t="shared" ca="1" si="208"/>
        <v>0.63650283264431173</v>
      </c>
      <c r="M1788" s="144">
        <f t="shared" ca="1" si="208"/>
        <v>83.570662991884859</v>
      </c>
      <c r="N1788" s="144">
        <f t="shared" ca="1" si="208"/>
        <v>5.7778288164140248</v>
      </c>
      <c r="O1788" s="144">
        <f t="shared" ca="1" si="208"/>
        <v>29.470218955749502</v>
      </c>
      <c r="P1788" s="144">
        <f t="shared" ca="1" si="208"/>
        <v>1</v>
      </c>
      <c r="Q1788" s="144">
        <f t="shared" ca="1" si="208"/>
        <v>0.76557954371459191</v>
      </c>
    </row>
    <row r="1789" spans="1:17" x14ac:dyDescent="0.25">
      <c r="A1789" s="145">
        <v>40981</v>
      </c>
      <c r="B1789" s="144">
        <v>1.3057000000000001</v>
      </c>
      <c r="C1789" s="144">
        <v>38.706299999999999</v>
      </c>
      <c r="D1789" s="144">
        <v>7.4515000000000002</v>
      </c>
      <c r="E1789" s="144">
        <v>108.03</v>
      </c>
      <c r="F1789" s="144">
        <v>0.83574999999999999</v>
      </c>
      <c r="G1789" s="144">
        <v>1.206</v>
      </c>
      <c r="I1789" s="144">
        <v>1</v>
      </c>
      <c r="J1789" s="145">
        <f t="shared" si="202"/>
        <v>40981</v>
      </c>
      <c r="K1789" s="144">
        <f t="shared" ca="1" si="208"/>
        <v>0.92364249061805914</v>
      </c>
      <c r="L1789" s="144">
        <f t="shared" ca="1" si="208"/>
        <v>0.64007811901661937</v>
      </c>
      <c r="M1789" s="144">
        <f t="shared" ca="1" si="208"/>
        <v>82.737229072528137</v>
      </c>
      <c r="N1789" s="144">
        <f t="shared" ca="1" si="208"/>
        <v>5.706900513134717</v>
      </c>
      <c r="O1789" s="144">
        <f t="shared" ca="1" si="208"/>
        <v>29.644098950754383</v>
      </c>
      <c r="P1789" s="144">
        <f t="shared" ca="1" si="208"/>
        <v>1</v>
      </c>
      <c r="Q1789" s="144">
        <f t="shared" ca="1" si="208"/>
        <v>0.76587271195527296</v>
      </c>
    </row>
    <row r="1790" spans="1:17" x14ac:dyDescent="0.25">
      <c r="A1790" s="145">
        <v>40980</v>
      </c>
      <c r="B1790" s="144">
        <v>1.3119000000000001</v>
      </c>
      <c r="C1790" s="144">
        <v>38.844999999999999</v>
      </c>
      <c r="D1790" s="144">
        <v>7.4794999999999998</v>
      </c>
      <c r="E1790" s="144">
        <v>107.79</v>
      </c>
      <c r="F1790" s="144">
        <v>0.83919999999999995</v>
      </c>
      <c r="G1790" s="144">
        <v>1.2056</v>
      </c>
      <c r="I1790" s="144">
        <v>1</v>
      </c>
      <c r="J1790" s="145">
        <f t="shared" si="202"/>
        <v>40980</v>
      </c>
      <c r="K1790" s="144">
        <f t="shared" ca="1" si="208"/>
        <v>0.91897248265873921</v>
      </c>
      <c r="L1790" s="144">
        <f t="shared" ca="1" si="208"/>
        <v>0.63968290266026362</v>
      </c>
      <c r="M1790" s="144">
        <f t="shared" ca="1" si="208"/>
        <v>82.16327463983535</v>
      </c>
      <c r="N1790" s="144">
        <f t="shared" ca="1" si="208"/>
        <v>5.7012729628782681</v>
      </c>
      <c r="O1790" s="144">
        <f t="shared" ca="1" si="208"/>
        <v>29.60972635109383</v>
      </c>
      <c r="P1790" s="144">
        <f t="shared" ca="1" si="208"/>
        <v>1</v>
      </c>
      <c r="Q1790" s="144">
        <f t="shared" ca="1" si="208"/>
        <v>0.76225322051985667</v>
      </c>
    </row>
    <row r="1791" spans="1:17" x14ac:dyDescent="0.25">
      <c r="A1791" s="145">
        <v>40979</v>
      </c>
      <c r="B1791" s="144">
        <v>1.3190999999999999</v>
      </c>
      <c r="C1791" s="144">
        <v>38.728999999999999</v>
      </c>
      <c r="D1791" s="144">
        <v>7.46</v>
      </c>
      <c r="E1791" s="144">
        <v>107.93</v>
      </c>
      <c r="F1791" s="144">
        <v>0.83594999999999997</v>
      </c>
      <c r="G1791" s="144">
        <v>1.2053</v>
      </c>
      <c r="I1791" s="144">
        <v>1</v>
      </c>
      <c r="J1791" s="145">
        <f t="shared" si="202"/>
        <v>40979</v>
      </c>
      <c r="K1791" s="144">
        <f t="shared" ca="1" si="208"/>
        <v>0.91372905769084989</v>
      </c>
      <c r="L1791" s="144">
        <f t="shared" ca="1" si="208"/>
        <v>0.63372754150557198</v>
      </c>
      <c r="M1791" s="144">
        <f t="shared" ca="1" si="208"/>
        <v>81.820938518686987</v>
      </c>
      <c r="N1791" s="144">
        <f t="shared" ca="1" si="208"/>
        <v>5.6553710863467517</v>
      </c>
      <c r="O1791" s="144">
        <f t="shared" ca="1" si="208"/>
        <v>29.360169812751121</v>
      </c>
      <c r="P1791" s="144">
        <f t="shared" ca="1" si="208"/>
        <v>1</v>
      </c>
      <c r="Q1791" s="144">
        <f t="shared" ca="1" si="208"/>
        <v>0.75809263892047607</v>
      </c>
    </row>
    <row r="1792" spans="1:17" x14ac:dyDescent="0.25">
      <c r="A1792" s="145">
        <v>40978</v>
      </c>
      <c r="B1792" s="144">
        <v>1.3190999999999999</v>
      </c>
      <c r="C1792" s="144">
        <v>38.728999999999999</v>
      </c>
      <c r="D1792" s="144">
        <v>7.46</v>
      </c>
      <c r="E1792" s="144">
        <v>107.93</v>
      </c>
      <c r="F1792" s="144">
        <v>0.83594999999999997</v>
      </c>
      <c r="G1792" s="144">
        <v>1.2053</v>
      </c>
      <c r="I1792" s="144">
        <v>1</v>
      </c>
      <c r="J1792" s="145">
        <f t="shared" si="202"/>
        <v>40978</v>
      </c>
      <c r="K1792" s="144">
        <f t="shared" ca="1" si="208"/>
        <v>0.91372905769084989</v>
      </c>
      <c r="L1792" s="144">
        <f t="shared" ca="1" si="208"/>
        <v>0.63372754150557198</v>
      </c>
      <c r="M1792" s="144">
        <f t="shared" ca="1" si="208"/>
        <v>81.820938518686987</v>
      </c>
      <c r="N1792" s="144">
        <f t="shared" ca="1" si="208"/>
        <v>5.6553710863467517</v>
      </c>
      <c r="O1792" s="144">
        <f t="shared" ca="1" si="208"/>
        <v>29.360169812751121</v>
      </c>
      <c r="P1792" s="144">
        <f t="shared" ca="1" si="208"/>
        <v>1</v>
      </c>
      <c r="Q1792" s="144">
        <f t="shared" ca="1" si="208"/>
        <v>0.75809263892047607</v>
      </c>
    </row>
    <row r="1793" spans="1:17" x14ac:dyDescent="0.25">
      <c r="A1793" s="145">
        <v>40977</v>
      </c>
      <c r="B1793" s="144">
        <v>1.3190999999999999</v>
      </c>
      <c r="C1793" s="144">
        <v>38.728999999999999</v>
      </c>
      <c r="D1793" s="144">
        <v>7.46</v>
      </c>
      <c r="E1793" s="144">
        <v>107.93</v>
      </c>
      <c r="F1793" s="144">
        <v>0.83594999999999997</v>
      </c>
      <c r="G1793" s="144">
        <v>1.2053</v>
      </c>
      <c r="I1793" s="144">
        <v>1</v>
      </c>
      <c r="J1793" s="145">
        <f t="shared" si="202"/>
        <v>40977</v>
      </c>
      <c r="K1793" s="144">
        <f t="shared" ca="1" si="208"/>
        <v>0.91372905769084989</v>
      </c>
      <c r="L1793" s="144">
        <f t="shared" ca="1" si="208"/>
        <v>0.63372754150557198</v>
      </c>
      <c r="M1793" s="144">
        <f t="shared" ca="1" si="208"/>
        <v>81.820938518686987</v>
      </c>
      <c r="N1793" s="144">
        <f t="shared" ca="1" si="208"/>
        <v>5.6553710863467517</v>
      </c>
      <c r="O1793" s="144">
        <f t="shared" ca="1" si="208"/>
        <v>29.360169812751121</v>
      </c>
      <c r="P1793" s="144">
        <f t="shared" ca="1" si="208"/>
        <v>1</v>
      </c>
      <c r="Q1793" s="144">
        <f t="shared" ca="1" si="208"/>
        <v>0.75809263892047607</v>
      </c>
    </row>
    <row r="1794" spans="1:17" x14ac:dyDescent="0.25">
      <c r="A1794" s="145">
        <v>40976</v>
      </c>
      <c r="B1794" s="144">
        <v>1.3242</v>
      </c>
      <c r="C1794" s="144">
        <v>39.334600000000002</v>
      </c>
      <c r="D1794" s="144">
        <v>7.4210000000000003</v>
      </c>
      <c r="E1794" s="144">
        <v>108.18</v>
      </c>
      <c r="F1794" s="144">
        <v>0.83865000000000001</v>
      </c>
      <c r="G1794" s="144">
        <v>1.2050000000000001</v>
      </c>
      <c r="I1794" s="144">
        <v>1</v>
      </c>
      <c r="J1794" s="145">
        <f t="shared" si="202"/>
        <v>40976</v>
      </c>
      <c r="K1794" s="144">
        <f t="shared" ca="1" si="208"/>
        <v>0.90998338619543873</v>
      </c>
      <c r="L1794" s="144">
        <f t="shared" ca="1" si="208"/>
        <v>0.63332578160398734</v>
      </c>
      <c r="M1794" s="144">
        <f t="shared" ca="1" si="208"/>
        <v>81.694608065246939</v>
      </c>
      <c r="N1794" s="144">
        <f t="shared" ca="1" si="208"/>
        <v>5.6041383476816193</v>
      </c>
      <c r="O1794" s="144">
        <f t="shared" ca="1" si="208"/>
        <v>29.704425313396769</v>
      </c>
      <c r="P1794" s="144">
        <f t="shared" ca="1" si="208"/>
        <v>1</v>
      </c>
      <c r="Q1794" s="144">
        <f t="shared" ca="1" si="208"/>
        <v>0.75517293460202384</v>
      </c>
    </row>
    <row r="1795" spans="1:17" x14ac:dyDescent="0.25">
      <c r="A1795" s="145">
        <v>40975</v>
      </c>
      <c r="B1795" s="144">
        <v>1.3120000000000001</v>
      </c>
      <c r="C1795" s="144">
        <v>39.029899999999998</v>
      </c>
      <c r="D1795" s="144">
        <v>7.4480000000000004</v>
      </c>
      <c r="E1795" s="144">
        <v>105.95</v>
      </c>
      <c r="F1795" s="144">
        <v>0.83489999999999998</v>
      </c>
      <c r="G1795" s="144">
        <v>1.2052</v>
      </c>
      <c r="I1795" s="144">
        <v>1</v>
      </c>
      <c r="J1795" s="145">
        <f t="shared" si="202"/>
        <v>40975</v>
      </c>
      <c r="K1795" s="144">
        <f t="shared" ref="K1795:Q1804" ca="1" si="209">OFFSET($A1795,0,K$3)/OFFSET($A1795,0,$P$3)</f>
        <v>0.91859756097560974</v>
      </c>
      <c r="L1795" s="144">
        <f t="shared" ca="1" si="209"/>
        <v>0.63635670731707317</v>
      </c>
      <c r="M1795" s="144">
        <f t="shared" ca="1" si="209"/>
        <v>80.754573170731703</v>
      </c>
      <c r="N1795" s="144">
        <f t="shared" ca="1" si="209"/>
        <v>5.6768292682926829</v>
      </c>
      <c r="O1795" s="144">
        <f t="shared" ca="1" si="209"/>
        <v>29.7483993902439</v>
      </c>
      <c r="P1795" s="144">
        <f t="shared" ca="1" si="209"/>
        <v>1</v>
      </c>
      <c r="Q1795" s="144">
        <f t="shared" ca="1" si="209"/>
        <v>0.76219512195121952</v>
      </c>
    </row>
    <row r="1796" spans="1:17" x14ac:dyDescent="0.25">
      <c r="A1796" s="145">
        <v>40974</v>
      </c>
      <c r="B1796" s="144">
        <v>1.3152999999999999</v>
      </c>
      <c r="C1796" s="144">
        <v>38.866599999999998</v>
      </c>
      <c r="D1796" s="144">
        <v>7.452</v>
      </c>
      <c r="E1796" s="144">
        <v>106.66</v>
      </c>
      <c r="F1796" s="144">
        <v>0.83255000000000001</v>
      </c>
      <c r="G1796" s="144">
        <v>1.2055</v>
      </c>
      <c r="I1796" s="144">
        <v>1</v>
      </c>
      <c r="J1796" s="145">
        <f t="shared" si="202"/>
        <v>40974</v>
      </c>
      <c r="K1796" s="144">
        <f t="shared" ca="1" si="209"/>
        <v>0.91652094579183463</v>
      </c>
      <c r="L1796" s="144">
        <f t="shared" ca="1" si="209"/>
        <v>0.6329734661294002</v>
      </c>
      <c r="M1796" s="144">
        <f t="shared" ca="1" si="209"/>
        <v>81.091766137002963</v>
      </c>
      <c r="N1796" s="144">
        <f t="shared" ca="1" si="209"/>
        <v>5.6656276134722123</v>
      </c>
      <c r="O1796" s="144">
        <f t="shared" ca="1" si="209"/>
        <v>29.549608454345016</v>
      </c>
      <c r="P1796" s="144">
        <f t="shared" ca="1" si="209"/>
        <v>1</v>
      </c>
      <c r="Q1796" s="144">
        <f t="shared" ca="1" si="209"/>
        <v>0.76028282521097856</v>
      </c>
    </row>
    <row r="1797" spans="1:17" x14ac:dyDescent="0.25">
      <c r="A1797" s="145">
        <v>40973</v>
      </c>
      <c r="B1797" s="144">
        <v>1.3220000000000001</v>
      </c>
      <c r="C1797" s="144">
        <v>38.712000000000003</v>
      </c>
      <c r="D1797" s="144">
        <v>7.42</v>
      </c>
      <c r="E1797" s="144">
        <v>107.54</v>
      </c>
      <c r="F1797" s="144">
        <v>0.83465</v>
      </c>
      <c r="G1797" s="144">
        <v>1.2060999999999999</v>
      </c>
      <c r="I1797" s="144">
        <v>1</v>
      </c>
      <c r="J1797" s="145">
        <f t="shared" ref="J1797:J1860" si="210">A1797</f>
        <v>40973</v>
      </c>
      <c r="K1797" s="144">
        <f t="shared" ca="1" si="209"/>
        <v>0.91232980332829039</v>
      </c>
      <c r="L1797" s="144">
        <f t="shared" ca="1" si="209"/>
        <v>0.63135400907715578</v>
      </c>
      <c r="M1797" s="144">
        <f t="shared" ca="1" si="209"/>
        <v>81.346444780635409</v>
      </c>
      <c r="N1797" s="144">
        <f t="shared" ca="1" si="209"/>
        <v>5.6127080181543114</v>
      </c>
      <c r="O1797" s="144">
        <f t="shared" ca="1" si="209"/>
        <v>29.282904689863845</v>
      </c>
      <c r="P1797" s="144">
        <f t="shared" ca="1" si="209"/>
        <v>1</v>
      </c>
      <c r="Q1797" s="144">
        <f t="shared" ca="1" si="209"/>
        <v>0.75642965204236001</v>
      </c>
    </row>
    <row r="1798" spans="1:17" x14ac:dyDescent="0.25">
      <c r="A1798" s="145">
        <v>40972</v>
      </c>
      <c r="B1798" s="144">
        <v>1.3217000000000001</v>
      </c>
      <c r="C1798" s="144">
        <v>38.727499999999999</v>
      </c>
      <c r="D1798" s="144">
        <v>7.4204999999999997</v>
      </c>
      <c r="E1798" s="144">
        <v>107.74</v>
      </c>
      <c r="F1798" s="144">
        <v>0.8327</v>
      </c>
      <c r="G1798" s="144">
        <v>1.2061999999999999</v>
      </c>
      <c r="I1798" s="144">
        <v>1</v>
      </c>
      <c r="J1798" s="145">
        <f t="shared" si="210"/>
        <v>40972</v>
      </c>
      <c r="K1798" s="144">
        <f t="shared" ca="1" si="209"/>
        <v>0.91261254445032902</v>
      </c>
      <c r="L1798" s="144">
        <f t="shared" ca="1" si="209"/>
        <v>0.63002194143905577</v>
      </c>
      <c r="M1798" s="144">
        <f t="shared" ca="1" si="209"/>
        <v>81.516229098887791</v>
      </c>
      <c r="N1798" s="144">
        <f t="shared" ca="1" si="209"/>
        <v>5.6143602935613215</v>
      </c>
      <c r="O1798" s="144">
        <f t="shared" ca="1" si="209"/>
        <v>29.301278656276004</v>
      </c>
      <c r="P1798" s="144">
        <f t="shared" ca="1" si="209"/>
        <v>1</v>
      </c>
      <c r="Q1798" s="144">
        <f t="shared" ca="1" si="209"/>
        <v>0.75660134675039714</v>
      </c>
    </row>
    <row r="1799" spans="1:17" x14ac:dyDescent="0.25">
      <c r="A1799" s="145">
        <v>40971</v>
      </c>
      <c r="B1799" s="144">
        <v>1.3217000000000001</v>
      </c>
      <c r="C1799" s="144">
        <v>38.727499999999999</v>
      </c>
      <c r="D1799" s="144">
        <v>7.4204999999999997</v>
      </c>
      <c r="E1799" s="144">
        <v>107.74</v>
      </c>
      <c r="F1799" s="144">
        <v>0.8327</v>
      </c>
      <c r="G1799" s="144">
        <v>1.2061999999999999</v>
      </c>
      <c r="I1799" s="144">
        <v>1</v>
      </c>
      <c r="J1799" s="145">
        <f t="shared" si="210"/>
        <v>40971</v>
      </c>
      <c r="K1799" s="144">
        <f t="shared" ca="1" si="209"/>
        <v>0.91261254445032902</v>
      </c>
      <c r="L1799" s="144">
        <f t="shared" ca="1" si="209"/>
        <v>0.63002194143905577</v>
      </c>
      <c r="M1799" s="144">
        <f t="shared" ca="1" si="209"/>
        <v>81.516229098887791</v>
      </c>
      <c r="N1799" s="144">
        <f t="shared" ca="1" si="209"/>
        <v>5.6143602935613215</v>
      </c>
      <c r="O1799" s="144">
        <f t="shared" ca="1" si="209"/>
        <v>29.301278656276004</v>
      </c>
      <c r="P1799" s="144">
        <f t="shared" ca="1" si="209"/>
        <v>1</v>
      </c>
      <c r="Q1799" s="144">
        <f t="shared" ca="1" si="209"/>
        <v>0.75660134675039714</v>
      </c>
    </row>
    <row r="1800" spans="1:17" x14ac:dyDescent="0.25">
      <c r="A1800" s="145">
        <v>40970</v>
      </c>
      <c r="B1800" s="144">
        <v>1.3217000000000001</v>
      </c>
      <c r="C1800" s="144">
        <v>38.727499999999999</v>
      </c>
      <c r="D1800" s="144">
        <v>7.4204999999999997</v>
      </c>
      <c r="E1800" s="144">
        <v>107.74</v>
      </c>
      <c r="F1800" s="144">
        <v>0.8327</v>
      </c>
      <c r="G1800" s="144">
        <v>1.2061999999999999</v>
      </c>
      <c r="I1800" s="144">
        <v>1</v>
      </c>
      <c r="J1800" s="145">
        <f t="shared" si="210"/>
        <v>40970</v>
      </c>
      <c r="K1800" s="144">
        <f t="shared" ca="1" si="209"/>
        <v>0.91261254445032902</v>
      </c>
      <c r="L1800" s="144">
        <f t="shared" ca="1" si="209"/>
        <v>0.63002194143905577</v>
      </c>
      <c r="M1800" s="144">
        <f t="shared" ca="1" si="209"/>
        <v>81.516229098887791</v>
      </c>
      <c r="N1800" s="144">
        <f t="shared" ca="1" si="209"/>
        <v>5.6143602935613215</v>
      </c>
      <c r="O1800" s="144">
        <f t="shared" ca="1" si="209"/>
        <v>29.301278656276004</v>
      </c>
      <c r="P1800" s="144">
        <f t="shared" ca="1" si="209"/>
        <v>1</v>
      </c>
      <c r="Q1800" s="144">
        <f t="shared" ca="1" si="209"/>
        <v>0.75660134675039714</v>
      </c>
    </row>
    <row r="1801" spans="1:17" x14ac:dyDescent="0.25">
      <c r="A1801" s="145">
        <v>40969</v>
      </c>
      <c r="B1801" s="144">
        <v>1.3311999999999999</v>
      </c>
      <c r="C1801" s="144">
        <v>39.033000000000001</v>
      </c>
      <c r="D1801" s="144">
        <v>7.4225000000000003</v>
      </c>
      <c r="E1801" s="144">
        <v>107.95</v>
      </c>
      <c r="F1801" s="144">
        <v>0.83489999999999998</v>
      </c>
      <c r="G1801" s="144">
        <v>1.2052</v>
      </c>
      <c r="I1801" s="144">
        <v>1</v>
      </c>
      <c r="J1801" s="145">
        <f t="shared" si="210"/>
        <v>40969</v>
      </c>
      <c r="K1801" s="144">
        <f t="shared" ca="1" si="209"/>
        <v>0.90534855769230782</v>
      </c>
      <c r="L1801" s="144">
        <f t="shared" ca="1" si="209"/>
        <v>0.62717848557692313</v>
      </c>
      <c r="M1801" s="144">
        <f t="shared" ca="1" si="209"/>
        <v>81.092247596153854</v>
      </c>
      <c r="N1801" s="144">
        <f t="shared" ca="1" si="209"/>
        <v>5.5757962740384617</v>
      </c>
      <c r="O1801" s="144">
        <f t="shared" ca="1" si="209"/>
        <v>29.32166466346154</v>
      </c>
      <c r="P1801" s="144">
        <f t="shared" ca="1" si="209"/>
        <v>1</v>
      </c>
      <c r="Q1801" s="144">
        <f t="shared" ca="1" si="209"/>
        <v>0.75120192307692313</v>
      </c>
    </row>
    <row r="1802" spans="1:17" x14ac:dyDescent="0.25">
      <c r="A1802" s="145">
        <v>40968</v>
      </c>
      <c r="B1802" s="144">
        <v>1.3443000000000001</v>
      </c>
      <c r="C1802" s="144">
        <v>39.135399999999997</v>
      </c>
      <c r="D1802" s="144">
        <v>7.4405000000000001</v>
      </c>
      <c r="E1802" s="144">
        <v>107.92</v>
      </c>
      <c r="F1802" s="144">
        <v>0.84389999999999998</v>
      </c>
      <c r="G1802" s="144">
        <v>1.2051000000000001</v>
      </c>
      <c r="I1802" s="144">
        <v>1</v>
      </c>
      <c r="J1802" s="145">
        <f t="shared" si="210"/>
        <v>40968</v>
      </c>
      <c r="K1802" s="144">
        <f t="shared" ca="1" si="209"/>
        <v>0.89645168489176519</v>
      </c>
      <c r="L1802" s="144">
        <f t="shared" ca="1" si="209"/>
        <v>0.6277616603436732</v>
      </c>
      <c r="M1802" s="144">
        <f t="shared" ca="1" si="209"/>
        <v>80.279699471844083</v>
      </c>
      <c r="N1802" s="144">
        <f t="shared" ca="1" si="209"/>
        <v>5.5348508517444026</v>
      </c>
      <c r="O1802" s="144">
        <f t="shared" ca="1" si="209"/>
        <v>29.112102953209845</v>
      </c>
      <c r="P1802" s="144">
        <f t="shared" ca="1" si="209"/>
        <v>1</v>
      </c>
      <c r="Q1802" s="144">
        <f t="shared" ca="1" si="209"/>
        <v>0.74388157405341071</v>
      </c>
    </row>
    <row r="1803" spans="1:17" x14ac:dyDescent="0.25">
      <c r="A1803" s="145">
        <v>40967</v>
      </c>
      <c r="B1803" s="144">
        <v>1.3453999999999999</v>
      </c>
      <c r="C1803" s="144">
        <v>39.047499999999999</v>
      </c>
      <c r="D1803" s="144">
        <v>7.48</v>
      </c>
      <c r="E1803" s="144">
        <v>108.39</v>
      </c>
      <c r="F1803" s="144">
        <v>0.84789999999999999</v>
      </c>
      <c r="G1803" s="144">
        <v>1.2050000000000001</v>
      </c>
      <c r="I1803" s="144">
        <v>1</v>
      </c>
      <c r="J1803" s="145">
        <f t="shared" si="210"/>
        <v>40967</v>
      </c>
      <c r="K1803" s="144">
        <f t="shared" ca="1" si="209"/>
        <v>0.89564441801694672</v>
      </c>
      <c r="L1803" s="144">
        <f t="shared" ca="1" si="209"/>
        <v>0.63022149546603246</v>
      </c>
      <c r="M1803" s="144">
        <f t="shared" ca="1" si="209"/>
        <v>80.563401218968338</v>
      </c>
      <c r="N1803" s="144">
        <f t="shared" ca="1" si="209"/>
        <v>5.5596848520885986</v>
      </c>
      <c r="O1803" s="144">
        <f t="shared" ca="1" si="209"/>
        <v>29.022967147316784</v>
      </c>
      <c r="P1803" s="144">
        <f t="shared" ca="1" si="209"/>
        <v>1</v>
      </c>
      <c r="Q1803" s="144">
        <f t="shared" ca="1" si="209"/>
        <v>0.74327337594767362</v>
      </c>
    </row>
    <row r="1804" spans="1:17" x14ac:dyDescent="0.25">
      <c r="A1804" s="145">
        <v>40966</v>
      </c>
      <c r="B1804" s="144">
        <v>1.3388</v>
      </c>
      <c r="C1804" s="144">
        <v>38.8825</v>
      </c>
      <c r="D1804" s="144">
        <v>7.4974999999999996</v>
      </c>
      <c r="E1804" s="144">
        <v>107.81</v>
      </c>
      <c r="F1804" s="144">
        <v>0.84499999999999997</v>
      </c>
      <c r="G1804" s="144">
        <v>1.2052</v>
      </c>
      <c r="I1804" s="144">
        <v>1</v>
      </c>
      <c r="J1804" s="145">
        <f t="shared" si="210"/>
        <v>40966</v>
      </c>
      <c r="K1804" s="144">
        <f t="shared" ca="1" si="209"/>
        <v>0.90020914251568573</v>
      </c>
      <c r="L1804" s="144">
        <f t="shared" ca="1" si="209"/>
        <v>0.6311622348371676</v>
      </c>
      <c r="M1804" s="144">
        <f t="shared" ca="1" si="209"/>
        <v>80.527337914550344</v>
      </c>
      <c r="N1804" s="144">
        <f t="shared" ca="1" si="209"/>
        <v>5.6001643262623242</v>
      </c>
      <c r="O1804" s="144">
        <f t="shared" ca="1" si="209"/>
        <v>29.042799521959964</v>
      </c>
      <c r="P1804" s="144">
        <f t="shared" ca="1" si="209"/>
        <v>1</v>
      </c>
      <c r="Q1804" s="144">
        <f t="shared" ca="1" si="209"/>
        <v>0.74693755602031675</v>
      </c>
    </row>
    <row r="1805" spans="1:17" x14ac:dyDescent="0.25">
      <c r="A1805" s="145">
        <v>40965</v>
      </c>
      <c r="B1805" s="144">
        <v>1.3411999999999999</v>
      </c>
      <c r="C1805" s="144">
        <v>39.185000000000002</v>
      </c>
      <c r="D1805" s="144">
        <v>7.4785000000000004</v>
      </c>
      <c r="E1805" s="144">
        <v>107.99</v>
      </c>
      <c r="F1805" s="144">
        <v>0.84814999999999996</v>
      </c>
      <c r="G1805" s="144">
        <v>1.2048000000000001</v>
      </c>
      <c r="I1805" s="144">
        <v>1</v>
      </c>
      <c r="J1805" s="145">
        <f t="shared" si="210"/>
        <v>40965</v>
      </c>
      <c r="K1805" s="144">
        <f t="shared" ref="K1805:Q1814" ca="1" si="211">OFFSET($A1805,0,K$3)/OFFSET($A1805,0,$P$3)</f>
        <v>0.89830002982403823</v>
      </c>
      <c r="L1805" s="144">
        <f t="shared" ca="1" si="211"/>
        <v>0.63238144944825525</v>
      </c>
      <c r="M1805" s="144">
        <f t="shared" ca="1" si="211"/>
        <v>80.517447062332238</v>
      </c>
      <c r="N1805" s="144">
        <f t="shared" ca="1" si="211"/>
        <v>5.5759767372502242</v>
      </c>
      <c r="O1805" s="144">
        <f t="shared" ca="1" si="211"/>
        <v>29.216373396957952</v>
      </c>
      <c r="P1805" s="144">
        <f t="shared" ca="1" si="211"/>
        <v>1</v>
      </c>
      <c r="Q1805" s="144">
        <f t="shared" ca="1" si="211"/>
        <v>0.74560095436922158</v>
      </c>
    </row>
    <row r="1806" spans="1:17" x14ac:dyDescent="0.25">
      <c r="A1806" s="145">
        <v>40964</v>
      </c>
      <c r="B1806" s="144">
        <v>1.3411999999999999</v>
      </c>
      <c r="C1806" s="144">
        <v>39.185000000000002</v>
      </c>
      <c r="D1806" s="144">
        <v>7.4785000000000004</v>
      </c>
      <c r="E1806" s="144">
        <v>107.99</v>
      </c>
      <c r="F1806" s="144">
        <v>0.84814999999999996</v>
      </c>
      <c r="G1806" s="144">
        <v>1.2048000000000001</v>
      </c>
      <c r="I1806" s="144">
        <v>1</v>
      </c>
      <c r="J1806" s="145">
        <f t="shared" si="210"/>
        <v>40964</v>
      </c>
      <c r="K1806" s="144">
        <f t="shared" ca="1" si="211"/>
        <v>0.89830002982403823</v>
      </c>
      <c r="L1806" s="144">
        <f t="shared" ca="1" si="211"/>
        <v>0.63238144944825525</v>
      </c>
      <c r="M1806" s="144">
        <f t="shared" ca="1" si="211"/>
        <v>80.517447062332238</v>
      </c>
      <c r="N1806" s="144">
        <f t="shared" ca="1" si="211"/>
        <v>5.5759767372502242</v>
      </c>
      <c r="O1806" s="144">
        <f t="shared" ca="1" si="211"/>
        <v>29.216373396957952</v>
      </c>
      <c r="P1806" s="144">
        <f t="shared" ca="1" si="211"/>
        <v>1</v>
      </c>
      <c r="Q1806" s="144">
        <f t="shared" ca="1" si="211"/>
        <v>0.74560095436922158</v>
      </c>
    </row>
    <row r="1807" spans="1:17" x14ac:dyDescent="0.25">
      <c r="A1807" s="145">
        <v>40963</v>
      </c>
      <c r="B1807" s="144">
        <v>1.3411999999999999</v>
      </c>
      <c r="C1807" s="144">
        <v>39.185000000000002</v>
      </c>
      <c r="D1807" s="144">
        <v>7.4785000000000004</v>
      </c>
      <c r="E1807" s="144">
        <v>107.99</v>
      </c>
      <c r="F1807" s="144">
        <v>0.84814999999999996</v>
      </c>
      <c r="G1807" s="144">
        <v>1.2048000000000001</v>
      </c>
      <c r="I1807" s="144">
        <v>1</v>
      </c>
      <c r="J1807" s="145">
        <f t="shared" si="210"/>
        <v>40963</v>
      </c>
      <c r="K1807" s="144">
        <f t="shared" ca="1" si="211"/>
        <v>0.89830002982403823</v>
      </c>
      <c r="L1807" s="144">
        <f t="shared" ca="1" si="211"/>
        <v>0.63238144944825525</v>
      </c>
      <c r="M1807" s="144">
        <f t="shared" ca="1" si="211"/>
        <v>80.517447062332238</v>
      </c>
      <c r="N1807" s="144">
        <f t="shared" ca="1" si="211"/>
        <v>5.5759767372502242</v>
      </c>
      <c r="O1807" s="144">
        <f t="shared" ca="1" si="211"/>
        <v>29.216373396957952</v>
      </c>
      <c r="P1807" s="144">
        <f t="shared" ca="1" si="211"/>
        <v>1</v>
      </c>
      <c r="Q1807" s="144">
        <f t="shared" ca="1" si="211"/>
        <v>0.74560095436922158</v>
      </c>
    </row>
    <row r="1808" spans="1:17" x14ac:dyDescent="0.25">
      <c r="A1808" s="145">
        <v>40962</v>
      </c>
      <c r="B1808" s="144">
        <v>1.33</v>
      </c>
      <c r="C1808" s="144">
        <v>39.36</v>
      </c>
      <c r="D1808" s="144">
        <v>7.4710000000000001</v>
      </c>
      <c r="E1808" s="144">
        <v>106.72</v>
      </c>
      <c r="F1808" s="144">
        <v>0.84609999999999996</v>
      </c>
      <c r="G1808" s="144">
        <v>1.2053</v>
      </c>
      <c r="I1808" s="144">
        <v>1</v>
      </c>
      <c r="J1808" s="145">
        <f t="shared" si="210"/>
        <v>40962</v>
      </c>
      <c r="K1808" s="144">
        <f t="shared" ca="1" si="211"/>
        <v>0.9062406015037594</v>
      </c>
      <c r="L1808" s="144">
        <f t="shared" ca="1" si="211"/>
        <v>0.63616541353383449</v>
      </c>
      <c r="M1808" s="144">
        <f t="shared" ca="1" si="211"/>
        <v>80.240601503759393</v>
      </c>
      <c r="N1808" s="144">
        <f t="shared" ca="1" si="211"/>
        <v>5.6172932330827061</v>
      </c>
      <c r="O1808" s="144">
        <f t="shared" ca="1" si="211"/>
        <v>29.593984962406012</v>
      </c>
      <c r="P1808" s="144">
        <f t="shared" ca="1" si="211"/>
        <v>1</v>
      </c>
      <c r="Q1808" s="144">
        <f t="shared" ca="1" si="211"/>
        <v>0.75187969924812026</v>
      </c>
    </row>
    <row r="1809" spans="1:17" x14ac:dyDescent="0.25">
      <c r="A1809" s="145">
        <v>40961</v>
      </c>
      <c r="B1809" s="144">
        <v>1.323</v>
      </c>
      <c r="C1809" s="144">
        <v>39.368000000000002</v>
      </c>
      <c r="D1809" s="144">
        <v>7.5</v>
      </c>
      <c r="E1809" s="144">
        <v>106.22</v>
      </c>
      <c r="F1809" s="144">
        <v>0.84419999999999995</v>
      </c>
      <c r="G1809" s="144">
        <v>1.2072000000000001</v>
      </c>
      <c r="I1809" s="144">
        <v>1</v>
      </c>
      <c r="J1809" s="145">
        <f t="shared" si="210"/>
        <v>40961</v>
      </c>
      <c r="K1809" s="144">
        <f t="shared" ca="1" si="211"/>
        <v>0.91247165532879826</v>
      </c>
      <c r="L1809" s="144">
        <f t="shared" ca="1" si="211"/>
        <v>0.63809523809523805</v>
      </c>
      <c r="M1809" s="144">
        <f t="shared" ca="1" si="211"/>
        <v>80.287226001511712</v>
      </c>
      <c r="N1809" s="144">
        <f t="shared" ca="1" si="211"/>
        <v>5.6689342403628116</v>
      </c>
      <c r="O1809" s="144">
        <f t="shared" ca="1" si="211"/>
        <v>29.75661375661376</v>
      </c>
      <c r="P1809" s="144">
        <f t="shared" ca="1" si="211"/>
        <v>1</v>
      </c>
      <c r="Q1809" s="144">
        <f t="shared" ca="1" si="211"/>
        <v>0.75585789871504161</v>
      </c>
    </row>
    <row r="1810" spans="1:17" x14ac:dyDescent="0.25">
      <c r="A1810" s="145">
        <v>40960</v>
      </c>
      <c r="B1810" s="144">
        <v>1.3222</v>
      </c>
      <c r="C1810" s="144">
        <v>39.450000000000003</v>
      </c>
      <c r="D1810" s="144">
        <v>7.52</v>
      </c>
      <c r="E1810" s="144">
        <v>105.38</v>
      </c>
      <c r="F1810" s="144">
        <v>0.83640000000000003</v>
      </c>
      <c r="G1810" s="144">
        <v>1.2073</v>
      </c>
      <c r="I1810" s="144">
        <v>1</v>
      </c>
      <c r="J1810" s="145">
        <f t="shared" si="210"/>
        <v>40960</v>
      </c>
      <c r="K1810" s="144">
        <f t="shared" ca="1" si="211"/>
        <v>0.91309937982150957</v>
      </c>
      <c r="L1810" s="144">
        <f t="shared" ca="1" si="211"/>
        <v>0.63258206020269248</v>
      </c>
      <c r="M1810" s="144">
        <f t="shared" ca="1" si="211"/>
        <v>79.700499168053241</v>
      </c>
      <c r="N1810" s="144">
        <f t="shared" ca="1" si="211"/>
        <v>5.687490546059597</v>
      </c>
      <c r="O1810" s="144">
        <f t="shared" ca="1" si="211"/>
        <v>29.836635909847224</v>
      </c>
      <c r="P1810" s="144">
        <f t="shared" ca="1" si="211"/>
        <v>1</v>
      </c>
      <c r="Q1810" s="144">
        <f t="shared" ca="1" si="211"/>
        <v>0.75631523218877628</v>
      </c>
    </row>
    <row r="1811" spans="1:17" x14ac:dyDescent="0.25">
      <c r="A1811" s="145">
        <v>40959</v>
      </c>
      <c r="B1811" s="144">
        <v>1.3266</v>
      </c>
      <c r="C1811" s="144">
        <v>39.473399999999998</v>
      </c>
      <c r="D1811" s="144">
        <v>7.4880000000000004</v>
      </c>
      <c r="E1811" s="144">
        <v>105.47</v>
      </c>
      <c r="F1811" s="144">
        <v>0.83640000000000003</v>
      </c>
      <c r="G1811" s="144">
        <v>1.2075</v>
      </c>
      <c r="I1811" s="144">
        <v>1</v>
      </c>
      <c r="J1811" s="145">
        <f t="shared" si="210"/>
        <v>40959</v>
      </c>
      <c r="K1811" s="144">
        <f t="shared" ca="1" si="211"/>
        <v>0.91022161917684308</v>
      </c>
      <c r="L1811" s="144">
        <f t="shared" ca="1" si="211"/>
        <v>0.63048394391677975</v>
      </c>
      <c r="M1811" s="144">
        <f t="shared" ca="1" si="211"/>
        <v>79.503995175636959</v>
      </c>
      <c r="N1811" s="144">
        <f t="shared" ca="1" si="211"/>
        <v>5.644504748982361</v>
      </c>
      <c r="O1811" s="144">
        <f t="shared" ca="1" si="211"/>
        <v>29.755314337403888</v>
      </c>
      <c r="P1811" s="144">
        <f t="shared" ca="1" si="211"/>
        <v>1</v>
      </c>
      <c r="Q1811" s="144">
        <f t="shared" ca="1" si="211"/>
        <v>0.7538067239559777</v>
      </c>
    </row>
    <row r="1812" spans="1:17" x14ac:dyDescent="0.25">
      <c r="A1812" s="145">
        <v>40958</v>
      </c>
      <c r="B1812" s="144">
        <v>1.3159000000000001</v>
      </c>
      <c r="C1812" s="144">
        <v>39.375</v>
      </c>
      <c r="D1812" s="144">
        <v>7.4974999999999996</v>
      </c>
      <c r="E1812" s="144">
        <v>104.39</v>
      </c>
      <c r="F1812" s="144">
        <v>0.83109999999999995</v>
      </c>
      <c r="G1812" s="144">
        <v>1.2082999999999999</v>
      </c>
      <c r="I1812" s="144">
        <v>1</v>
      </c>
      <c r="J1812" s="145">
        <f t="shared" si="210"/>
        <v>40958</v>
      </c>
      <c r="K1812" s="144">
        <f t="shared" ca="1" si="211"/>
        <v>0.91823086860703695</v>
      </c>
      <c r="L1812" s="144">
        <f t="shared" ca="1" si="211"/>
        <v>0.63158294703244922</v>
      </c>
      <c r="M1812" s="144">
        <f t="shared" ca="1" si="211"/>
        <v>79.329736302150621</v>
      </c>
      <c r="N1812" s="144">
        <f t="shared" ca="1" si="211"/>
        <v>5.6976213998024159</v>
      </c>
      <c r="O1812" s="144">
        <f t="shared" ca="1" si="211"/>
        <v>29.922486511133062</v>
      </c>
      <c r="P1812" s="144">
        <f t="shared" ca="1" si="211"/>
        <v>1</v>
      </c>
      <c r="Q1812" s="144">
        <f t="shared" ca="1" si="211"/>
        <v>0.75993616536210951</v>
      </c>
    </row>
    <row r="1813" spans="1:17" x14ac:dyDescent="0.25">
      <c r="A1813" s="145">
        <v>40957</v>
      </c>
      <c r="B1813" s="144">
        <v>1.3159000000000001</v>
      </c>
      <c r="C1813" s="144">
        <v>39.375</v>
      </c>
      <c r="D1813" s="144">
        <v>7.4974999999999996</v>
      </c>
      <c r="E1813" s="144">
        <v>104.39</v>
      </c>
      <c r="F1813" s="144">
        <v>0.83109999999999995</v>
      </c>
      <c r="G1813" s="144">
        <v>1.2082999999999999</v>
      </c>
      <c r="I1813" s="144">
        <v>1</v>
      </c>
      <c r="J1813" s="145">
        <f t="shared" si="210"/>
        <v>40957</v>
      </c>
      <c r="K1813" s="144">
        <f t="shared" ca="1" si="211"/>
        <v>0.91823086860703695</v>
      </c>
      <c r="L1813" s="144">
        <f t="shared" ca="1" si="211"/>
        <v>0.63158294703244922</v>
      </c>
      <c r="M1813" s="144">
        <f t="shared" ca="1" si="211"/>
        <v>79.329736302150621</v>
      </c>
      <c r="N1813" s="144">
        <f t="shared" ca="1" si="211"/>
        <v>5.6976213998024159</v>
      </c>
      <c r="O1813" s="144">
        <f t="shared" ca="1" si="211"/>
        <v>29.922486511133062</v>
      </c>
      <c r="P1813" s="144">
        <f t="shared" ca="1" si="211"/>
        <v>1</v>
      </c>
      <c r="Q1813" s="144">
        <f t="shared" ca="1" si="211"/>
        <v>0.75993616536210951</v>
      </c>
    </row>
    <row r="1814" spans="1:17" x14ac:dyDescent="0.25">
      <c r="A1814" s="145">
        <v>40956</v>
      </c>
      <c r="B1814" s="144">
        <v>1.3159000000000001</v>
      </c>
      <c r="C1814" s="144">
        <v>39.375</v>
      </c>
      <c r="D1814" s="144">
        <v>7.4974999999999996</v>
      </c>
      <c r="E1814" s="144">
        <v>104.39</v>
      </c>
      <c r="F1814" s="144">
        <v>0.83109999999999995</v>
      </c>
      <c r="G1814" s="144">
        <v>1.2082999999999999</v>
      </c>
      <c r="I1814" s="144">
        <v>1</v>
      </c>
      <c r="J1814" s="145">
        <f t="shared" si="210"/>
        <v>40956</v>
      </c>
      <c r="K1814" s="144">
        <f t="shared" ca="1" si="211"/>
        <v>0.91823086860703695</v>
      </c>
      <c r="L1814" s="144">
        <f t="shared" ca="1" si="211"/>
        <v>0.63158294703244922</v>
      </c>
      <c r="M1814" s="144">
        <f t="shared" ca="1" si="211"/>
        <v>79.329736302150621</v>
      </c>
      <c r="N1814" s="144">
        <f t="shared" ca="1" si="211"/>
        <v>5.6976213998024159</v>
      </c>
      <c r="O1814" s="144">
        <f t="shared" ca="1" si="211"/>
        <v>29.922486511133062</v>
      </c>
      <c r="P1814" s="144">
        <f t="shared" ca="1" si="211"/>
        <v>1</v>
      </c>
      <c r="Q1814" s="144">
        <f t="shared" ca="1" si="211"/>
        <v>0.75993616536210951</v>
      </c>
    </row>
    <row r="1815" spans="1:17" x14ac:dyDescent="0.25">
      <c r="A1815" s="145">
        <v>40955</v>
      </c>
      <c r="B1815" s="144">
        <v>1.2982</v>
      </c>
      <c r="C1815" s="144">
        <v>39.369999999999997</v>
      </c>
      <c r="D1815" s="144">
        <v>7.5514999999999999</v>
      </c>
      <c r="E1815" s="144">
        <v>102.31</v>
      </c>
      <c r="F1815" s="144">
        <v>0.82845000000000002</v>
      </c>
      <c r="G1815" s="144">
        <v>1.2072000000000001</v>
      </c>
      <c r="I1815" s="144">
        <v>1</v>
      </c>
      <c r="J1815" s="145">
        <f t="shared" si="210"/>
        <v>40955</v>
      </c>
      <c r="K1815" s="144">
        <f t="shared" ref="K1815:Q1824" ca="1" si="212">OFFSET($A1815,0,K$3)/OFFSET($A1815,0,$P$3)</f>
        <v>0.92990294253581884</v>
      </c>
      <c r="L1815" s="144">
        <f t="shared" ca="1" si="212"/>
        <v>0.63815282699121867</v>
      </c>
      <c r="M1815" s="144">
        <f t="shared" ca="1" si="212"/>
        <v>78.809120320443697</v>
      </c>
      <c r="N1815" s="144">
        <f t="shared" ca="1" si="212"/>
        <v>5.8169003235248802</v>
      </c>
      <c r="O1815" s="144">
        <f t="shared" ca="1" si="212"/>
        <v>30.326606069942997</v>
      </c>
      <c r="P1815" s="144">
        <f t="shared" ca="1" si="212"/>
        <v>1</v>
      </c>
      <c r="Q1815" s="144">
        <f t="shared" ca="1" si="212"/>
        <v>0.77029733477122164</v>
      </c>
    </row>
    <row r="1816" spans="1:17" x14ac:dyDescent="0.25">
      <c r="A1816" s="145">
        <v>40954</v>
      </c>
      <c r="B1816" s="144">
        <v>1.3091999999999999</v>
      </c>
      <c r="C1816" s="144">
        <v>39.317500000000003</v>
      </c>
      <c r="D1816" s="144">
        <v>7.5285000000000002</v>
      </c>
      <c r="E1816" s="144">
        <v>102.73</v>
      </c>
      <c r="F1816" s="144">
        <v>0.83479999999999999</v>
      </c>
      <c r="G1816" s="144">
        <v>1.2073</v>
      </c>
      <c r="I1816" s="144">
        <v>1</v>
      </c>
      <c r="J1816" s="145">
        <f t="shared" si="210"/>
        <v>40954</v>
      </c>
      <c r="K1816" s="144">
        <f t="shared" ca="1" si="212"/>
        <v>0.92216620837152463</v>
      </c>
      <c r="L1816" s="144">
        <f t="shared" ca="1" si="212"/>
        <v>0.63764130766880545</v>
      </c>
      <c r="M1816" s="144">
        <f t="shared" ca="1" si="212"/>
        <v>78.467766575007644</v>
      </c>
      <c r="N1816" s="144">
        <f t="shared" ca="1" si="212"/>
        <v>5.7504582951420717</v>
      </c>
      <c r="O1816" s="144">
        <f t="shared" ca="1" si="212"/>
        <v>30.031698747326615</v>
      </c>
      <c r="P1816" s="144">
        <f t="shared" ca="1" si="212"/>
        <v>1</v>
      </c>
      <c r="Q1816" s="144">
        <f t="shared" ca="1" si="212"/>
        <v>0.76382523678582348</v>
      </c>
    </row>
    <row r="1817" spans="1:17" x14ac:dyDescent="0.25">
      <c r="A1817" s="145">
        <v>40953</v>
      </c>
      <c r="B1817" s="144">
        <v>1.3169</v>
      </c>
      <c r="C1817" s="144">
        <v>39.578000000000003</v>
      </c>
      <c r="D1817" s="144">
        <v>7.5350000000000001</v>
      </c>
      <c r="E1817" s="144">
        <v>102.85</v>
      </c>
      <c r="F1817" s="144">
        <v>0.83765000000000001</v>
      </c>
      <c r="G1817" s="144">
        <v>1.2075</v>
      </c>
      <c r="I1817" s="144">
        <v>1</v>
      </c>
      <c r="J1817" s="145">
        <f t="shared" si="210"/>
        <v>40953</v>
      </c>
      <c r="K1817" s="144">
        <f t="shared" ca="1" si="212"/>
        <v>0.91692611435948068</v>
      </c>
      <c r="L1817" s="144">
        <f t="shared" ca="1" si="212"/>
        <v>0.63607715088465333</v>
      </c>
      <c r="M1817" s="144">
        <f t="shared" ca="1" si="212"/>
        <v>78.100083529501106</v>
      </c>
      <c r="N1817" s="144">
        <f t="shared" ca="1" si="212"/>
        <v>5.7217708254233433</v>
      </c>
      <c r="O1817" s="144">
        <f t="shared" ca="1" si="212"/>
        <v>30.053914496165241</v>
      </c>
      <c r="P1817" s="144">
        <f t="shared" ca="1" si="212"/>
        <v>1</v>
      </c>
      <c r="Q1817" s="144">
        <f t="shared" ca="1" si="212"/>
        <v>0.75935910091882453</v>
      </c>
    </row>
    <row r="1818" spans="1:17" x14ac:dyDescent="0.25">
      <c r="A1818" s="145">
        <v>40952</v>
      </c>
      <c r="B1818" s="144">
        <v>1.3253999999999999</v>
      </c>
      <c r="C1818" s="144">
        <v>39.576000000000001</v>
      </c>
      <c r="D1818" s="144">
        <v>7.5709999999999997</v>
      </c>
      <c r="E1818" s="144">
        <v>102.86</v>
      </c>
      <c r="F1818" s="144">
        <v>0.83884999999999998</v>
      </c>
      <c r="G1818" s="144">
        <v>1.2090000000000001</v>
      </c>
      <c r="I1818" s="144">
        <v>1</v>
      </c>
      <c r="J1818" s="145">
        <f t="shared" si="210"/>
        <v>40952</v>
      </c>
      <c r="K1818" s="144">
        <f t="shared" ca="1" si="212"/>
        <v>0.9121774558623813</v>
      </c>
      <c r="L1818" s="144">
        <f t="shared" ca="1" si="212"/>
        <v>0.63290327448317496</v>
      </c>
      <c r="M1818" s="144">
        <f t="shared" ca="1" si="212"/>
        <v>77.606760223328806</v>
      </c>
      <c r="N1818" s="144">
        <f t="shared" ca="1" si="212"/>
        <v>5.7122378149992459</v>
      </c>
      <c r="O1818" s="144">
        <f t="shared" ca="1" si="212"/>
        <v>29.859665006790404</v>
      </c>
      <c r="P1818" s="144">
        <f t="shared" ca="1" si="212"/>
        <v>1</v>
      </c>
      <c r="Q1818" s="144">
        <f t="shared" ca="1" si="212"/>
        <v>0.75448921080428555</v>
      </c>
    </row>
    <row r="1819" spans="1:17" x14ac:dyDescent="0.25">
      <c r="A1819" s="145">
        <v>40951</v>
      </c>
      <c r="B1819" s="144">
        <v>1.3189</v>
      </c>
      <c r="C1819" s="144">
        <v>39.674599999999998</v>
      </c>
      <c r="D1819" s="144">
        <v>7.6180000000000003</v>
      </c>
      <c r="E1819" s="144">
        <v>102.43</v>
      </c>
      <c r="F1819" s="144">
        <v>0.83630000000000004</v>
      </c>
      <c r="G1819" s="144">
        <v>1.2098</v>
      </c>
      <c r="I1819" s="144">
        <v>1</v>
      </c>
      <c r="J1819" s="145">
        <f t="shared" si="210"/>
        <v>40951</v>
      </c>
      <c r="K1819" s="144">
        <f t="shared" ca="1" si="212"/>
        <v>0.91727955114110249</v>
      </c>
      <c r="L1819" s="144">
        <f t="shared" ca="1" si="212"/>
        <v>0.63408901357191605</v>
      </c>
      <c r="M1819" s="144">
        <f t="shared" ca="1" si="212"/>
        <v>77.663204185305943</v>
      </c>
      <c r="N1819" s="144">
        <f t="shared" ca="1" si="212"/>
        <v>5.7760254757752678</v>
      </c>
      <c r="O1819" s="144">
        <f t="shared" ca="1" si="212"/>
        <v>30.081583137463038</v>
      </c>
      <c r="P1819" s="144">
        <f t="shared" ca="1" si="212"/>
        <v>1</v>
      </c>
      <c r="Q1819" s="144">
        <f t="shared" ca="1" si="212"/>
        <v>0.75820759724012432</v>
      </c>
    </row>
    <row r="1820" spans="1:17" x14ac:dyDescent="0.25">
      <c r="A1820" s="145">
        <v>40950</v>
      </c>
      <c r="B1820" s="144">
        <v>1.3189</v>
      </c>
      <c r="C1820" s="144">
        <v>39.674599999999998</v>
      </c>
      <c r="D1820" s="144">
        <v>7.6180000000000003</v>
      </c>
      <c r="E1820" s="144">
        <v>102.43</v>
      </c>
      <c r="F1820" s="144">
        <v>0.83630000000000004</v>
      </c>
      <c r="G1820" s="144">
        <v>1.2098</v>
      </c>
      <c r="I1820" s="144">
        <v>1</v>
      </c>
      <c r="J1820" s="145">
        <f t="shared" si="210"/>
        <v>40950</v>
      </c>
      <c r="K1820" s="144">
        <f t="shared" ca="1" si="212"/>
        <v>0.91727955114110249</v>
      </c>
      <c r="L1820" s="144">
        <f t="shared" ca="1" si="212"/>
        <v>0.63408901357191605</v>
      </c>
      <c r="M1820" s="144">
        <f t="shared" ca="1" si="212"/>
        <v>77.663204185305943</v>
      </c>
      <c r="N1820" s="144">
        <f t="shared" ca="1" si="212"/>
        <v>5.7760254757752678</v>
      </c>
      <c r="O1820" s="144">
        <f t="shared" ca="1" si="212"/>
        <v>30.081583137463038</v>
      </c>
      <c r="P1820" s="144">
        <f t="shared" ca="1" si="212"/>
        <v>1</v>
      </c>
      <c r="Q1820" s="144">
        <f t="shared" ca="1" si="212"/>
        <v>0.75820759724012432</v>
      </c>
    </row>
    <row r="1821" spans="1:17" x14ac:dyDescent="0.25">
      <c r="A1821" s="145">
        <v>40949</v>
      </c>
      <c r="B1821" s="144">
        <v>1.3189</v>
      </c>
      <c r="C1821" s="144">
        <v>39.674599999999998</v>
      </c>
      <c r="D1821" s="144">
        <v>7.6180000000000003</v>
      </c>
      <c r="E1821" s="144">
        <v>102.43</v>
      </c>
      <c r="F1821" s="144">
        <v>0.83630000000000004</v>
      </c>
      <c r="G1821" s="144">
        <v>1.2098</v>
      </c>
      <c r="I1821" s="144">
        <v>1</v>
      </c>
      <c r="J1821" s="145">
        <f t="shared" si="210"/>
        <v>40949</v>
      </c>
      <c r="K1821" s="144">
        <f t="shared" ca="1" si="212"/>
        <v>0.91727955114110249</v>
      </c>
      <c r="L1821" s="144">
        <f t="shared" ca="1" si="212"/>
        <v>0.63408901357191605</v>
      </c>
      <c r="M1821" s="144">
        <f t="shared" ca="1" si="212"/>
        <v>77.663204185305943</v>
      </c>
      <c r="N1821" s="144">
        <f t="shared" ca="1" si="212"/>
        <v>5.7760254757752678</v>
      </c>
      <c r="O1821" s="144">
        <f t="shared" ca="1" si="212"/>
        <v>30.081583137463038</v>
      </c>
      <c r="P1821" s="144">
        <f t="shared" ca="1" si="212"/>
        <v>1</v>
      </c>
      <c r="Q1821" s="144">
        <f t="shared" ca="1" si="212"/>
        <v>0.75820759724012432</v>
      </c>
    </row>
    <row r="1822" spans="1:17" x14ac:dyDescent="0.25">
      <c r="A1822" s="145">
        <v>40948</v>
      </c>
      <c r="B1822" s="144">
        <v>1.3288</v>
      </c>
      <c r="C1822" s="144">
        <v>39.554600000000001</v>
      </c>
      <c r="D1822" s="144">
        <v>7.63</v>
      </c>
      <c r="E1822" s="144">
        <v>102.63</v>
      </c>
      <c r="F1822" s="144">
        <v>0.83665</v>
      </c>
      <c r="G1822" s="144">
        <v>1.2102999999999999</v>
      </c>
      <c r="I1822" s="144">
        <v>1</v>
      </c>
      <c r="J1822" s="145">
        <f t="shared" si="210"/>
        <v>40948</v>
      </c>
      <c r="K1822" s="144">
        <f t="shared" ca="1" si="212"/>
        <v>0.9108217940999398</v>
      </c>
      <c r="L1822" s="144">
        <f t="shared" ca="1" si="212"/>
        <v>0.62962823600240825</v>
      </c>
      <c r="M1822" s="144">
        <f t="shared" ca="1" si="212"/>
        <v>77.235099337748338</v>
      </c>
      <c r="N1822" s="144">
        <f t="shared" ca="1" si="212"/>
        <v>5.7420228777844668</v>
      </c>
      <c r="O1822" s="144">
        <f t="shared" ca="1" si="212"/>
        <v>29.767158338350391</v>
      </c>
      <c r="P1822" s="144">
        <f t="shared" ca="1" si="212"/>
        <v>1</v>
      </c>
      <c r="Q1822" s="144">
        <f t="shared" ca="1" si="212"/>
        <v>0.75255869957856714</v>
      </c>
    </row>
    <row r="1823" spans="1:17" x14ac:dyDescent="0.25">
      <c r="A1823" s="145">
        <v>40947</v>
      </c>
      <c r="B1823" s="144">
        <v>1.3273999999999999</v>
      </c>
      <c r="C1823" s="144">
        <v>39.558999999999997</v>
      </c>
      <c r="D1823" s="144">
        <v>7.6289999999999996</v>
      </c>
      <c r="E1823" s="144">
        <v>102.11</v>
      </c>
      <c r="F1823" s="144">
        <v>0.83494999999999997</v>
      </c>
      <c r="G1823" s="144">
        <v>1.2114</v>
      </c>
      <c r="I1823" s="144">
        <v>1</v>
      </c>
      <c r="J1823" s="145">
        <f t="shared" si="210"/>
        <v>40947</v>
      </c>
      <c r="K1823" s="144">
        <f t="shared" ca="1" si="212"/>
        <v>0.9126111194816936</v>
      </c>
      <c r="L1823" s="144">
        <f t="shared" ca="1" si="212"/>
        <v>0.62901160162724123</v>
      </c>
      <c r="M1823" s="144">
        <f t="shared" ca="1" si="212"/>
        <v>76.924815428657524</v>
      </c>
      <c r="N1823" s="144">
        <f t="shared" ca="1" si="212"/>
        <v>5.7473255989151726</v>
      </c>
      <c r="O1823" s="144">
        <f t="shared" ca="1" si="212"/>
        <v>29.801868313997289</v>
      </c>
      <c r="P1823" s="144">
        <f t="shared" ca="1" si="212"/>
        <v>1</v>
      </c>
      <c r="Q1823" s="144">
        <f t="shared" ca="1" si="212"/>
        <v>0.75335241826126265</v>
      </c>
    </row>
    <row r="1824" spans="1:17" x14ac:dyDescent="0.25">
      <c r="A1824" s="145">
        <v>40946</v>
      </c>
      <c r="B1824" s="144">
        <v>1.3112999999999999</v>
      </c>
      <c r="C1824" s="144">
        <v>39.286999999999999</v>
      </c>
      <c r="D1824" s="144">
        <v>7.6224999999999996</v>
      </c>
      <c r="E1824" s="144">
        <v>100.67</v>
      </c>
      <c r="F1824" s="144">
        <v>0.83020000000000005</v>
      </c>
      <c r="G1824" s="144">
        <v>1.2087000000000001</v>
      </c>
      <c r="I1824" s="144">
        <v>1</v>
      </c>
      <c r="J1824" s="145">
        <f t="shared" si="210"/>
        <v>40946</v>
      </c>
      <c r="K1824" s="144">
        <f t="shared" ca="1" si="212"/>
        <v>0.92175703500343187</v>
      </c>
      <c r="L1824" s="144">
        <f t="shared" ca="1" si="212"/>
        <v>0.63311217875390846</v>
      </c>
      <c r="M1824" s="144">
        <f t="shared" ca="1" si="212"/>
        <v>76.77114314039504</v>
      </c>
      <c r="N1824" s="144">
        <f t="shared" ca="1" si="212"/>
        <v>5.8129337298863728</v>
      </c>
      <c r="O1824" s="144">
        <f t="shared" ca="1" si="212"/>
        <v>29.960344696103107</v>
      </c>
      <c r="P1824" s="144">
        <f t="shared" ca="1" si="212"/>
        <v>1</v>
      </c>
      <c r="Q1824" s="144">
        <f t="shared" ca="1" si="212"/>
        <v>0.76260199801723483</v>
      </c>
    </row>
    <row r="1825" spans="1:17" x14ac:dyDescent="0.25">
      <c r="A1825" s="145">
        <v>40945</v>
      </c>
      <c r="B1825" s="144">
        <v>1.3042</v>
      </c>
      <c r="C1825" s="144">
        <v>39.425400000000003</v>
      </c>
      <c r="D1825" s="144">
        <v>7.5925000000000002</v>
      </c>
      <c r="E1825" s="144">
        <v>99.97</v>
      </c>
      <c r="F1825" s="144">
        <v>0.82809999999999995</v>
      </c>
      <c r="G1825" s="144">
        <v>1.2067000000000001</v>
      </c>
      <c r="I1825" s="144">
        <v>1</v>
      </c>
      <c r="J1825" s="145">
        <f t="shared" si="210"/>
        <v>40945</v>
      </c>
      <c r="K1825" s="144">
        <f t="shared" ref="K1825:Q1834" ca="1" si="213">OFFSET($A1825,0,K$3)/OFFSET($A1825,0,$P$3)</f>
        <v>0.92524152737310239</v>
      </c>
      <c r="L1825" s="144">
        <f t="shared" ca="1" si="213"/>
        <v>0.63494862751111791</v>
      </c>
      <c r="M1825" s="144">
        <f t="shared" ca="1" si="213"/>
        <v>76.652353933445795</v>
      </c>
      <c r="N1825" s="144">
        <f t="shared" ca="1" si="213"/>
        <v>5.8215764453304706</v>
      </c>
      <c r="O1825" s="144">
        <f t="shared" ca="1" si="213"/>
        <v>30.229566017481982</v>
      </c>
      <c r="P1825" s="144">
        <f t="shared" ca="1" si="213"/>
        <v>1</v>
      </c>
      <c r="Q1825" s="144">
        <f t="shared" ca="1" si="213"/>
        <v>0.76675356540407913</v>
      </c>
    </row>
    <row r="1826" spans="1:17" x14ac:dyDescent="0.25">
      <c r="A1826" s="145">
        <v>40944</v>
      </c>
      <c r="B1826" s="144">
        <v>1.3160000000000001</v>
      </c>
      <c r="C1826" s="144">
        <v>39.8093</v>
      </c>
      <c r="D1826" s="144">
        <v>7.6440000000000001</v>
      </c>
      <c r="E1826" s="144">
        <v>100.3</v>
      </c>
      <c r="F1826" s="144">
        <v>0.83220000000000005</v>
      </c>
      <c r="G1826" s="144">
        <v>1.2050000000000001</v>
      </c>
      <c r="I1826" s="144">
        <v>1</v>
      </c>
      <c r="J1826" s="145">
        <f t="shared" si="210"/>
        <v>40944</v>
      </c>
      <c r="K1826" s="144">
        <f t="shared" ca="1" si="213"/>
        <v>0.91565349544072949</v>
      </c>
      <c r="L1826" s="144">
        <f t="shared" ca="1" si="213"/>
        <v>0.63237082066869299</v>
      </c>
      <c r="M1826" s="144">
        <f t="shared" ca="1" si="213"/>
        <v>76.215805471124611</v>
      </c>
      <c r="N1826" s="144">
        <f t="shared" ca="1" si="213"/>
        <v>5.8085106382978724</v>
      </c>
      <c r="O1826" s="144">
        <f t="shared" ca="1" si="213"/>
        <v>30.250227963525834</v>
      </c>
      <c r="P1826" s="144">
        <f t="shared" ca="1" si="213"/>
        <v>1</v>
      </c>
      <c r="Q1826" s="144">
        <f t="shared" ca="1" si="213"/>
        <v>0.75987841945288748</v>
      </c>
    </row>
    <row r="1827" spans="1:17" x14ac:dyDescent="0.25">
      <c r="A1827" s="145">
        <v>40943</v>
      </c>
      <c r="B1827" s="144">
        <v>1.3160000000000001</v>
      </c>
      <c r="C1827" s="144">
        <v>39.8093</v>
      </c>
      <c r="D1827" s="144">
        <v>7.6440000000000001</v>
      </c>
      <c r="E1827" s="144">
        <v>100.3</v>
      </c>
      <c r="F1827" s="144">
        <v>0.83220000000000005</v>
      </c>
      <c r="G1827" s="144">
        <v>1.2050000000000001</v>
      </c>
      <c r="I1827" s="144">
        <v>1</v>
      </c>
      <c r="J1827" s="145">
        <f t="shared" si="210"/>
        <v>40943</v>
      </c>
      <c r="K1827" s="144">
        <f t="shared" ca="1" si="213"/>
        <v>0.91565349544072949</v>
      </c>
      <c r="L1827" s="144">
        <f t="shared" ca="1" si="213"/>
        <v>0.63237082066869299</v>
      </c>
      <c r="M1827" s="144">
        <f t="shared" ca="1" si="213"/>
        <v>76.215805471124611</v>
      </c>
      <c r="N1827" s="144">
        <f t="shared" ca="1" si="213"/>
        <v>5.8085106382978724</v>
      </c>
      <c r="O1827" s="144">
        <f t="shared" ca="1" si="213"/>
        <v>30.250227963525834</v>
      </c>
      <c r="P1827" s="144">
        <f t="shared" ca="1" si="213"/>
        <v>1</v>
      </c>
      <c r="Q1827" s="144">
        <f t="shared" ca="1" si="213"/>
        <v>0.75987841945288748</v>
      </c>
    </row>
    <row r="1828" spans="1:17" x14ac:dyDescent="0.25">
      <c r="A1828" s="145">
        <v>40942</v>
      </c>
      <c r="B1828" s="144">
        <v>1.3160000000000001</v>
      </c>
      <c r="C1828" s="144">
        <v>39.8093</v>
      </c>
      <c r="D1828" s="144">
        <v>7.6440000000000001</v>
      </c>
      <c r="E1828" s="144">
        <v>100.3</v>
      </c>
      <c r="F1828" s="144">
        <v>0.83220000000000005</v>
      </c>
      <c r="G1828" s="144">
        <v>1.2050000000000001</v>
      </c>
      <c r="I1828" s="144">
        <v>1</v>
      </c>
      <c r="J1828" s="145">
        <f t="shared" si="210"/>
        <v>40942</v>
      </c>
      <c r="K1828" s="144">
        <f t="shared" ca="1" si="213"/>
        <v>0.91565349544072949</v>
      </c>
      <c r="L1828" s="144">
        <f t="shared" ca="1" si="213"/>
        <v>0.63237082066869299</v>
      </c>
      <c r="M1828" s="144">
        <f t="shared" ca="1" si="213"/>
        <v>76.215805471124611</v>
      </c>
      <c r="N1828" s="144">
        <f t="shared" ca="1" si="213"/>
        <v>5.8085106382978724</v>
      </c>
      <c r="O1828" s="144">
        <f t="shared" ca="1" si="213"/>
        <v>30.250227963525834</v>
      </c>
      <c r="P1828" s="144">
        <f t="shared" ca="1" si="213"/>
        <v>1</v>
      </c>
      <c r="Q1828" s="144">
        <f t="shared" ca="1" si="213"/>
        <v>0.75987841945288748</v>
      </c>
    </row>
    <row r="1829" spans="1:17" x14ac:dyDescent="0.25">
      <c r="A1829" s="145">
        <v>40941</v>
      </c>
      <c r="B1829" s="144">
        <v>1.3093999999999999</v>
      </c>
      <c r="C1829" s="144">
        <v>39.666499999999999</v>
      </c>
      <c r="D1829" s="144">
        <v>7.6479999999999997</v>
      </c>
      <c r="E1829" s="144">
        <v>99.66</v>
      </c>
      <c r="F1829" s="144">
        <v>0.82765</v>
      </c>
      <c r="G1829" s="144">
        <v>1.2048000000000001</v>
      </c>
      <c r="I1829" s="144">
        <v>1</v>
      </c>
      <c r="J1829" s="145">
        <f t="shared" si="210"/>
        <v>40941</v>
      </c>
      <c r="K1829" s="144">
        <f t="shared" ca="1" si="213"/>
        <v>0.92011608370245923</v>
      </c>
      <c r="L1829" s="144">
        <f t="shared" ca="1" si="213"/>
        <v>0.63208339697571414</v>
      </c>
      <c r="M1829" s="144">
        <f t="shared" ca="1" si="213"/>
        <v>76.111195967618755</v>
      </c>
      <c r="N1829" s="144">
        <f t="shared" ca="1" si="213"/>
        <v>5.8408431342599663</v>
      </c>
      <c r="O1829" s="144">
        <f t="shared" ca="1" si="213"/>
        <v>30.293645944707503</v>
      </c>
      <c r="P1829" s="144">
        <f t="shared" ca="1" si="213"/>
        <v>1</v>
      </c>
      <c r="Q1829" s="144">
        <f t="shared" ca="1" si="213"/>
        <v>0.76370856881014215</v>
      </c>
    </row>
    <row r="1830" spans="1:17" x14ac:dyDescent="0.25">
      <c r="A1830" s="145">
        <v>40940</v>
      </c>
      <c r="B1830" s="144">
        <v>1.3174999999999999</v>
      </c>
      <c r="C1830" s="144">
        <v>39.792000000000002</v>
      </c>
      <c r="D1830" s="144">
        <v>7.6539999999999999</v>
      </c>
      <c r="E1830" s="144">
        <v>100.29</v>
      </c>
      <c r="F1830" s="144">
        <v>0.83120000000000005</v>
      </c>
      <c r="G1830" s="144">
        <v>1.2048000000000001</v>
      </c>
      <c r="I1830" s="144">
        <v>1</v>
      </c>
      <c r="J1830" s="145">
        <f t="shared" si="210"/>
        <v>40940</v>
      </c>
      <c r="K1830" s="144">
        <f t="shared" ca="1" si="213"/>
        <v>0.91445920303605333</v>
      </c>
      <c r="L1830" s="144">
        <f t="shared" ca="1" si="213"/>
        <v>0.63089184060721071</v>
      </c>
      <c r="M1830" s="144">
        <f t="shared" ca="1" si="213"/>
        <v>76.121442125237209</v>
      </c>
      <c r="N1830" s="144">
        <f t="shared" ca="1" si="213"/>
        <v>5.8094876660341557</v>
      </c>
      <c r="O1830" s="144">
        <f t="shared" ca="1" si="213"/>
        <v>30.202656546489568</v>
      </c>
      <c r="P1830" s="144">
        <f t="shared" ca="1" si="213"/>
        <v>1</v>
      </c>
      <c r="Q1830" s="144">
        <f t="shared" ca="1" si="213"/>
        <v>0.75901328273244784</v>
      </c>
    </row>
    <row r="1831" spans="1:17" x14ac:dyDescent="0.25">
      <c r="A1831" s="145">
        <v>40939</v>
      </c>
      <c r="B1831" s="144">
        <v>1.3176000000000001</v>
      </c>
      <c r="C1831" s="144">
        <v>39.69</v>
      </c>
      <c r="D1831" s="144">
        <v>7.6559999999999997</v>
      </c>
      <c r="E1831" s="144">
        <v>100.63</v>
      </c>
      <c r="F1831" s="144">
        <v>0.83509999999999995</v>
      </c>
      <c r="G1831" s="144">
        <v>1.2048000000000001</v>
      </c>
      <c r="I1831" s="144">
        <v>1</v>
      </c>
      <c r="J1831" s="145">
        <f t="shared" si="210"/>
        <v>40939</v>
      </c>
      <c r="K1831" s="144">
        <f t="shared" ca="1" si="213"/>
        <v>0.91438979963570133</v>
      </c>
      <c r="L1831" s="144">
        <f t="shared" ca="1" si="213"/>
        <v>0.63380388585306613</v>
      </c>
      <c r="M1831" s="144">
        <f t="shared" ca="1" si="213"/>
        <v>76.373709775349113</v>
      </c>
      <c r="N1831" s="144">
        <f t="shared" ca="1" si="213"/>
        <v>5.8105646630236789</v>
      </c>
      <c r="O1831" s="144">
        <f t="shared" ca="1" si="213"/>
        <v>30.122950819672127</v>
      </c>
      <c r="P1831" s="144">
        <f t="shared" ca="1" si="213"/>
        <v>1</v>
      </c>
      <c r="Q1831" s="144">
        <f t="shared" ca="1" si="213"/>
        <v>0.75895567698846378</v>
      </c>
    </row>
    <row r="1832" spans="1:17" x14ac:dyDescent="0.25">
      <c r="A1832" s="145">
        <v>40938</v>
      </c>
      <c r="B1832" s="144">
        <v>1.3109999999999999</v>
      </c>
      <c r="C1832" s="144">
        <v>39.895000000000003</v>
      </c>
      <c r="D1832" s="144">
        <v>7.681</v>
      </c>
      <c r="E1832" s="144">
        <v>100.53</v>
      </c>
      <c r="F1832" s="144">
        <v>0.83579999999999999</v>
      </c>
      <c r="G1832" s="144">
        <v>1.2045999999999999</v>
      </c>
      <c r="I1832" s="144">
        <v>1</v>
      </c>
      <c r="J1832" s="145">
        <f t="shared" si="210"/>
        <v>40938</v>
      </c>
      <c r="K1832" s="144">
        <f t="shared" ca="1" si="213"/>
        <v>0.91884057971014488</v>
      </c>
      <c r="L1832" s="144">
        <f t="shared" ca="1" si="213"/>
        <v>0.63752860411899315</v>
      </c>
      <c r="M1832" s="144">
        <f t="shared" ca="1" si="213"/>
        <v>76.681922196796336</v>
      </c>
      <c r="N1832" s="144">
        <f t="shared" ca="1" si="213"/>
        <v>5.8588863463005341</v>
      </c>
      <c r="O1832" s="144">
        <f t="shared" ca="1" si="213"/>
        <v>30.430968726163236</v>
      </c>
      <c r="P1832" s="144">
        <f t="shared" ca="1" si="213"/>
        <v>1</v>
      </c>
      <c r="Q1832" s="144">
        <f t="shared" ca="1" si="213"/>
        <v>0.76277650648360029</v>
      </c>
    </row>
    <row r="1833" spans="1:17" x14ac:dyDescent="0.25">
      <c r="A1833" s="145">
        <v>40937</v>
      </c>
      <c r="B1833" s="144">
        <v>1.3145</v>
      </c>
      <c r="C1833" s="144">
        <v>39.74</v>
      </c>
      <c r="D1833" s="144">
        <v>7.6449999999999996</v>
      </c>
      <c r="E1833" s="144">
        <v>101.18</v>
      </c>
      <c r="F1833" s="144">
        <v>0.83684999999999998</v>
      </c>
      <c r="G1833" s="144">
        <v>1.2078</v>
      </c>
      <c r="I1833" s="144">
        <v>1</v>
      </c>
      <c r="J1833" s="145">
        <f t="shared" si="210"/>
        <v>40937</v>
      </c>
      <c r="K1833" s="144">
        <f t="shared" ca="1" si="213"/>
        <v>0.91882845188284512</v>
      </c>
      <c r="L1833" s="144">
        <f t="shared" ca="1" si="213"/>
        <v>0.63662989729935338</v>
      </c>
      <c r="M1833" s="144">
        <f t="shared" ca="1" si="213"/>
        <v>76.972232788132374</v>
      </c>
      <c r="N1833" s="144">
        <f t="shared" ca="1" si="213"/>
        <v>5.8158995815899575</v>
      </c>
      <c r="O1833" s="144">
        <f t="shared" ca="1" si="213"/>
        <v>30.232027386839103</v>
      </c>
      <c r="P1833" s="144">
        <f t="shared" ca="1" si="213"/>
        <v>1</v>
      </c>
      <c r="Q1833" s="144">
        <f t="shared" ca="1" si="213"/>
        <v>0.7607455306200076</v>
      </c>
    </row>
    <row r="1834" spans="1:17" x14ac:dyDescent="0.25">
      <c r="A1834" s="145">
        <v>40936</v>
      </c>
      <c r="B1834" s="144">
        <v>1.3145</v>
      </c>
      <c r="C1834" s="144">
        <v>39.74</v>
      </c>
      <c r="D1834" s="144">
        <v>7.6449999999999996</v>
      </c>
      <c r="E1834" s="144">
        <v>101.18</v>
      </c>
      <c r="F1834" s="144">
        <v>0.83684999999999998</v>
      </c>
      <c r="G1834" s="144">
        <v>1.2078</v>
      </c>
      <c r="I1834" s="144">
        <v>1</v>
      </c>
      <c r="J1834" s="145">
        <f t="shared" si="210"/>
        <v>40936</v>
      </c>
      <c r="K1834" s="144">
        <f t="shared" ca="1" si="213"/>
        <v>0.91882845188284512</v>
      </c>
      <c r="L1834" s="144">
        <f t="shared" ca="1" si="213"/>
        <v>0.63662989729935338</v>
      </c>
      <c r="M1834" s="144">
        <f t="shared" ca="1" si="213"/>
        <v>76.972232788132374</v>
      </c>
      <c r="N1834" s="144">
        <f t="shared" ca="1" si="213"/>
        <v>5.8158995815899575</v>
      </c>
      <c r="O1834" s="144">
        <f t="shared" ca="1" si="213"/>
        <v>30.232027386839103</v>
      </c>
      <c r="P1834" s="144">
        <f t="shared" ca="1" si="213"/>
        <v>1</v>
      </c>
      <c r="Q1834" s="144">
        <f t="shared" ca="1" si="213"/>
        <v>0.7607455306200076</v>
      </c>
    </row>
    <row r="1835" spans="1:17" x14ac:dyDescent="0.25">
      <c r="A1835" s="145">
        <v>40935</v>
      </c>
      <c r="B1835" s="144">
        <v>1.3145</v>
      </c>
      <c r="C1835" s="144">
        <v>39.74</v>
      </c>
      <c r="D1835" s="144">
        <v>7.6449999999999996</v>
      </c>
      <c r="E1835" s="144">
        <v>101.18</v>
      </c>
      <c r="F1835" s="144">
        <v>0.83684999999999998</v>
      </c>
      <c r="G1835" s="144">
        <v>1.2078</v>
      </c>
      <c r="I1835" s="144">
        <v>1</v>
      </c>
      <c r="J1835" s="145">
        <f t="shared" si="210"/>
        <v>40935</v>
      </c>
      <c r="K1835" s="144">
        <f t="shared" ref="K1835:Q1844" ca="1" si="214">OFFSET($A1835,0,K$3)/OFFSET($A1835,0,$P$3)</f>
        <v>0.91882845188284512</v>
      </c>
      <c r="L1835" s="144">
        <f t="shared" ca="1" si="214"/>
        <v>0.63662989729935338</v>
      </c>
      <c r="M1835" s="144">
        <f t="shared" ca="1" si="214"/>
        <v>76.972232788132374</v>
      </c>
      <c r="N1835" s="144">
        <f t="shared" ca="1" si="214"/>
        <v>5.8158995815899575</v>
      </c>
      <c r="O1835" s="144">
        <f t="shared" ca="1" si="214"/>
        <v>30.232027386839103</v>
      </c>
      <c r="P1835" s="144">
        <f t="shared" ca="1" si="214"/>
        <v>1</v>
      </c>
      <c r="Q1835" s="144">
        <f t="shared" ca="1" si="214"/>
        <v>0.7607455306200076</v>
      </c>
    </row>
    <row r="1836" spans="1:17" x14ac:dyDescent="0.25">
      <c r="A1836" s="145">
        <v>40934</v>
      </c>
      <c r="B1836" s="144">
        <v>1.3145</v>
      </c>
      <c r="C1836" s="144">
        <v>39.819000000000003</v>
      </c>
      <c r="D1836" s="144">
        <v>7.6464999999999996</v>
      </c>
      <c r="E1836" s="144">
        <v>101.98</v>
      </c>
      <c r="F1836" s="144">
        <v>0.83799999999999997</v>
      </c>
      <c r="G1836" s="144">
        <v>1.2071000000000001</v>
      </c>
      <c r="I1836" s="144">
        <v>1</v>
      </c>
      <c r="J1836" s="145">
        <f t="shared" si="210"/>
        <v>40934</v>
      </c>
      <c r="K1836" s="144">
        <f t="shared" ca="1" si="214"/>
        <v>0.91829593001141119</v>
      </c>
      <c r="L1836" s="144">
        <f t="shared" ca="1" si="214"/>
        <v>0.63750475465956635</v>
      </c>
      <c r="M1836" s="144">
        <f t="shared" ca="1" si="214"/>
        <v>77.580829212628373</v>
      </c>
      <c r="N1836" s="144">
        <f t="shared" ca="1" si="214"/>
        <v>5.8170406998858875</v>
      </c>
      <c r="O1836" s="144">
        <f t="shared" ca="1" si="214"/>
        <v>30.292126283758083</v>
      </c>
      <c r="P1836" s="144">
        <f t="shared" ca="1" si="214"/>
        <v>1</v>
      </c>
      <c r="Q1836" s="144">
        <f t="shared" ca="1" si="214"/>
        <v>0.7607455306200076</v>
      </c>
    </row>
    <row r="1837" spans="1:17" x14ac:dyDescent="0.25">
      <c r="A1837" s="145">
        <v>40933</v>
      </c>
      <c r="B1837" s="144">
        <v>1.2942</v>
      </c>
      <c r="C1837" s="144">
        <v>39.788600000000002</v>
      </c>
      <c r="D1837" s="144">
        <v>7.6825000000000001</v>
      </c>
      <c r="E1837" s="144">
        <v>101.02</v>
      </c>
      <c r="F1837" s="144">
        <v>0.83204999999999996</v>
      </c>
      <c r="G1837" s="144">
        <v>1.2075</v>
      </c>
      <c r="I1837" s="144">
        <v>1</v>
      </c>
      <c r="J1837" s="145">
        <f t="shared" si="210"/>
        <v>40933</v>
      </c>
      <c r="K1837" s="144">
        <f t="shared" ca="1" si="214"/>
        <v>0.93300880853036627</v>
      </c>
      <c r="L1837" s="144">
        <f t="shared" ca="1" si="214"/>
        <v>0.64290681502086222</v>
      </c>
      <c r="M1837" s="144">
        <f t="shared" ca="1" si="214"/>
        <v>78.055941894606704</v>
      </c>
      <c r="N1837" s="144">
        <f t="shared" ca="1" si="214"/>
        <v>5.9360995209395764</v>
      </c>
      <c r="O1837" s="144">
        <f t="shared" ca="1" si="214"/>
        <v>30.743779941276465</v>
      </c>
      <c r="P1837" s="144">
        <f t="shared" ca="1" si="214"/>
        <v>1</v>
      </c>
      <c r="Q1837" s="144">
        <f t="shared" ca="1" si="214"/>
        <v>0.77267810230258072</v>
      </c>
    </row>
    <row r="1838" spans="1:17" x14ac:dyDescent="0.25">
      <c r="A1838" s="145">
        <v>40932</v>
      </c>
      <c r="B1838" s="144">
        <v>1.3003</v>
      </c>
      <c r="C1838" s="144">
        <v>40.191099999999999</v>
      </c>
      <c r="D1838" s="144">
        <v>7.6390000000000002</v>
      </c>
      <c r="E1838" s="144">
        <v>100.89</v>
      </c>
      <c r="F1838" s="144">
        <v>0.83460000000000001</v>
      </c>
      <c r="G1838" s="144">
        <v>1.2064999999999999</v>
      </c>
      <c r="I1838" s="144">
        <v>1</v>
      </c>
      <c r="J1838" s="145">
        <f t="shared" si="210"/>
        <v>40932</v>
      </c>
      <c r="K1838" s="144">
        <f t="shared" ca="1" si="214"/>
        <v>0.92786280089210171</v>
      </c>
      <c r="L1838" s="144">
        <f t="shared" ca="1" si="214"/>
        <v>0.64185188033530727</v>
      </c>
      <c r="M1838" s="144">
        <f t="shared" ca="1" si="214"/>
        <v>77.589786972237178</v>
      </c>
      <c r="N1838" s="144">
        <f t="shared" ca="1" si="214"/>
        <v>5.8747981235099598</v>
      </c>
      <c r="O1838" s="144">
        <f t="shared" ca="1" si="214"/>
        <v>30.909097900484504</v>
      </c>
      <c r="P1838" s="144">
        <f t="shared" ca="1" si="214"/>
        <v>1</v>
      </c>
      <c r="Q1838" s="144">
        <f t="shared" ca="1" si="214"/>
        <v>0.76905329539337075</v>
      </c>
    </row>
    <row r="1839" spans="1:17" x14ac:dyDescent="0.25">
      <c r="A1839" s="145">
        <v>40931</v>
      </c>
      <c r="B1839" s="144">
        <v>1.3017000000000001</v>
      </c>
      <c r="C1839" s="144">
        <v>40.334000000000003</v>
      </c>
      <c r="D1839" s="144">
        <v>7.6645000000000003</v>
      </c>
      <c r="E1839" s="144">
        <v>100.1</v>
      </c>
      <c r="F1839" s="144">
        <v>0.83625000000000005</v>
      </c>
      <c r="G1839" s="144">
        <v>1.2060999999999999</v>
      </c>
      <c r="I1839" s="144">
        <v>1</v>
      </c>
      <c r="J1839" s="145">
        <f t="shared" si="210"/>
        <v>40931</v>
      </c>
      <c r="K1839" s="144">
        <f t="shared" ca="1" si="214"/>
        <v>0.9265575785511253</v>
      </c>
      <c r="L1839" s="144">
        <f t="shared" ca="1" si="214"/>
        <v>0.64242913113620648</v>
      </c>
      <c r="M1839" s="144">
        <f t="shared" ca="1" si="214"/>
        <v>76.899439194898974</v>
      </c>
      <c r="N1839" s="144">
        <f t="shared" ca="1" si="214"/>
        <v>5.8880694476453863</v>
      </c>
      <c r="O1839" s="144">
        <f t="shared" ca="1" si="214"/>
        <v>30.985634170699853</v>
      </c>
      <c r="P1839" s="144">
        <f t="shared" ca="1" si="214"/>
        <v>1</v>
      </c>
      <c r="Q1839" s="144">
        <f t="shared" ca="1" si="214"/>
        <v>0.76822616578320657</v>
      </c>
    </row>
    <row r="1840" spans="1:17" x14ac:dyDescent="0.25">
      <c r="A1840" s="145">
        <v>40930</v>
      </c>
      <c r="B1840" s="144">
        <v>1.2902</v>
      </c>
      <c r="C1840" s="144">
        <v>40.455199999999998</v>
      </c>
      <c r="D1840" s="144">
        <v>7.66</v>
      </c>
      <c r="E1840" s="144">
        <v>99.53</v>
      </c>
      <c r="F1840" s="144">
        <v>0.83389999999999997</v>
      </c>
      <c r="G1840" s="144">
        <v>1.2077</v>
      </c>
      <c r="I1840" s="144">
        <v>1</v>
      </c>
      <c r="J1840" s="145">
        <f t="shared" si="210"/>
        <v>40930</v>
      </c>
      <c r="K1840" s="144">
        <f t="shared" ca="1" si="214"/>
        <v>0.93605642536040923</v>
      </c>
      <c r="L1840" s="144">
        <f t="shared" ca="1" si="214"/>
        <v>0.64633390172066341</v>
      </c>
      <c r="M1840" s="144">
        <f t="shared" ca="1" si="214"/>
        <v>77.143078592466281</v>
      </c>
      <c r="N1840" s="144">
        <f t="shared" ca="1" si="214"/>
        <v>5.9370640210820032</v>
      </c>
      <c r="O1840" s="144">
        <f t="shared" ca="1" si="214"/>
        <v>31.35575879708572</v>
      </c>
      <c r="P1840" s="144">
        <f t="shared" ca="1" si="214"/>
        <v>1</v>
      </c>
      <c r="Q1840" s="144">
        <f t="shared" ca="1" si="214"/>
        <v>0.77507363199503954</v>
      </c>
    </row>
    <row r="1841" spans="1:17" x14ac:dyDescent="0.25">
      <c r="A1841" s="145">
        <v>40929</v>
      </c>
      <c r="B1841" s="144">
        <v>1.2902</v>
      </c>
      <c r="C1841" s="144">
        <v>40.455199999999998</v>
      </c>
      <c r="D1841" s="144">
        <v>7.66</v>
      </c>
      <c r="E1841" s="144">
        <v>99.53</v>
      </c>
      <c r="F1841" s="144">
        <v>0.83389999999999997</v>
      </c>
      <c r="G1841" s="144">
        <v>1.2077</v>
      </c>
      <c r="I1841" s="144">
        <v>1</v>
      </c>
      <c r="J1841" s="145">
        <f t="shared" si="210"/>
        <v>40929</v>
      </c>
      <c r="K1841" s="144">
        <f t="shared" ca="1" si="214"/>
        <v>0.93605642536040923</v>
      </c>
      <c r="L1841" s="144">
        <f t="shared" ca="1" si="214"/>
        <v>0.64633390172066341</v>
      </c>
      <c r="M1841" s="144">
        <f t="shared" ca="1" si="214"/>
        <v>77.143078592466281</v>
      </c>
      <c r="N1841" s="144">
        <f t="shared" ca="1" si="214"/>
        <v>5.9370640210820032</v>
      </c>
      <c r="O1841" s="144">
        <f t="shared" ca="1" si="214"/>
        <v>31.35575879708572</v>
      </c>
      <c r="P1841" s="144">
        <f t="shared" ca="1" si="214"/>
        <v>1</v>
      </c>
      <c r="Q1841" s="144">
        <f t="shared" ca="1" si="214"/>
        <v>0.77507363199503954</v>
      </c>
    </row>
    <row r="1842" spans="1:17" x14ac:dyDescent="0.25">
      <c r="A1842" s="145">
        <v>40928</v>
      </c>
      <c r="B1842" s="144">
        <v>1.2902</v>
      </c>
      <c r="C1842" s="144">
        <v>40.455199999999998</v>
      </c>
      <c r="D1842" s="144">
        <v>7.66</v>
      </c>
      <c r="E1842" s="144">
        <v>99.53</v>
      </c>
      <c r="F1842" s="144">
        <v>0.83389999999999997</v>
      </c>
      <c r="G1842" s="144">
        <v>1.2077</v>
      </c>
      <c r="I1842" s="144">
        <v>1</v>
      </c>
      <c r="J1842" s="145">
        <f t="shared" si="210"/>
        <v>40928</v>
      </c>
      <c r="K1842" s="144">
        <f t="shared" ca="1" si="214"/>
        <v>0.93605642536040923</v>
      </c>
      <c r="L1842" s="144">
        <f t="shared" ca="1" si="214"/>
        <v>0.64633390172066341</v>
      </c>
      <c r="M1842" s="144">
        <f t="shared" ca="1" si="214"/>
        <v>77.143078592466281</v>
      </c>
      <c r="N1842" s="144">
        <f t="shared" ca="1" si="214"/>
        <v>5.9370640210820032</v>
      </c>
      <c r="O1842" s="144">
        <f t="shared" ca="1" si="214"/>
        <v>31.35575879708572</v>
      </c>
      <c r="P1842" s="144">
        <f t="shared" ca="1" si="214"/>
        <v>1</v>
      </c>
      <c r="Q1842" s="144">
        <f t="shared" ca="1" si="214"/>
        <v>0.77507363199503954</v>
      </c>
    </row>
    <row r="1843" spans="1:17" x14ac:dyDescent="0.25">
      <c r="A1843" s="145">
        <v>40927</v>
      </c>
      <c r="B1843" s="144">
        <v>1.2910999999999999</v>
      </c>
      <c r="C1843" s="144">
        <v>40.559600000000003</v>
      </c>
      <c r="D1843" s="144">
        <v>7.6619999999999999</v>
      </c>
      <c r="E1843" s="144">
        <v>99.19</v>
      </c>
      <c r="F1843" s="144">
        <v>0.83560000000000001</v>
      </c>
      <c r="G1843" s="144">
        <v>1.2076</v>
      </c>
      <c r="I1843" s="144">
        <v>1</v>
      </c>
      <c r="J1843" s="145">
        <f t="shared" si="210"/>
        <v>40927</v>
      </c>
      <c r="K1843" s="144">
        <f t="shared" ca="1" si="214"/>
        <v>0.93532646580435297</v>
      </c>
      <c r="L1843" s="144">
        <f t="shared" ca="1" si="214"/>
        <v>0.64720006196266755</v>
      </c>
      <c r="M1843" s="144">
        <f t="shared" ca="1" si="214"/>
        <v>76.825962357679501</v>
      </c>
      <c r="N1843" s="144">
        <f t="shared" ca="1" si="214"/>
        <v>5.9344744791263269</v>
      </c>
      <c r="O1843" s="144">
        <f t="shared" ca="1" si="214"/>
        <v>31.414762605530171</v>
      </c>
      <c r="P1843" s="144">
        <f t="shared" ca="1" si="214"/>
        <v>1</v>
      </c>
      <c r="Q1843" s="144">
        <f t="shared" ca="1" si="214"/>
        <v>0.77453334366044468</v>
      </c>
    </row>
    <row r="1844" spans="1:17" x14ac:dyDescent="0.25">
      <c r="A1844" s="145">
        <v>40926</v>
      </c>
      <c r="B1844" s="144">
        <v>1.2830999999999999</v>
      </c>
      <c r="C1844" s="144">
        <v>40.408299999999997</v>
      </c>
      <c r="D1844" s="144">
        <v>7.7045000000000003</v>
      </c>
      <c r="E1844" s="144">
        <v>98.53</v>
      </c>
      <c r="F1844" s="144">
        <v>0.83384999999999998</v>
      </c>
      <c r="G1844" s="144">
        <v>1.2088000000000001</v>
      </c>
      <c r="I1844" s="144">
        <v>1</v>
      </c>
      <c r="J1844" s="145">
        <f t="shared" si="210"/>
        <v>40926</v>
      </c>
      <c r="K1844" s="144">
        <f t="shared" ca="1" si="214"/>
        <v>0.94209336762528262</v>
      </c>
      <c r="L1844" s="144">
        <f t="shared" ca="1" si="214"/>
        <v>0.6498714051905542</v>
      </c>
      <c r="M1844" s="144">
        <f t="shared" ca="1" si="214"/>
        <v>76.790585301223601</v>
      </c>
      <c r="N1844" s="144">
        <f t="shared" ca="1" si="214"/>
        <v>6.0045982386407921</v>
      </c>
      <c r="O1844" s="144">
        <f t="shared" ca="1" si="214"/>
        <v>31.492712960798066</v>
      </c>
      <c r="P1844" s="144">
        <f t="shared" ca="1" si="214"/>
        <v>1</v>
      </c>
      <c r="Q1844" s="144">
        <f t="shared" ca="1" si="214"/>
        <v>0.77936248149014109</v>
      </c>
    </row>
    <row r="1845" spans="1:17" x14ac:dyDescent="0.25">
      <c r="A1845" s="145">
        <v>40925</v>
      </c>
      <c r="B1845" s="144">
        <v>1.2789999999999999</v>
      </c>
      <c r="C1845" s="144">
        <v>40.297800000000002</v>
      </c>
      <c r="D1845" s="144">
        <v>7.6635</v>
      </c>
      <c r="E1845" s="144">
        <v>98.2</v>
      </c>
      <c r="F1845" s="144">
        <v>0.83045000000000002</v>
      </c>
      <c r="G1845" s="144">
        <v>1.2090000000000001</v>
      </c>
      <c r="I1845" s="144">
        <v>1</v>
      </c>
      <c r="J1845" s="145">
        <f t="shared" si="210"/>
        <v>40925</v>
      </c>
      <c r="K1845" s="144">
        <f t="shared" ref="K1845:Q1854" ca="1" si="215">OFFSET($A1845,0,K$3)/OFFSET($A1845,0,$P$3)</f>
        <v>0.94526974198592661</v>
      </c>
      <c r="L1845" s="144">
        <f t="shared" ca="1" si="215"/>
        <v>0.64929632525410486</v>
      </c>
      <c r="M1845" s="144">
        <f t="shared" ca="1" si="215"/>
        <v>76.7787333854574</v>
      </c>
      <c r="N1845" s="144">
        <f t="shared" ca="1" si="215"/>
        <v>5.9917904612978896</v>
      </c>
      <c r="O1845" s="144">
        <f t="shared" ca="1" si="215"/>
        <v>31.507271305707587</v>
      </c>
      <c r="P1845" s="144">
        <f t="shared" ca="1" si="215"/>
        <v>1</v>
      </c>
      <c r="Q1845" s="144">
        <f t="shared" ca="1" si="215"/>
        <v>0.78186082877247853</v>
      </c>
    </row>
    <row r="1846" spans="1:17" x14ac:dyDescent="0.25">
      <c r="A1846" s="145">
        <v>40924</v>
      </c>
      <c r="B1846" s="144">
        <v>1.2668999999999999</v>
      </c>
      <c r="C1846" s="144">
        <v>40.213999999999999</v>
      </c>
      <c r="D1846" s="144">
        <v>7.6704999999999997</v>
      </c>
      <c r="E1846" s="144">
        <v>97.25</v>
      </c>
      <c r="F1846" s="144">
        <v>0.82745000000000002</v>
      </c>
      <c r="G1846" s="144">
        <v>1.2093</v>
      </c>
      <c r="I1846" s="144">
        <v>1</v>
      </c>
      <c r="J1846" s="145">
        <f t="shared" si="210"/>
        <v>40924</v>
      </c>
      <c r="K1846" s="144">
        <f t="shared" ca="1" si="215"/>
        <v>0.95453469097797783</v>
      </c>
      <c r="L1846" s="144">
        <f t="shared" ca="1" si="215"/>
        <v>0.65312968663667226</v>
      </c>
      <c r="M1846" s="144">
        <f t="shared" ca="1" si="215"/>
        <v>76.762175388744183</v>
      </c>
      <c r="N1846" s="144">
        <f t="shared" ca="1" si="215"/>
        <v>6.0545425842607941</v>
      </c>
      <c r="O1846" s="144">
        <f t="shared" ca="1" si="215"/>
        <v>31.742047517562554</v>
      </c>
      <c r="P1846" s="144">
        <f t="shared" ca="1" si="215"/>
        <v>1</v>
      </c>
      <c r="Q1846" s="144">
        <f t="shared" ca="1" si="215"/>
        <v>0.78932828163233093</v>
      </c>
    </row>
    <row r="1847" spans="1:17" x14ac:dyDescent="0.25">
      <c r="A1847" s="145">
        <v>40923</v>
      </c>
      <c r="B1847" s="144">
        <v>1.2770999999999999</v>
      </c>
      <c r="C1847" s="144">
        <v>40.5047</v>
      </c>
      <c r="D1847" s="144">
        <v>7.6929999999999996</v>
      </c>
      <c r="E1847" s="144">
        <v>98.06</v>
      </c>
      <c r="F1847" s="144">
        <v>0.83320000000000005</v>
      </c>
      <c r="G1847" s="144">
        <v>1.21</v>
      </c>
      <c r="I1847" s="144">
        <v>1</v>
      </c>
      <c r="J1847" s="145">
        <f t="shared" si="210"/>
        <v>40923</v>
      </c>
      <c r="K1847" s="144">
        <f t="shared" ca="1" si="215"/>
        <v>0.94745908699397074</v>
      </c>
      <c r="L1847" s="144">
        <f t="shared" ca="1" si="215"/>
        <v>0.65241562915981532</v>
      </c>
      <c r="M1847" s="144">
        <f t="shared" ca="1" si="215"/>
        <v>76.783337248453535</v>
      </c>
      <c r="N1847" s="144">
        <f t="shared" ca="1" si="215"/>
        <v>6.0238039307806748</v>
      </c>
      <c r="O1847" s="144">
        <f t="shared" ca="1" si="215"/>
        <v>31.716153785921229</v>
      </c>
      <c r="P1847" s="144">
        <f t="shared" ca="1" si="215"/>
        <v>1</v>
      </c>
      <c r="Q1847" s="144">
        <f t="shared" ca="1" si="215"/>
        <v>0.78302403883799243</v>
      </c>
    </row>
    <row r="1848" spans="1:17" x14ac:dyDescent="0.25">
      <c r="A1848" s="145">
        <v>40922</v>
      </c>
      <c r="B1848" s="144">
        <v>1.2770999999999999</v>
      </c>
      <c r="C1848" s="144">
        <v>40.5047</v>
      </c>
      <c r="D1848" s="144">
        <v>7.6929999999999996</v>
      </c>
      <c r="E1848" s="144">
        <v>98.06</v>
      </c>
      <c r="F1848" s="144">
        <v>0.83320000000000005</v>
      </c>
      <c r="G1848" s="144">
        <v>1.21</v>
      </c>
      <c r="I1848" s="144">
        <v>1</v>
      </c>
      <c r="J1848" s="145">
        <f t="shared" si="210"/>
        <v>40922</v>
      </c>
      <c r="K1848" s="144">
        <f t="shared" ca="1" si="215"/>
        <v>0.94745908699397074</v>
      </c>
      <c r="L1848" s="144">
        <f t="shared" ca="1" si="215"/>
        <v>0.65241562915981532</v>
      </c>
      <c r="M1848" s="144">
        <f t="shared" ca="1" si="215"/>
        <v>76.783337248453535</v>
      </c>
      <c r="N1848" s="144">
        <f t="shared" ca="1" si="215"/>
        <v>6.0238039307806748</v>
      </c>
      <c r="O1848" s="144">
        <f t="shared" ca="1" si="215"/>
        <v>31.716153785921229</v>
      </c>
      <c r="P1848" s="144">
        <f t="shared" ca="1" si="215"/>
        <v>1</v>
      </c>
      <c r="Q1848" s="144">
        <f t="shared" ca="1" si="215"/>
        <v>0.78302403883799243</v>
      </c>
    </row>
    <row r="1849" spans="1:17" x14ac:dyDescent="0.25">
      <c r="A1849" s="145">
        <v>40921</v>
      </c>
      <c r="B1849" s="144">
        <v>1.2770999999999999</v>
      </c>
      <c r="C1849" s="144">
        <v>40.5047</v>
      </c>
      <c r="D1849" s="144">
        <v>7.6929999999999996</v>
      </c>
      <c r="E1849" s="144">
        <v>98.06</v>
      </c>
      <c r="F1849" s="144">
        <v>0.83320000000000005</v>
      </c>
      <c r="G1849" s="144">
        <v>1.21</v>
      </c>
      <c r="I1849" s="144">
        <v>1</v>
      </c>
      <c r="J1849" s="145">
        <f t="shared" si="210"/>
        <v>40921</v>
      </c>
      <c r="K1849" s="144">
        <f t="shared" ca="1" si="215"/>
        <v>0.94745908699397074</v>
      </c>
      <c r="L1849" s="144">
        <f t="shared" ca="1" si="215"/>
        <v>0.65241562915981532</v>
      </c>
      <c r="M1849" s="144">
        <f t="shared" ca="1" si="215"/>
        <v>76.783337248453535</v>
      </c>
      <c r="N1849" s="144">
        <f t="shared" ca="1" si="215"/>
        <v>6.0238039307806748</v>
      </c>
      <c r="O1849" s="144">
        <f t="shared" ca="1" si="215"/>
        <v>31.716153785921229</v>
      </c>
      <c r="P1849" s="144">
        <f t="shared" ca="1" si="215"/>
        <v>1</v>
      </c>
      <c r="Q1849" s="144">
        <f t="shared" ca="1" si="215"/>
        <v>0.78302403883799243</v>
      </c>
    </row>
    <row r="1850" spans="1:17" x14ac:dyDescent="0.25">
      <c r="A1850" s="145">
        <v>40920</v>
      </c>
      <c r="B1850" s="144">
        <v>1.2736000000000001</v>
      </c>
      <c r="C1850" s="144">
        <v>40.292999999999999</v>
      </c>
      <c r="D1850" s="144">
        <v>7.6769999999999996</v>
      </c>
      <c r="E1850" s="144">
        <v>97.92</v>
      </c>
      <c r="F1850" s="144">
        <v>0.83055000000000001</v>
      </c>
      <c r="G1850" s="144">
        <v>1.2112000000000001</v>
      </c>
      <c r="I1850" s="144">
        <v>1</v>
      </c>
      <c r="J1850" s="145">
        <f t="shared" si="210"/>
        <v>40920</v>
      </c>
      <c r="K1850" s="144">
        <f t="shared" ca="1" si="215"/>
        <v>0.95100502512562812</v>
      </c>
      <c r="L1850" s="144">
        <f t="shared" ca="1" si="215"/>
        <v>0.65212782663316582</v>
      </c>
      <c r="M1850" s="144">
        <f t="shared" ca="1" si="215"/>
        <v>76.884422110552762</v>
      </c>
      <c r="N1850" s="144">
        <f t="shared" ca="1" si="215"/>
        <v>6.0277952261306522</v>
      </c>
      <c r="O1850" s="144">
        <f t="shared" ca="1" si="215"/>
        <v>31.637091708542712</v>
      </c>
      <c r="P1850" s="144">
        <f t="shared" ca="1" si="215"/>
        <v>1</v>
      </c>
      <c r="Q1850" s="144">
        <f t="shared" ca="1" si="215"/>
        <v>0.78517587939698485</v>
      </c>
    </row>
    <row r="1851" spans="1:17" x14ac:dyDescent="0.25">
      <c r="A1851" s="145">
        <v>40919</v>
      </c>
      <c r="B1851" s="144">
        <v>1.2718</v>
      </c>
      <c r="C1851" s="144">
        <v>40.337499999999999</v>
      </c>
      <c r="D1851" s="144">
        <v>7.6505000000000001</v>
      </c>
      <c r="E1851" s="144">
        <v>97.87</v>
      </c>
      <c r="F1851" s="144">
        <v>0.82589999999999997</v>
      </c>
      <c r="G1851" s="144">
        <v>1.212</v>
      </c>
      <c r="I1851" s="144">
        <v>1</v>
      </c>
      <c r="J1851" s="145">
        <f t="shared" si="210"/>
        <v>40919</v>
      </c>
      <c r="K1851" s="144">
        <f t="shared" ca="1" si="215"/>
        <v>0.95298002830633743</v>
      </c>
      <c r="L1851" s="144">
        <f t="shared" ca="1" si="215"/>
        <v>0.64939455889290765</v>
      </c>
      <c r="M1851" s="144">
        <f t="shared" ca="1" si="215"/>
        <v>76.953923572888826</v>
      </c>
      <c r="N1851" s="144">
        <f t="shared" ca="1" si="215"/>
        <v>6.015489856895738</v>
      </c>
      <c r="O1851" s="144">
        <f t="shared" ca="1" si="215"/>
        <v>31.716857996540334</v>
      </c>
      <c r="P1851" s="144">
        <f t="shared" ca="1" si="215"/>
        <v>1</v>
      </c>
      <c r="Q1851" s="144">
        <f t="shared" ca="1" si="215"/>
        <v>0.7862871520679352</v>
      </c>
    </row>
    <row r="1852" spans="1:17" x14ac:dyDescent="0.25">
      <c r="A1852" s="145">
        <v>40918</v>
      </c>
      <c r="B1852" s="144">
        <v>1.2807999999999999</v>
      </c>
      <c r="C1852" s="144">
        <v>40.39</v>
      </c>
      <c r="D1852" s="144">
        <v>7.6555</v>
      </c>
      <c r="E1852" s="144">
        <v>98.39</v>
      </c>
      <c r="F1852" s="144">
        <v>0.82820000000000005</v>
      </c>
      <c r="G1852" s="144">
        <v>1.2136</v>
      </c>
      <c r="I1852" s="144">
        <v>1</v>
      </c>
      <c r="J1852" s="145">
        <f t="shared" si="210"/>
        <v>40918</v>
      </c>
      <c r="K1852" s="144">
        <f t="shared" ca="1" si="215"/>
        <v>0.94753279200499696</v>
      </c>
      <c r="L1852" s="144">
        <f t="shared" ca="1" si="215"/>
        <v>0.64662710805746415</v>
      </c>
      <c r="M1852" s="144">
        <f t="shared" ca="1" si="215"/>
        <v>76.819175515302945</v>
      </c>
      <c r="N1852" s="144">
        <f t="shared" ca="1" si="215"/>
        <v>5.9771236727045602</v>
      </c>
      <c r="O1852" s="144">
        <f t="shared" ca="1" si="215"/>
        <v>31.534978138663337</v>
      </c>
      <c r="P1852" s="144">
        <f t="shared" ca="1" si="215"/>
        <v>1</v>
      </c>
      <c r="Q1852" s="144">
        <f t="shared" ca="1" si="215"/>
        <v>0.78076202373516557</v>
      </c>
    </row>
    <row r="1853" spans="1:17" x14ac:dyDescent="0.25">
      <c r="A1853" s="145">
        <v>40917</v>
      </c>
      <c r="B1853" s="144">
        <v>1.2727999999999999</v>
      </c>
      <c r="C1853" s="144">
        <v>40.634999999999998</v>
      </c>
      <c r="D1853" s="144">
        <v>7.657</v>
      </c>
      <c r="E1853" s="144">
        <v>97.87</v>
      </c>
      <c r="F1853" s="144">
        <v>0.82399999999999995</v>
      </c>
      <c r="G1853" s="144">
        <v>1.2139</v>
      </c>
      <c r="I1853" s="144">
        <v>1</v>
      </c>
      <c r="J1853" s="145">
        <f t="shared" si="210"/>
        <v>40917</v>
      </c>
      <c r="K1853" s="144">
        <f t="shared" ca="1" si="215"/>
        <v>0.9537240729101194</v>
      </c>
      <c r="L1853" s="144">
        <f t="shared" ca="1" si="215"/>
        <v>0.64739157762413579</v>
      </c>
      <c r="M1853" s="144">
        <f t="shared" ca="1" si="215"/>
        <v>76.893463230672538</v>
      </c>
      <c r="N1853" s="144">
        <f t="shared" ca="1" si="215"/>
        <v>6.0158705216844757</v>
      </c>
      <c r="O1853" s="144">
        <f t="shared" ca="1" si="215"/>
        <v>31.925675675675677</v>
      </c>
      <c r="P1853" s="144">
        <f t="shared" ca="1" si="215"/>
        <v>1</v>
      </c>
      <c r="Q1853" s="144">
        <f t="shared" ca="1" si="215"/>
        <v>0.78566939032055316</v>
      </c>
    </row>
    <row r="1854" spans="1:17" x14ac:dyDescent="0.25">
      <c r="A1854" s="145">
        <v>40916</v>
      </c>
      <c r="B1854" s="144">
        <v>1.2776000000000001</v>
      </c>
      <c r="C1854" s="144">
        <v>40.85</v>
      </c>
      <c r="D1854" s="144">
        <v>7.6745000000000001</v>
      </c>
      <c r="E1854" s="144">
        <v>98.56</v>
      </c>
      <c r="F1854" s="144">
        <v>0.82640000000000002</v>
      </c>
      <c r="G1854" s="144">
        <v>1.2177</v>
      </c>
      <c r="I1854" s="144">
        <v>1</v>
      </c>
      <c r="J1854" s="145">
        <f t="shared" si="210"/>
        <v>40916</v>
      </c>
      <c r="K1854" s="144">
        <f t="shared" ca="1" si="215"/>
        <v>0.95311521603005633</v>
      </c>
      <c r="L1854" s="144">
        <f t="shared" ca="1" si="215"/>
        <v>0.64683782091421416</v>
      </c>
      <c r="M1854" s="144">
        <f t="shared" ca="1" si="215"/>
        <v>77.14464621164683</v>
      </c>
      <c r="N1854" s="144">
        <f t="shared" ca="1" si="215"/>
        <v>6.0069661865998745</v>
      </c>
      <c r="O1854" s="144">
        <f t="shared" ca="1" si="215"/>
        <v>31.974013775829679</v>
      </c>
      <c r="P1854" s="144">
        <f t="shared" ca="1" si="215"/>
        <v>1</v>
      </c>
      <c r="Q1854" s="144">
        <f t="shared" ca="1" si="215"/>
        <v>0.78271759549154662</v>
      </c>
    </row>
    <row r="1855" spans="1:17" x14ac:dyDescent="0.25">
      <c r="A1855" s="145">
        <v>40915</v>
      </c>
      <c r="B1855" s="144">
        <v>1.2776000000000001</v>
      </c>
      <c r="C1855" s="144">
        <v>40.85</v>
      </c>
      <c r="D1855" s="144">
        <v>7.6745000000000001</v>
      </c>
      <c r="E1855" s="144">
        <v>98.56</v>
      </c>
      <c r="F1855" s="144">
        <v>0.82640000000000002</v>
      </c>
      <c r="G1855" s="144">
        <v>1.2177</v>
      </c>
      <c r="I1855" s="144">
        <v>1</v>
      </c>
      <c r="J1855" s="145">
        <f t="shared" si="210"/>
        <v>40915</v>
      </c>
      <c r="K1855" s="144">
        <f t="shared" ref="K1855:Q1864" ca="1" si="216">OFFSET($A1855,0,K$3)/OFFSET($A1855,0,$P$3)</f>
        <v>0.95311521603005633</v>
      </c>
      <c r="L1855" s="144">
        <f t="shared" ca="1" si="216"/>
        <v>0.64683782091421416</v>
      </c>
      <c r="M1855" s="144">
        <f t="shared" ca="1" si="216"/>
        <v>77.14464621164683</v>
      </c>
      <c r="N1855" s="144">
        <f t="shared" ca="1" si="216"/>
        <v>6.0069661865998745</v>
      </c>
      <c r="O1855" s="144">
        <f t="shared" ca="1" si="216"/>
        <v>31.974013775829679</v>
      </c>
      <c r="P1855" s="144">
        <f t="shared" ca="1" si="216"/>
        <v>1</v>
      </c>
      <c r="Q1855" s="144">
        <f t="shared" ca="1" si="216"/>
        <v>0.78271759549154662</v>
      </c>
    </row>
    <row r="1856" spans="1:17" x14ac:dyDescent="0.25">
      <c r="A1856" s="145">
        <v>40914</v>
      </c>
      <c r="B1856" s="144">
        <v>1.2776000000000001</v>
      </c>
      <c r="C1856" s="144">
        <v>40.85</v>
      </c>
      <c r="D1856" s="144">
        <v>7.6745000000000001</v>
      </c>
      <c r="E1856" s="144">
        <v>98.56</v>
      </c>
      <c r="F1856" s="144">
        <v>0.82640000000000002</v>
      </c>
      <c r="G1856" s="144">
        <v>1.2177</v>
      </c>
      <c r="I1856" s="144">
        <v>1</v>
      </c>
      <c r="J1856" s="145">
        <f t="shared" si="210"/>
        <v>40914</v>
      </c>
      <c r="K1856" s="144">
        <f t="shared" ca="1" si="216"/>
        <v>0.95311521603005633</v>
      </c>
      <c r="L1856" s="144">
        <f t="shared" ca="1" si="216"/>
        <v>0.64683782091421416</v>
      </c>
      <c r="M1856" s="144">
        <f t="shared" ca="1" si="216"/>
        <v>77.14464621164683</v>
      </c>
      <c r="N1856" s="144">
        <f t="shared" ca="1" si="216"/>
        <v>6.0069661865998745</v>
      </c>
      <c r="O1856" s="144">
        <f t="shared" ca="1" si="216"/>
        <v>31.974013775829679</v>
      </c>
      <c r="P1856" s="144">
        <f t="shared" ca="1" si="216"/>
        <v>1</v>
      </c>
      <c r="Q1856" s="144">
        <f t="shared" ca="1" si="216"/>
        <v>0.78271759549154662</v>
      </c>
    </row>
    <row r="1857" spans="1:17" x14ac:dyDescent="0.25">
      <c r="A1857" s="145">
        <v>40913</v>
      </c>
      <c r="B1857" s="144">
        <v>1.2831999999999999</v>
      </c>
      <c r="C1857" s="144">
        <v>41.082999999999998</v>
      </c>
      <c r="D1857" s="144">
        <v>7.6825000000000001</v>
      </c>
      <c r="E1857" s="144">
        <v>98.67</v>
      </c>
      <c r="F1857" s="144">
        <v>0.82674999999999998</v>
      </c>
      <c r="G1857" s="144">
        <v>1.2186999999999999</v>
      </c>
      <c r="I1857" s="144">
        <v>1</v>
      </c>
      <c r="J1857" s="145">
        <f t="shared" si="210"/>
        <v>40913</v>
      </c>
      <c r="K1857" s="144">
        <f t="shared" ca="1" si="216"/>
        <v>0.9497350374064838</v>
      </c>
      <c r="L1857" s="144">
        <f t="shared" ca="1" si="216"/>
        <v>0.64428771820448882</v>
      </c>
      <c r="M1857" s="144">
        <f t="shared" ca="1" si="216"/>
        <v>76.893703241895267</v>
      </c>
      <c r="N1857" s="144">
        <f t="shared" ca="1" si="216"/>
        <v>5.9869856608478811</v>
      </c>
      <c r="O1857" s="144">
        <f t="shared" ca="1" si="216"/>
        <v>32.016053615960104</v>
      </c>
      <c r="P1857" s="144">
        <f t="shared" ca="1" si="216"/>
        <v>1</v>
      </c>
      <c r="Q1857" s="144">
        <f t="shared" ca="1" si="216"/>
        <v>0.77930174563591026</v>
      </c>
    </row>
    <row r="1858" spans="1:17" x14ac:dyDescent="0.25">
      <c r="A1858" s="145">
        <v>40912</v>
      </c>
      <c r="B1858" s="144">
        <v>1.2948</v>
      </c>
      <c r="C1858" s="144">
        <v>41.216000000000001</v>
      </c>
      <c r="D1858" s="144">
        <v>7.7004999999999999</v>
      </c>
      <c r="E1858" s="144">
        <v>99.43</v>
      </c>
      <c r="F1858" s="144">
        <v>0.83109999999999995</v>
      </c>
      <c r="G1858" s="144">
        <v>1.2196</v>
      </c>
      <c r="I1858" s="144">
        <v>1</v>
      </c>
      <c r="J1858" s="145">
        <f t="shared" si="210"/>
        <v>40912</v>
      </c>
      <c r="K1858" s="144">
        <f t="shared" ca="1" si="216"/>
        <v>0.94192153228297815</v>
      </c>
      <c r="L1858" s="144">
        <f t="shared" ca="1" si="216"/>
        <v>0.6418751930800124</v>
      </c>
      <c r="M1858" s="144">
        <f t="shared" ca="1" si="216"/>
        <v>76.791782514674082</v>
      </c>
      <c r="N1858" s="144">
        <f t="shared" ca="1" si="216"/>
        <v>5.9472505406240348</v>
      </c>
      <c r="O1858" s="144">
        <f t="shared" ca="1" si="216"/>
        <v>31.831943157244364</v>
      </c>
      <c r="P1858" s="144">
        <f t="shared" ca="1" si="216"/>
        <v>1</v>
      </c>
      <c r="Q1858" s="144">
        <f t="shared" ca="1" si="216"/>
        <v>0.7723200494284832</v>
      </c>
    </row>
    <row r="1859" spans="1:17" x14ac:dyDescent="0.25">
      <c r="A1859" s="145">
        <v>40911</v>
      </c>
      <c r="B1859" s="144">
        <v>1.3013999999999999</v>
      </c>
      <c r="C1859" s="144">
        <v>41.319899999999997</v>
      </c>
      <c r="D1859" s="144">
        <v>7.7350000000000003</v>
      </c>
      <c r="E1859" s="144">
        <v>99.86</v>
      </c>
      <c r="F1859" s="144">
        <v>0.83509999999999995</v>
      </c>
      <c r="G1859" s="144">
        <v>1.2182999999999999</v>
      </c>
      <c r="I1859" s="144">
        <v>1</v>
      </c>
      <c r="J1859" s="145">
        <f t="shared" si="210"/>
        <v>40911</v>
      </c>
      <c r="K1859" s="144">
        <f t="shared" ca="1" si="216"/>
        <v>0.93614568925772246</v>
      </c>
      <c r="L1859" s="144">
        <f t="shared" ca="1" si="216"/>
        <v>0.64169356078069772</v>
      </c>
      <c r="M1859" s="144">
        <f t="shared" ca="1" si="216"/>
        <v>76.732749346857233</v>
      </c>
      <c r="N1859" s="144">
        <f t="shared" ca="1" si="216"/>
        <v>5.9435992008606124</v>
      </c>
      <c r="O1859" s="144">
        <f t="shared" ca="1" si="216"/>
        <v>31.750345781466113</v>
      </c>
      <c r="P1859" s="144">
        <f t="shared" ca="1" si="216"/>
        <v>1</v>
      </c>
      <c r="Q1859" s="144">
        <f t="shared" ca="1" si="216"/>
        <v>0.76840325802981413</v>
      </c>
    </row>
    <row r="1860" spans="1:17" x14ac:dyDescent="0.25">
      <c r="A1860" s="145">
        <v>40910</v>
      </c>
      <c r="B1860" s="144">
        <v>1.2935000000000001</v>
      </c>
      <c r="C1860" s="144">
        <v>41.644799999999996</v>
      </c>
      <c r="D1860" s="144">
        <v>7.7539999999999996</v>
      </c>
      <c r="E1860" s="144">
        <v>99.52</v>
      </c>
      <c r="F1860" s="144">
        <v>0.83513999999999999</v>
      </c>
      <c r="G1860" s="144">
        <v>1.2155</v>
      </c>
      <c r="I1860" s="144">
        <v>1</v>
      </c>
      <c r="J1860" s="145">
        <f t="shared" si="210"/>
        <v>40910</v>
      </c>
      <c r="K1860" s="144">
        <f t="shared" ca="1" si="216"/>
        <v>0.93969849246231152</v>
      </c>
      <c r="L1860" s="144">
        <f t="shared" ca="1" si="216"/>
        <v>0.64564360262852716</v>
      </c>
      <c r="M1860" s="144">
        <f t="shared" ca="1" si="216"/>
        <v>76.93853884808658</v>
      </c>
      <c r="N1860" s="144">
        <f t="shared" ca="1" si="216"/>
        <v>5.9945883262466166</v>
      </c>
      <c r="O1860" s="144">
        <f t="shared" ca="1" si="216"/>
        <v>32.195438732122142</v>
      </c>
      <c r="P1860" s="144">
        <f t="shared" ca="1" si="216"/>
        <v>1</v>
      </c>
      <c r="Q1860" s="144">
        <f t="shared" ca="1" si="216"/>
        <v>0.77309625048318509</v>
      </c>
    </row>
    <row r="1861" spans="1:17" x14ac:dyDescent="0.25">
      <c r="A1861" s="145">
        <v>40909</v>
      </c>
      <c r="B1861" s="144">
        <v>1.2939000000000001</v>
      </c>
      <c r="C1861" s="144">
        <v>41.765000000000001</v>
      </c>
      <c r="D1861" s="144">
        <v>7.7539999999999996</v>
      </c>
      <c r="E1861" s="144">
        <v>100.2</v>
      </c>
      <c r="F1861" s="144">
        <v>0.83530000000000004</v>
      </c>
      <c r="G1861" s="144">
        <v>1.2156</v>
      </c>
      <c r="I1861" s="144">
        <v>1</v>
      </c>
      <c r="J1861" s="145">
        <f t="shared" ref="J1861:J1924" si="217">A1861</f>
        <v>40909</v>
      </c>
      <c r="K1861" s="144">
        <f t="shared" ca="1" si="216"/>
        <v>0.93948527706932528</v>
      </c>
      <c r="L1861" s="144">
        <f t="shared" ca="1" si="216"/>
        <v>0.64556766365252338</v>
      </c>
      <c r="M1861" s="144">
        <f t="shared" ca="1" si="216"/>
        <v>77.440296777185253</v>
      </c>
      <c r="N1861" s="144">
        <f t="shared" ca="1" si="216"/>
        <v>5.9927351418193053</v>
      </c>
      <c r="O1861" s="144">
        <f t="shared" ca="1" si="216"/>
        <v>32.278383182626165</v>
      </c>
      <c r="P1861" s="144">
        <f t="shared" ca="1" si="216"/>
        <v>1</v>
      </c>
      <c r="Q1861" s="144">
        <f t="shared" ca="1" si="216"/>
        <v>0.77285725326532184</v>
      </c>
    </row>
    <row r="1862" spans="1:17" x14ac:dyDescent="0.25">
      <c r="A1862" s="145">
        <v>40908</v>
      </c>
      <c r="B1862" s="144">
        <v>1.2939000000000001</v>
      </c>
      <c r="C1862" s="144">
        <v>41.765000000000001</v>
      </c>
      <c r="D1862" s="144">
        <v>7.7539999999999996</v>
      </c>
      <c r="E1862" s="144">
        <v>100.2</v>
      </c>
      <c r="F1862" s="144">
        <v>0.83530000000000004</v>
      </c>
      <c r="G1862" s="144">
        <v>1.2156</v>
      </c>
      <c r="I1862" s="144">
        <v>1</v>
      </c>
      <c r="J1862" s="145">
        <f t="shared" si="217"/>
        <v>40908</v>
      </c>
      <c r="K1862" s="144">
        <f t="shared" ca="1" si="216"/>
        <v>0.93948527706932528</v>
      </c>
      <c r="L1862" s="144">
        <f t="shared" ca="1" si="216"/>
        <v>0.64556766365252338</v>
      </c>
      <c r="M1862" s="144">
        <f t="shared" ca="1" si="216"/>
        <v>77.440296777185253</v>
      </c>
      <c r="N1862" s="144">
        <f t="shared" ca="1" si="216"/>
        <v>5.9927351418193053</v>
      </c>
      <c r="O1862" s="144">
        <f t="shared" ca="1" si="216"/>
        <v>32.278383182626165</v>
      </c>
      <c r="P1862" s="144">
        <f t="shared" ca="1" si="216"/>
        <v>1</v>
      </c>
      <c r="Q1862" s="144">
        <f t="shared" ca="1" si="216"/>
        <v>0.77285725326532184</v>
      </c>
    </row>
    <row r="1863" spans="1:17" x14ac:dyDescent="0.25">
      <c r="A1863" s="145">
        <v>40907</v>
      </c>
      <c r="B1863" s="144">
        <v>1.2939000000000001</v>
      </c>
      <c r="C1863" s="144">
        <v>41.765000000000001</v>
      </c>
      <c r="D1863" s="144">
        <v>7.7539999999999996</v>
      </c>
      <c r="E1863" s="144">
        <v>100.2</v>
      </c>
      <c r="F1863" s="144">
        <v>0.83530000000000004</v>
      </c>
      <c r="G1863" s="144">
        <v>1.2156</v>
      </c>
      <c r="I1863" s="144">
        <v>1</v>
      </c>
      <c r="J1863" s="145">
        <f t="shared" si="217"/>
        <v>40907</v>
      </c>
      <c r="K1863" s="144">
        <f t="shared" ca="1" si="216"/>
        <v>0.93948527706932528</v>
      </c>
      <c r="L1863" s="144">
        <f t="shared" ca="1" si="216"/>
        <v>0.64556766365252338</v>
      </c>
      <c r="M1863" s="144">
        <f t="shared" ca="1" si="216"/>
        <v>77.440296777185253</v>
      </c>
      <c r="N1863" s="144">
        <f t="shared" ca="1" si="216"/>
        <v>5.9927351418193053</v>
      </c>
      <c r="O1863" s="144">
        <f t="shared" ca="1" si="216"/>
        <v>32.278383182626165</v>
      </c>
      <c r="P1863" s="144">
        <f t="shared" ca="1" si="216"/>
        <v>1</v>
      </c>
      <c r="Q1863" s="144">
        <f t="shared" ca="1" si="216"/>
        <v>0.77285725326532184</v>
      </c>
    </row>
    <row r="1864" spans="1:17" x14ac:dyDescent="0.25">
      <c r="A1864" s="145">
        <v>40906</v>
      </c>
      <c r="B1864" s="144">
        <v>1.2888999999999999</v>
      </c>
      <c r="C1864" s="144">
        <v>41.536000000000001</v>
      </c>
      <c r="D1864" s="144">
        <v>7.774</v>
      </c>
      <c r="E1864" s="144">
        <v>100.24</v>
      </c>
      <c r="F1864" s="144">
        <v>0.83599999999999997</v>
      </c>
      <c r="G1864" s="144">
        <v>1.2185999999999999</v>
      </c>
      <c r="I1864" s="144">
        <v>1</v>
      </c>
      <c r="J1864" s="145">
        <f t="shared" si="217"/>
        <v>40906</v>
      </c>
      <c r="K1864" s="144">
        <f t="shared" ca="1" si="216"/>
        <v>0.94545736674683833</v>
      </c>
      <c r="L1864" s="144">
        <f t="shared" ca="1" si="216"/>
        <v>0.64861509814570562</v>
      </c>
      <c r="M1864" s="144">
        <f t="shared" ca="1" si="216"/>
        <v>77.771743347040115</v>
      </c>
      <c r="N1864" s="144">
        <f t="shared" ca="1" si="216"/>
        <v>6.0314997284506173</v>
      </c>
      <c r="O1864" s="144">
        <f t="shared" ca="1" si="216"/>
        <v>32.225929086818219</v>
      </c>
      <c r="P1864" s="144">
        <f t="shared" ca="1" si="216"/>
        <v>1</v>
      </c>
      <c r="Q1864" s="144">
        <f t="shared" ca="1" si="216"/>
        <v>0.77585538055706416</v>
      </c>
    </row>
    <row r="1865" spans="1:17" x14ac:dyDescent="0.25">
      <c r="A1865" s="145">
        <v>40905</v>
      </c>
      <c r="B1865" s="144">
        <v>1.3073999999999999</v>
      </c>
      <c r="C1865" s="144">
        <v>41.3855</v>
      </c>
      <c r="D1865" s="144">
        <v>7.7990000000000004</v>
      </c>
      <c r="E1865" s="144">
        <v>101.51</v>
      </c>
      <c r="F1865" s="144">
        <v>0.83420000000000005</v>
      </c>
      <c r="G1865" s="144">
        <v>1.2196</v>
      </c>
      <c r="I1865" s="144">
        <v>1</v>
      </c>
      <c r="J1865" s="145">
        <f t="shared" si="217"/>
        <v>40905</v>
      </c>
      <c r="K1865" s="144">
        <f t="shared" ref="K1865:Q1874" ca="1" si="218">OFFSET($A1865,0,K$3)/OFFSET($A1865,0,$P$3)</f>
        <v>0.93284381214624457</v>
      </c>
      <c r="L1865" s="144">
        <f t="shared" ca="1" si="218"/>
        <v>0.63806027229616036</v>
      </c>
      <c r="M1865" s="144">
        <f t="shared" ca="1" si="218"/>
        <v>77.642649533425129</v>
      </c>
      <c r="N1865" s="144">
        <f t="shared" ca="1" si="218"/>
        <v>5.9652745907908837</v>
      </c>
      <c r="O1865" s="144">
        <f t="shared" ca="1" si="218"/>
        <v>31.654811075416859</v>
      </c>
      <c r="P1865" s="144">
        <f t="shared" ca="1" si="218"/>
        <v>1</v>
      </c>
      <c r="Q1865" s="144">
        <f t="shared" ca="1" si="218"/>
        <v>0.76487685482637302</v>
      </c>
    </row>
    <row r="1866" spans="1:17" x14ac:dyDescent="0.25">
      <c r="A1866" s="145">
        <v>40904</v>
      </c>
      <c r="B1866" s="144">
        <v>1.3069</v>
      </c>
      <c r="C1866" s="144">
        <v>40.877000000000002</v>
      </c>
      <c r="D1866" s="144">
        <v>7.7945000000000002</v>
      </c>
      <c r="E1866" s="144">
        <v>101.75</v>
      </c>
      <c r="F1866" s="144">
        <v>0.83350000000000002</v>
      </c>
      <c r="G1866" s="144">
        <v>1.2210000000000001</v>
      </c>
      <c r="I1866" s="144">
        <v>1</v>
      </c>
      <c r="J1866" s="145">
        <f t="shared" si="217"/>
        <v>40904</v>
      </c>
      <c r="K1866" s="144">
        <f t="shared" ca="1" si="218"/>
        <v>0.93427194123498369</v>
      </c>
      <c r="L1866" s="144">
        <f t="shared" ca="1" si="218"/>
        <v>0.63776876578162067</v>
      </c>
      <c r="M1866" s="144">
        <f t="shared" ca="1" si="218"/>
        <v>77.855995102915301</v>
      </c>
      <c r="N1866" s="144">
        <f t="shared" ca="1" si="218"/>
        <v>5.9641135511515806</v>
      </c>
      <c r="O1866" s="144">
        <f t="shared" ca="1" si="218"/>
        <v>31.277833040018368</v>
      </c>
      <c r="P1866" s="144">
        <f t="shared" ca="1" si="218"/>
        <v>1</v>
      </c>
      <c r="Q1866" s="144">
        <f t="shared" ca="1" si="218"/>
        <v>0.76516948504093663</v>
      </c>
    </row>
    <row r="1867" spans="1:17" x14ac:dyDescent="0.25">
      <c r="A1867" s="145">
        <v>40903</v>
      </c>
      <c r="B1867" s="144">
        <v>1.3057000000000001</v>
      </c>
      <c r="C1867" s="144">
        <v>40.770000000000003</v>
      </c>
      <c r="D1867" s="144">
        <v>7.782</v>
      </c>
      <c r="E1867" s="144">
        <v>101.93</v>
      </c>
      <c r="F1867" s="144">
        <v>0.83309999999999995</v>
      </c>
      <c r="G1867" s="144">
        <v>1.2221</v>
      </c>
      <c r="I1867" s="144">
        <v>1</v>
      </c>
      <c r="J1867" s="145">
        <f t="shared" si="217"/>
        <v>40903</v>
      </c>
      <c r="K1867" s="144">
        <f t="shared" ca="1" si="218"/>
        <v>0.93597304128053904</v>
      </c>
      <c r="L1867" s="144">
        <f t="shared" ca="1" si="218"/>
        <v>0.63804855632993784</v>
      </c>
      <c r="M1867" s="144">
        <f t="shared" ca="1" si="218"/>
        <v>78.06540552960098</v>
      </c>
      <c r="N1867" s="144">
        <f t="shared" ca="1" si="218"/>
        <v>5.9600214444359345</v>
      </c>
      <c r="O1867" s="144">
        <f t="shared" ca="1" si="218"/>
        <v>31.224630466416482</v>
      </c>
      <c r="P1867" s="144">
        <f t="shared" ca="1" si="218"/>
        <v>1</v>
      </c>
      <c r="Q1867" s="144">
        <f t="shared" ca="1" si="218"/>
        <v>0.76587271195527296</v>
      </c>
    </row>
    <row r="1868" spans="1:17" x14ac:dyDescent="0.25">
      <c r="A1868" s="145">
        <v>40902</v>
      </c>
      <c r="B1868" s="144">
        <v>1.3057000000000001</v>
      </c>
      <c r="C1868" s="144">
        <v>40.770000000000003</v>
      </c>
      <c r="D1868" s="144">
        <v>7.782</v>
      </c>
      <c r="E1868" s="144">
        <v>101.93</v>
      </c>
      <c r="F1868" s="144">
        <v>0.83309999999999995</v>
      </c>
      <c r="G1868" s="144">
        <v>1.2221</v>
      </c>
      <c r="I1868" s="144">
        <v>1</v>
      </c>
      <c r="J1868" s="145">
        <f t="shared" si="217"/>
        <v>40902</v>
      </c>
      <c r="K1868" s="144">
        <f t="shared" ca="1" si="218"/>
        <v>0.93597304128053904</v>
      </c>
      <c r="L1868" s="144">
        <f t="shared" ca="1" si="218"/>
        <v>0.63804855632993784</v>
      </c>
      <c r="M1868" s="144">
        <f t="shared" ca="1" si="218"/>
        <v>78.06540552960098</v>
      </c>
      <c r="N1868" s="144">
        <f t="shared" ca="1" si="218"/>
        <v>5.9600214444359345</v>
      </c>
      <c r="O1868" s="144">
        <f t="shared" ca="1" si="218"/>
        <v>31.224630466416482</v>
      </c>
      <c r="P1868" s="144">
        <f t="shared" ca="1" si="218"/>
        <v>1</v>
      </c>
      <c r="Q1868" s="144">
        <f t="shared" ca="1" si="218"/>
        <v>0.76587271195527296</v>
      </c>
    </row>
    <row r="1869" spans="1:17" x14ac:dyDescent="0.25">
      <c r="A1869" s="145">
        <v>40901</v>
      </c>
      <c r="B1869" s="144">
        <v>1.3057000000000001</v>
      </c>
      <c r="C1869" s="144">
        <v>40.770000000000003</v>
      </c>
      <c r="D1869" s="144">
        <v>7.782</v>
      </c>
      <c r="E1869" s="144">
        <v>101.93</v>
      </c>
      <c r="F1869" s="144">
        <v>0.83309999999999995</v>
      </c>
      <c r="G1869" s="144">
        <v>1.2221</v>
      </c>
      <c r="I1869" s="144">
        <v>1</v>
      </c>
      <c r="J1869" s="145">
        <f t="shared" si="217"/>
        <v>40901</v>
      </c>
      <c r="K1869" s="144">
        <f t="shared" ca="1" si="218"/>
        <v>0.93597304128053904</v>
      </c>
      <c r="L1869" s="144">
        <f t="shared" ca="1" si="218"/>
        <v>0.63804855632993784</v>
      </c>
      <c r="M1869" s="144">
        <f t="shared" ca="1" si="218"/>
        <v>78.06540552960098</v>
      </c>
      <c r="N1869" s="144">
        <f t="shared" ca="1" si="218"/>
        <v>5.9600214444359345</v>
      </c>
      <c r="O1869" s="144">
        <f t="shared" ca="1" si="218"/>
        <v>31.224630466416482</v>
      </c>
      <c r="P1869" s="144">
        <f t="shared" ca="1" si="218"/>
        <v>1</v>
      </c>
      <c r="Q1869" s="144">
        <f t="shared" ca="1" si="218"/>
        <v>0.76587271195527296</v>
      </c>
    </row>
    <row r="1870" spans="1:17" x14ac:dyDescent="0.25">
      <c r="A1870" s="145">
        <v>40900</v>
      </c>
      <c r="B1870" s="144">
        <v>1.3057000000000001</v>
      </c>
      <c r="C1870" s="144">
        <v>40.770000000000003</v>
      </c>
      <c r="D1870" s="144">
        <v>7.782</v>
      </c>
      <c r="E1870" s="144">
        <v>101.93</v>
      </c>
      <c r="F1870" s="144">
        <v>0.83309999999999995</v>
      </c>
      <c r="G1870" s="144">
        <v>1.2221</v>
      </c>
      <c r="I1870" s="144">
        <v>1</v>
      </c>
      <c r="J1870" s="145">
        <f t="shared" si="217"/>
        <v>40900</v>
      </c>
      <c r="K1870" s="144">
        <f t="shared" ca="1" si="218"/>
        <v>0.93597304128053904</v>
      </c>
      <c r="L1870" s="144">
        <f t="shared" ca="1" si="218"/>
        <v>0.63804855632993784</v>
      </c>
      <c r="M1870" s="144">
        <f t="shared" ca="1" si="218"/>
        <v>78.06540552960098</v>
      </c>
      <c r="N1870" s="144">
        <f t="shared" ca="1" si="218"/>
        <v>5.9600214444359345</v>
      </c>
      <c r="O1870" s="144">
        <f t="shared" ca="1" si="218"/>
        <v>31.224630466416482</v>
      </c>
      <c r="P1870" s="144">
        <f t="shared" ca="1" si="218"/>
        <v>1</v>
      </c>
      <c r="Q1870" s="144">
        <f t="shared" ca="1" si="218"/>
        <v>0.76587271195527296</v>
      </c>
    </row>
    <row r="1871" spans="1:17" x14ac:dyDescent="0.25">
      <c r="A1871" s="145">
        <v>40899</v>
      </c>
      <c r="B1871" s="144">
        <v>1.3047</v>
      </c>
      <c r="C1871" s="144">
        <v>41.097999999999999</v>
      </c>
      <c r="D1871" s="144">
        <v>7.7640000000000002</v>
      </c>
      <c r="E1871" s="144">
        <v>101.93</v>
      </c>
      <c r="F1871" s="144">
        <v>0.83250000000000002</v>
      </c>
      <c r="G1871" s="144">
        <v>1.2232000000000001</v>
      </c>
      <c r="I1871" s="144">
        <v>1</v>
      </c>
      <c r="J1871" s="145">
        <f t="shared" si="217"/>
        <v>40899</v>
      </c>
      <c r="K1871" s="144">
        <f t="shared" ca="1" si="218"/>
        <v>0.93753353261286132</v>
      </c>
      <c r="L1871" s="144">
        <f t="shared" ca="1" si="218"/>
        <v>0.63807771901586574</v>
      </c>
      <c r="M1871" s="144">
        <f t="shared" ca="1" si="218"/>
        <v>78.125239518663307</v>
      </c>
      <c r="N1871" s="144">
        <f t="shared" ca="1" si="218"/>
        <v>5.9507932858128312</v>
      </c>
      <c r="O1871" s="144">
        <f t="shared" ca="1" si="218"/>
        <v>31.499961677013872</v>
      </c>
      <c r="P1871" s="144">
        <f t="shared" ca="1" si="218"/>
        <v>1</v>
      </c>
      <c r="Q1871" s="144">
        <f t="shared" ca="1" si="218"/>
        <v>0.76645972254158046</v>
      </c>
    </row>
    <row r="1872" spans="1:17" x14ac:dyDescent="0.25">
      <c r="A1872" s="145">
        <v>40898</v>
      </c>
      <c r="B1872" s="144">
        <v>1.3053999999999999</v>
      </c>
      <c r="C1872" s="144">
        <v>41.452500000000001</v>
      </c>
      <c r="D1872" s="144">
        <v>7.7519999999999998</v>
      </c>
      <c r="E1872" s="144">
        <v>101.66</v>
      </c>
      <c r="F1872" s="144">
        <v>0.83230000000000004</v>
      </c>
      <c r="G1872" s="144">
        <v>1.2190000000000001</v>
      </c>
      <c r="I1872" s="144">
        <v>1</v>
      </c>
      <c r="J1872" s="145">
        <f t="shared" si="217"/>
        <v>40898</v>
      </c>
      <c r="K1872" s="144">
        <f t="shared" ca="1" si="218"/>
        <v>0.93381339053163792</v>
      </c>
      <c r="L1872" s="144">
        <f t="shared" ca="1" si="218"/>
        <v>0.63758235023747523</v>
      </c>
      <c r="M1872" s="144">
        <f t="shared" ca="1" si="218"/>
        <v>77.876512946223386</v>
      </c>
      <c r="N1872" s="144">
        <f t="shared" ca="1" si="218"/>
        <v>5.9384096828558297</v>
      </c>
      <c r="O1872" s="144">
        <f t="shared" ca="1" si="218"/>
        <v>31.75463459476023</v>
      </c>
      <c r="P1872" s="144">
        <f t="shared" ca="1" si="218"/>
        <v>1</v>
      </c>
      <c r="Q1872" s="144">
        <f t="shared" ca="1" si="218"/>
        <v>0.7660487206986365</v>
      </c>
    </row>
    <row r="1873" spans="1:17" x14ac:dyDescent="0.25">
      <c r="A1873" s="145">
        <v>40897</v>
      </c>
      <c r="B1873" s="144">
        <v>1.3073999999999999</v>
      </c>
      <c r="C1873" s="144">
        <v>41.96</v>
      </c>
      <c r="D1873" s="144">
        <v>7.7080000000000002</v>
      </c>
      <c r="E1873" s="144">
        <v>101.88</v>
      </c>
      <c r="F1873" s="144">
        <v>0.83679999999999999</v>
      </c>
      <c r="G1873" s="144">
        <v>1.2192000000000001</v>
      </c>
      <c r="I1873" s="144">
        <v>1</v>
      </c>
      <c r="J1873" s="145">
        <f t="shared" si="217"/>
        <v>40897</v>
      </c>
      <c r="K1873" s="144">
        <f t="shared" ca="1" si="218"/>
        <v>0.93253786140431405</v>
      </c>
      <c r="L1873" s="144">
        <f t="shared" ca="1" si="218"/>
        <v>0.64004895211870894</v>
      </c>
      <c r="M1873" s="144">
        <f t="shared" ca="1" si="218"/>
        <v>77.925653969710879</v>
      </c>
      <c r="N1873" s="144">
        <f t="shared" ca="1" si="218"/>
        <v>5.8956707970016833</v>
      </c>
      <c r="O1873" s="144">
        <f t="shared" ca="1" si="218"/>
        <v>32.094232828514613</v>
      </c>
      <c r="P1873" s="144">
        <f t="shared" ca="1" si="218"/>
        <v>1</v>
      </c>
      <c r="Q1873" s="144">
        <f t="shared" ca="1" si="218"/>
        <v>0.76487685482637302</v>
      </c>
    </row>
    <row r="1874" spans="1:17" x14ac:dyDescent="0.25">
      <c r="A1874" s="145">
        <v>40896</v>
      </c>
      <c r="B1874" s="144">
        <v>1.3039000000000001</v>
      </c>
      <c r="C1874" s="144">
        <v>41.762900000000002</v>
      </c>
      <c r="D1874" s="144">
        <v>7.7474999999999996</v>
      </c>
      <c r="E1874" s="144">
        <v>101.52</v>
      </c>
      <c r="F1874" s="144">
        <v>0.83979999999999999</v>
      </c>
      <c r="G1874" s="144">
        <v>1.2190000000000001</v>
      </c>
      <c r="I1874" s="144">
        <v>1</v>
      </c>
      <c r="J1874" s="145">
        <f t="shared" si="217"/>
        <v>40896</v>
      </c>
      <c r="K1874" s="144">
        <f t="shared" ca="1" si="218"/>
        <v>0.93488764475803365</v>
      </c>
      <c r="L1874" s="144">
        <f t="shared" ca="1" si="218"/>
        <v>0.64406779661016944</v>
      </c>
      <c r="M1874" s="144">
        <f t="shared" ca="1" si="218"/>
        <v>77.858731497814247</v>
      </c>
      <c r="N1874" s="144">
        <f t="shared" ca="1" si="218"/>
        <v>5.9417900145716693</v>
      </c>
      <c r="O1874" s="144">
        <f t="shared" ca="1" si="218"/>
        <v>32.029220032211057</v>
      </c>
      <c r="P1874" s="144">
        <f t="shared" ca="1" si="218"/>
        <v>1</v>
      </c>
      <c r="Q1874" s="144">
        <f t="shared" ca="1" si="218"/>
        <v>0.76692997929289053</v>
      </c>
    </row>
    <row r="1875" spans="1:17" x14ac:dyDescent="0.25">
      <c r="A1875" s="145">
        <v>40895</v>
      </c>
      <c r="B1875" s="144">
        <v>1.3064</v>
      </c>
      <c r="C1875" s="144">
        <v>41.581000000000003</v>
      </c>
      <c r="D1875" s="144">
        <v>7.7815000000000003</v>
      </c>
      <c r="E1875" s="144">
        <v>101.7</v>
      </c>
      <c r="F1875" s="144">
        <v>0.84055000000000002</v>
      </c>
      <c r="G1875" s="144">
        <v>1.2249000000000001</v>
      </c>
      <c r="I1875" s="144">
        <v>1</v>
      </c>
      <c r="J1875" s="145">
        <f t="shared" si="217"/>
        <v>40895</v>
      </c>
      <c r="K1875" s="144">
        <f t="shared" ref="K1875:Q1884" ca="1" si="219">OFFSET($A1875,0,K$3)/OFFSET($A1875,0,$P$3)</f>
        <v>0.93761481935088797</v>
      </c>
      <c r="L1875" s="144">
        <f t="shared" ca="1" si="219"/>
        <v>0.64340936925903247</v>
      </c>
      <c r="M1875" s="144">
        <f t="shared" ca="1" si="219"/>
        <v>77.847519902020821</v>
      </c>
      <c r="N1875" s="144">
        <f t="shared" ca="1" si="219"/>
        <v>5.9564451928965099</v>
      </c>
      <c r="O1875" s="144">
        <f t="shared" ca="1" si="219"/>
        <v>31.828689528475202</v>
      </c>
      <c r="P1875" s="144">
        <f t="shared" ca="1" si="219"/>
        <v>1</v>
      </c>
      <c r="Q1875" s="144">
        <f t="shared" ca="1" si="219"/>
        <v>0.76546233925290874</v>
      </c>
    </row>
    <row r="1876" spans="1:17" x14ac:dyDescent="0.25">
      <c r="A1876" s="145">
        <v>40894</v>
      </c>
      <c r="B1876" s="144">
        <v>1.3064</v>
      </c>
      <c r="C1876" s="144">
        <v>41.581000000000003</v>
      </c>
      <c r="D1876" s="144">
        <v>7.7815000000000003</v>
      </c>
      <c r="E1876" s="144">
        <v>101.7</v>
      </c>
      <c r="F1876" s="144">
        <v>0.84055000000000002</v>
      </c>
      <c r="G1876" s="144">
        <v>1.2249000000000001</v>
      </c>
      <c r="I1876" s="144">
        <v>1</v>
      </c>
      <c r="J1876" s="145">
        <f t="shared" si="217"/>
        <v>40894</v>
      </c>
      <c r="K1876" s="144">
        <f t="shared" ca="1" si="219"/>
        <v>0.93761481935088797</v>
      </c>
      <c r="L1876" s="144">
        <f t="shared" ca="1" si="219"/>
        <v>0.64340936925903247</v>
      </c>
      <c r="M1876" s="144">
        <f t="shared" ca="1" si="219"/>
        <v>77.847519902020821</v>
      </c>
      <c r="N1876" s="144">
        <f t="shared" ca="1" si="219"/>
        <v>5.9564451928965099</v>
      </c>
      <c r="O1876" s="144">
        <f t="shared" ca="1" si="219"/>
        <v>31.828689528475202</v>
      </c>
      <c r="P1876" s="144">
        <f t="shared" ca="1" si="219"/>
        <v>1</v>
      </c>
      <c r="Q1876" s="144">
        <f t="shared" ca="1" si="219"/>
        <v>0.76546233925290874</v>
      </c>
    </row>
    <row r="1877" spans="1:17" x14ac:dyDescent="0.25">
      <c r="A1877" s="145">
        <v>40893</v>
      </c>
      <c r="B1877" s="144">
        <v>1.3064</v>
      </c>
      <c r="C1877" s="144">
        <v>41.581000000000003</v>
      </c>
      <c r="D1877" s="144">
        <v>7.7815000000000003</v>
      </c>
      <c r="E1877" s="144">
        <v>101.7</v>
      </c>
      <c r="F1877" s="144">
        <v>0.84055000000000002</v>
      </c>
      <c r="G1877" s="144">
        <v>1.2249000000000001</v>
      </c>
      <c r="I1877" s="144">
        <v>1</v>
      </c>
      <c r="J1877" s="145">
        <f t="shared" si="217"/>
        <v>40893</v>
      </c>
      <c r="K1877" s="144">
        <f t="shared" ca="1" si="219"/>
        <v>0.93761481935088797</v>
      </c>
      <c r="L1877" s="144">
        <f t="shared" ca="1" si="219"/>
        <v>0.64340936925903247</v>
      </c>
      <c r="M1877" s="144">
        <f t="shared" ca="1" si="219"/>
        <v>77.847519902020821</v>
      </c>
      <c r="N1877" s="144">
        <f t="shared" ca="1" si="219"/>
        <v>5.9564451928965099</v>
      </c>
      <c r="O1877" s="144">
        <f t="shared" ca="1" si="219"/>
        <v>31.828689528475202</v>
      </c>
      <c r="P1877" s="144">
        <f t="shared" ca="1" si="219"/>
        <v>1</v>
      </c>
      <c r="Q1877" s="144">
        <f t="shared" ca="1" si="219"/>
        <v>0.76546233925290874</v>
      </c>
    </row>
    <row r="1878" spans="1:17" x14ac:dyDescent="0.25">
      <c r="A1878" s="145">
        <v>40892</v>
      </c>
      <c r="B1878" s="144">
        <v>1.3019000000000001</v>
      </c>
      <c r="C1878" s="144">
        <v>41.466500000000003</v>
      </c>
      <c r="D1878" s="144">
        <v>7.7675000000000001</v>
      </c>
      <c r="E1878" s="144">
        <v>101.3</v>
      </c>
      <c r="F1878" s="144">
        <v>0.83935000000000004</v>
      </c>
      <c r="G1878" s="144">
        <v>1.2261</v>
      </c>
      <c r="I1878" s="144">
        <v>1</v>
      </c>
      <c r="J1878" s="145">
        <f t="shared" si="217"/>
        <v>40892</v>
      </c>
      <c r="K1878" s="144">
        <f t="shared" ca="1" si="219"/>
        <v>0.94177740225823792</v>
      </c>
      <c r="L1878" s="144">
        <f t="shared" ca="1" si="219"/>
        <v>0.64471157538981494</v>
      </c>
      <c r="M1878" s="144">
        <f t="shared" ca="1" si="219"/>
        <v>77.809355557262464</v>
      </c>
      <c r="N1878" s="144">
        <f t="shared" ca="1" si="219"/>
        <v>5.9662800522313537</v>
      </c>
      <c r="O1878" s="144">
        <f t="shared" ca="1" si="219"/>
        <v>31.850756586527385</v>
      </c>
      <c r="P1878" s="144">
        <f t="shared" ca="1" si="219"/>
        <v>1</v>
      </c>
      <c r="Q1878" s="144">
        <f t="shared" ca="1" si="219"/>
        <v>0.76810814962746754</v>
      </c>
    </row>
    <row r="1879" spans="1:17" x14ac:dyDescent="0.25">
      <c r="A1879" s="145">
        <v>40891</v>
      </c>
      <c r="B1879" s="144">
        <v>1.2992999999999999</v>
      </c>
      <c r="C1879" s="144">
        <v>41.31</v>
      </c>
      <c r="D1879" s="144">
        <v>7.766</v>
      </c>
      <c r="E1879" s="144">
        <v>101.44</v>
      </c>
      <c r="F1879" s="144">
        <v>0.83899999999999997</v>
      </c>
      <c r="G1879" s="144">
        <v>1.2317</v>
      </c>
      <c r="I1879" s="144">
        <v>1</v>
      </c>
      <c r="J1879" s="145">
        <f t="shared" si="217"/>
        <v>40891</v>
      </c>
      <c r="K1879" s="144">
        <f t="shared" ca="1" si="219"/>
        <v>0.94797198491495427</v>
      </c>
      <c r="L1879" s="144">
        <f t="shared" ca="1" si="219"/>
        <v>0.6457323174016778</v>
      </c>
      <c r="M1879" s="144">
        <f t="shared" ca="1" si="219"/>
        <v>78.07280843531133</v>
      </c>
      <c r="N1879" s="144">
        <f t="shared" ca="1" si="219"/>
        <v>5.9770645732317407</v>
      </c>
      <c r="O1879" s="144">
        <f t="shared" ca="1" si="219"/>
        <v>31.794042946201806</v>
      </c>
      <c r="P1879" s="144">
        <f t="shared" ca="1" si="219"/>
        <v>1</v>
      </c>
      <c r="Q1879" s="144">
        <f t="shared" ca="1" si="219"/>
        <v>0.76964519356576622</v>
      </c>
    </row>
    <row r="1880" spans="1:17" x14ac:dyDescent="0.25">
      <c r="A1880" s="145">
        <v>40890</v>
      </c>
      <c r="B1880" s="144">
        <v>1.3181</v>
      </c>
      <c r="C1880" s="144">
        <v>41.711500000000001</v>
      </c>
      <c r="D1880" s="144">
        <v>7.7110000000000003</v>
      </c>
      <c r="E1880" s="144">
        <v>102.6</v>
      </c>
      <c r="F1880" s="144">
        <v>0.84624999999999995</v>
      </c>
      <c r="G1880" s="144">
        <v>1.2344999999999999</v>
      </c>
      <c r="I1880" s="144">
        <v>1</v>
      </c>
      <c r="J1880" s="145">
        <f t="shared" si="217"/>
        <v>40890</v>
      </c>
      <c r="K1880" s="144">
        <f t="shared" ca="1" si="219"/>
        <v>0.93657537364388121</v>
      </c>
      <c r="L1880" s="144">
        <f t="shared" ca="1" si="219"/>
        <v>0.64202260829982549</v>
      </c>
      <c r="M1880" s="144">
        <f t="shared" ca="1" si="219"/>
        <v>77.839314164327433</v>
      </c>
      <c r="N1880" s="144">
        <f t="shared" ca="1" si="219"/>
        <v>5.8500872467946285</v>
      </c>
      <c r="O1880" s="144">
        <f t="shared" ca="1" si="219"/>
        <v>31.645171079584248</v>
      </c>
      <c r="P1880" s="144">
        <f t="shared" ca="1" si="219"/>
        <v>1</v>
      </c>
      <c r="Q1880" s="144">
        <f t="shared" ca="1" si="219"/>
        <v>0.75866777937940977</v>
      </c>
    </row>
    <row r="1881" spans="1:17" x14ac:dyDescent="0.25">
      <c r="A1881" s="145">
        <v>40889</v>
      </c>
      <c r="B1881" s="144">
        <v>1.3250999999999999</v>
      </c>
      <c r="C1881" s="144">
        <v>41.828899999999997</v>
      </c>
      <c r="D1881" s="144">
        <v>7.7015000000000002</v>
      </c>
      <c r="E1881" s="144">
        <v>103.12</v>
      </c>
      <c r="F1881" s="144">
        <v>0.84799999999999998</v>
      </c>
      <c r="G1881" s="144">
        <v>1.2349000000000001</v>
      </c>
      <c r="I1881" s="144">
        <v>1</v>
      </c>
      <c r="J1881" s="145">
        <f t="shared" si="217"/>
        <v>40889</v>
      </c>
      <c r="K1881" s="144">
        <f t="shared" ca="1" si="219"/>
        <v>0.93192966568560875</v>
      </c>
      <c r="L1881" s="144">
        <f t="shared" ca="1" si="219"/>
        <v>0.63995170175835792</v>
      </c>
      <c r="M1881" s="144">
        <f t="shared" ca="1" si="219"/>
        <v>77.820541845898433</v>
      </c>
      <c r="N1881" s="144">
        <f t="shared" ca="1" si="219"/>
        <v>5.812014187608483</v>
      </c>
      <c r="O1881" s="144">
        <f t="shared" ca="1" si="219"/>
        <v>31.566598747264358</v>
      </c>
      <c r="P1881" s="144">
        <f t="shared" ca="1" si="219"/>
        <v>1</v>
      </c>
      <c r="Q1881" s="144">
        <f t="shared" ca="1" si="219"/>
        <v>0.75466002565844092</v>
      </c>
    </row>
    <row r="1882" spans="1:17" x14ac:dyDescent="0.25">
      <c r="A1882" s="145">
        <v>40888</v>
      </c>
      <c r="B1882" s="144">
        <v>1.3384</v>
      </c>
      <c r="C1882" s="144">
        <v>42.201999999999998</v>
      </c>
      <c r="D1882" s="144">
        <v>7.6769999999999996</v>
      </c>
      <c r="E1882" s="144">
        <v>103.95</v>
      </c>
      <c r="F1882" s="144">
        <v>0.85314999999999996</v>
      </c>
      <c r="G1882" s="144">
        <v>1.2332000000000001</v>
      </c>
      <c r="I1882" s="144">
        <v>1</v>
      </c>
      <c r="J1882" s="145">
        <f t="shared" si="217"/>
        <v>40888</v>
      </c>
      <c r="K1882" s="144">
        <f t="shared" ca="1" si="219"/>
        <v>0.92139868499701139</v>
      </c>
      <c r="L1882" s="144">
        <f t="shared" ca="1" si="219"/>
        <v>0.63744022713687987</v>
      </c>
      <c r="M1882" s="144">
        <f t="shared" ca="1" si="219"/>
        <v>77.6673640167364</v>
      </c>
      <c r="N1882" s="144">
        <f t="shared" ca="1" si="219"/>
        <v>5.7359533771667657</v>
      </c>
      <c r="O1882" s="144">
        <f t="shared" ca="1" si="219"/>
        <v>31.531679617453673</v>
      </c>
      <c r="P1882" s="144">
        <f t="shared" ca="1" si="219"/>
        <v>1</v>
      </c>
      <c r="Q1882" s="144">
        <f t="shared" ca="1" si="219"/>
        <v>0.74716078900179317</v>
      </c>
    </row>
    <row r="1883" spans="1:17" x14ac:dyDescent="0.25">
      <c r="A1883" s="145">
        <v>40887</v>
      </c>
      <c r="B1883" s="144">
        <v>1.3384</v>
      </c>
      <c r="C1883" s="144">
        <v>42.201999999999998</v>
      </c>
      <c r="D1883" s="144">
        <v>7.6769999999999996</v>
      </c>
      <c r="E1883" s="144">
        <v>103.95</v>
      </c>
      <c r="F1883" s="144">
        <v>0.85314999999999996</v>
      </c>
      <c r="G1883" s="144">
        <v>1.2332000000000001</v>
      </c>
      <c r="I1883" s="144">
        <v>1</v>
      </c>
      <c r="J1883" s="145">
        <f t="shared" si="217"/>
        <v>40887</v>
      </c>
      <c r="K1883" s="144">
        <f t="shared" ca="1" si="219"/>
        <v>0.92139868499701139</v>
      </c>
      <c r="L1883" s="144">
        <f t="shared" ca="1" si="219"/>
        <v>0.63744022713687987</v>
      </c>
      <c r="M1883" s="144">
        <f t="shared" ca="1" si="219"/>
        <v>77.6673640167364</v>
      </c>
      <c r="N1883" s="144">
        <f t="shared" ca="1" si="219"/>
        <v>5.7359533771667657</v>
      </c>
      <c r="O1883" s="144">
        <f t="shared" ca="1" si="219"/>
        <v>31.531679617453673</v>
      </c>
      <c r="P1883" s="144">
        <f t="shared" ca="1" si="219"/>
        <v>1</v>
      </c>
      <c r="Q1883" s="144">
        <f t="shared" ca="1" si="219"/>
        <v>0.74716078900179317</v>
      </c>
    </row>
    <row r="1884" spans="1:17" x14ac:dyDescent="0.25">
      <c r="A1884" s="145">
        <v>40886</v>
      </c>
      <c r="B1884" s="144">
        <v>1.3384</v>
      </c>
      <c r="C1884" s="144">
        <v>42.201999999999998</v>
      </c>
      <c r="D1884" s="144">
        <v>7.6769999999999996</v>
      </c>
      <c r="E1884" s="144">
        <v>103.95</v>
      </c>
      <c r="F1884" s="144">
        <v>0.85314999999999996</v>
      </c>
      <c r="G1884" s="144">
        <v>1.2332000000000001</v>
      </c>
      <c r="I1884" s="144">
        <v>1</v>
      </c>
      <c r="J1884" s="145">
        <f t="shared" si="217"/>
        <v>40886</v>
      </c>
      <c r="K1884" s="144">
        <f t="shared" ca="1" si="219"/>
        <v>0.92139868499701139</v>
      </c>
      <c r="L1884" s="144">
        <f t="shared" ca="1" si="219"/>
        <v>0.63744022713687987</v>
      </c>
      <c r="M1884" s="144">
        <f t="shared" ca="1" si="219"/>
        <v>77.6673640167364</v>
      </c>
      <c r="N1884" s="144">
        <f t="shared" ca="1" si="219"/>
        <v>5.7359533771667657</v>
      </c>
      <c r="O1884" s="144">
        <f t="shared" ca="1" si="219"/>
        <v>31.531679617453673</v>
      </c>
      <c r="P1884" s="144">
        <f t="shared" ca="1" si="219"/>
        <v>1</v>
      </c>
      <c r="Q1884" s="144">
        <f t="shared" ca="1" si="219"/>
        <v>0.74716078900179317</v>
      </c>
    </row>
    <row r="1885" spans="1:17" x14ac:dyDescent="0.25">
      <c r="A1885" s="145">
        <v>40885</v>
      </c>
      <c r="B1885" s="144">
        <v>1.341</v>
      </c>
      <c r="C1885" s="144">
        <v>42.04</v>
      </c>
      <c r="D1885" s="144">
        <v>7.6840000000000002</v>
      </c>
      <c r="E1885" s="144">
        <v>103.72</v>
      </c>
      <c r="F1885" s="144">
        <v>0.8528</v>
      </c>
      <c r="G1885" s="144">
        <v>1.2373000000000001</v>
      </c>
      <c r="I1885" s="144">
        <v>1</v>
      </c>
      <c r="J1885" s="145">
        <f t="shared" si="217"/>
        <v>40885</v>
      </c>
      <c r="K1885" s="144">
        <f t="shared" ref="K1885:Q1894" ca="1" si="220">OFFSET($A1885,0,K$3)/OFFSET($A1885,0,$P$3)</f>
        <v>0.92266964951528718</v>
      </c>
      <c r="L1885" s="144">
        <f t="shared" ca="1" si="220"/>
        <v>0.63594332587621183</v>
      </c>
      <c r="M1885" s="144">
        <f t="shared" ca="1" si="220"/>
        <v>77.345264727815064</v>
      </c>
      <c r="N1885" s="144">
        <f t="shared" ca="1" si="220"/>
        <v>5.7300521998508582</v>
      </c>
      <c r="O1885" s="144">
        <f t="shared" ca="1" si="220"/>
        <v>31.349739000745711</v>
      </c>
      <c r="P1885" s="144">
        <f t="shared" ca="1" si="220"/>
        <v>1</v>
      </c>
      <c r="Q1885" s="144">
        <f t="shared" ca="1" si="220"/>
        <v>0.74571215510812827</v>
      </c>
    </row>
    <row r="1886" spans="1:17" x14ac:dyDescent="0.25">
      <c r="A1886" s="145">
        <v>40884</v>
      </c>
      <c r="B1886" s="144">
        <v>1.3376999999999999</v>
      </c>
      <c r="C1886" s="144">
        <v>41.814999999999998</v>
      </c>
      <c r="D1886" s="144">
        <v>7.6935000000000002</v>
      </c>
      <c r="E1886" s="144">
        <v>103.99</v>
      </c>
      <c r="F1886" s="144">
        <v>0.85745000000000005</v>
      </c>
      <c r="G1886" s="144">
        <v>1.2413000000000001</v>
      </c>
      <c r="I1886" s="144">
        <v>1</v>
      </c>
      <c r="J1886" s="145">
        <f t="shared" si="217"/>
        <v>40884</v>
      </c>
      <c r="K1886" s="144">
        <f t="shared" ca="1" si="220"/>
        <v>0.92793600956866273</v>
      </c>
      <c r="L1886" s="144">
        <f t="shared" ca="1" si="220"/>
        <v>0.64098826343724313</v>
      </c>
      <c r="M1886" s="144">
        <f t="shared" ca="1" si="220"/>
        <v>77.737908350153248</v>
      </c>
      <c r="N1886" s="144">
        <f t="shared" ca="1" si="220"/>
        <v>5.7512895267997317</v>
      </c>
      <c r="O1886" s="144">
        <f t="shared" ca="1" si="220"/>
        <v>31.258877177244525</v>
      </c>
      <c r="P1886" s="144">
        <f t="shared" ca="1" si="220"/>
        <v>1</v>
      </c>
      <c r="Q1886" s="144">
        <f t="shared" ca="1" si="220"/>
        <v>0.74755176795993128</v>
      </c>
    </row>
    <row r="1887" spans="1:17" x14ac:dyDescent="0.25">
      <c r="A1887" s="145">
        <v>40883</v>
      </c>
      <c r="B1887" s="144">
        <v>1.3393999999999999</v>
      </c>
      <c r="C1887" s="144">
        <v>41.878</v>
      </c>
      <c r="D1887" s="144">
        <v>7.7160000000000002</v>
      </c>
      <c r="E1887" s="144">
        <v>104.15</v>
      </c>
      <c r="F1887" s="144">
        <v>0.85655000000000003</v>
      </c>
      <c r="G1887" s="144">
        <v>1.2387999999999999</v>
      </c>
      <c r="I1887" s="144">
        <v>1</v>
      </c>
      <c r="J1887" s="145">
        <f t="shared" si="217"/>
        <v>40883</v>
      </c>
      <c r="K1887" s="144">
        <f t="shared" ca="1" si="220"/>
        <v>0.92489174257130058</v>
      </c>
      <c r="L1887" s="144">
        <f t="shared" ca="1" si="220"/>
        <v>0.63950276243093929</v>
      </c>
      <c r="M1887" s="144">
        <f t="shared" ca="1" si="220"/>
        <v>77.758697924443794</v>
      </c>
      <c r="N1887" s="144">
        <f t="shared" ca="1" si="220"/>
        <v>5.7607884127221149</v>
      </c>
      <c r="O1887" s="144">
        <f t="shared" ca="1" si="220"/>
        <v>31.266238614304914</v>
      </c>
      <c r="P1887" s="144">
        <f t="shared" ca="1" si="220"/>
        <v>1</v>
      </c>
      <c r="Q1887" s="144">
        <f t="shared" ca="1" si="220"/>
        <v>0.74660295654770792</v>
      </c>
    </row>
    <row r="1888" spans="1:17" x14ac:dyDescent="0.25">
      <c r="A1888" s="145">
        <v>40882</v>
      </c>
      <c r="B1888" s="144">
        <v>1.3442000000000001</v>
      </c>
      <c r="C1888" s="144">
        <v>41.54</v>
      </c>
      <c r="D1888" s="144">
        <v>7.726</v>
      </c>
      <c r="E1888" s="144">
        <v>104.81</v>
      </c>
      <c r="F1888" s="144">
        <v>0.85924999999999996</v>
      </c>
      <c r="G1888" s="144">
        <v>1.2379</v>
      </c>
      <c r="I1888" s="144">
        <v>1</v>
      </c>
      <c r="J1888" s="145">
        <f t="shared" si="217"/>
        <v>40882</v>
      </c>
      <c r="K1888" s="144">
        <f t="shared" ca="1" si="220"/>
        <v>0.92091950602588901</v>
      </c>
      <c r="L1888" s="144">
        <f t="shared" ca="1" si="220"/>
        <v>0.63922779348311254</v>
      </c>
      <c r="M1888" s="144">
        <f t="shared" ca="1" si="220"/>
        <v>77.972027972027973</v>
      </c>
      <c r="N1888" s="144">
        <f t="shared" ca="1" si="220"/>
        <v>5.747656598720428</v>
      </c>
      <c r="O1888" s="144">
        <f t="shared" ca="1" si="220"/>
        <v>30.903139413777708</v>
      </c>
      <c r="P1888" s="144">
        <f t="shared" ca="1" si="220"/>
        <v>1</v>
      </c>
      <c r="Q1888" s="144">
        <f t="shared" ca="1" si="220"/>
        <v>0.74393691414968011</v>
      </c>
    </row>
    <row r="1889" spans="1:17" x14ac:dyDescent="0.25">
      <c r="A1889" s="145">
        <v>40881</v>
      </c>
      <c r="B1889" s="144">
        <v>1.3511</v>
      </c>
      <c r="C1889" s="144">
        <v>41.496000000000002</v>
      </c>
      <c r="D1889" s="144">
        <v>7.766</v>
      </c>
      <c r="E1889" s="144">
        <v>105.25</v>
      </c>
      <c r="F1889" s="144">
        <v>0.86019999999999996</v>
      </c>
      <c r="G1889" s="144">
        <v>1.2343</v>
      </c>
      <c r="I1889" s="144">
        <v>1</v>
      </c>
      <c r="J1889" s="145">
        <f t="shared" si="217"/>
        <v>40881</v>
      </c>
      <c r="K1889" s="144">
        <f t="shared" ca="1" si="220"/>
        <v>0.91355192065724222</v>
      </c>
      <c r="L1889" s="144">
        <f t="shared" ca="1" si="220"/>
        <v>0.63666641995411144</v>
      </c>
      <c r="M1889" s="144">
        <f t="shared" ca="1" si="220"/>
        <v>77.899489305010732</v>
      </c>
      <c r="N1889" s="144">
        <f t="shared" ca="1" si="220"/>
        <v>5.7479091110946641</v>
      </c>
      <c r="O1889" s="144">
        <f t="shared" ca="1" si="220"/>
        <v>30.712752571978392</v>
      </c>
      <c r="P1889" s="144">
        <f t="shared" ca="1" si="220"/>
        <v>1</v>
      </c>
      <c r="Q1889" s="144">
        <f t="shared" ca="1" si="220"/>
        <v>0.74013766560580274</v>
      </c>
    </row>
    <row r="1890" spans="1:17" x14ac:dyDescent="0.25">
      <c r="A1890" s="145">
        <v>40880</v>
      </c>
      <c r="B1890" s="144">
        <v>1.3511</v>
      </c>
      <c r="C1890" s="144">
        <v>41.496000000000002</v>
      </c>
      <c r="D1890" s="144">
        <v>7.766</v>
      </c>
      <c r="E1890" s="144">
        <v>105.25</v>
      </c>
      <c r="F1890" s="144">
        <v>0.86019999999999996</v>
      </c>
      <c r="G1890" s="144">
        <v>1.2343</v>
      </c>
      <c r="I1890" s="144">
        <v>1</v>
      </c>
      <c r="J1890" s="145">
        <f t="shared" si="217"/>
        <v>40880</v>
      </c>
      <c r="K1890" s="144">
        <f t="shared" ca="1" si="220"/>
        <v>0.91355192065724222</v>
      </c>
      <c r="L1890" s="144">
        <f t="shared" ca="1" si="220"/>
        <v>0.63666641995411144</v>
      </c>
      <c r="M1890" s="144">
        <f t="shared" ca="1" si="220"/>
        <v>77.899489305010732</v>
      </c>
      <c r="N1890" s="144">
        <f t="shared" ca="1" si="220"/>
        <v>5.7479091110946641</v>
      </c>
      <c r="O1890" s="144">
        <f t="shared" ca="1" si="220"/>
        <v>30.712752571978392</v>
      </c>
      <c r="P1890" s="144">
        <f t="shared" ca="1" si="220"/>
        <v>1</v>
      </c>
      <c r="Q1890" s="144">
        <f t="shared" ca="1" si="220"/>
        <v>0.74013766560580274</v>
      </c>
    </row>
    <row r="1891" spans="1:17" x14ac:dyDescent="0.25">
      <c r="A1891" s="145">
        <v>40879</v>
      </c>
      <c r="B1891" s="144">
        <v>1.3511</v>
      </c>
      <c r="C1891" s="144">
        <v>41.496000000000002</v>
      </c>
      <c r="D1891" s="144">
        <v>7.766</v>
      </c>
      <c r="E1891" s="144">
        <v>105.25</v>
      </c>
      <c r="F1891" s="144">
        <v>0.86019999999999996</v>
      </c>
      <c r="G1891" s="144">
        <v>1.2343</v>
      </c>
      <c r="I1891" s="144">
        <v>1</v>
      </c>
      <c r="J1891" s="145">
        <f t="shared" si="217"/>
        <v>40879</v>
      </c>
      <c r="K1891" s="144">
        <f t="shared" ca="1" si="220"/>
        <v>0.91355192065724222</v>
      </c>
      <c r="L1891" s="144">
        <f t="shared" ca="1" si="220"/>
        <v>0.63666641995411144</v>
      </c>
      <c r="M1891" s="144">
        <f t="shared" ca="1" si="220"/>
        <v>77.899489305010732</v>
      </c>
      <c r="N1891" s="144">
        <f t="shared" ca="1" si="220"/>
        <v>5.7479091110946641</v>
      </c>
      <c r="O1891" s="144">
        <f t="shared" ca="1" si="220"/>
        <v>30.712752571978392</v>
      </c>
      <c r="P1891" s="144">
        <f t="shared" ca="1" si="220"/>
        <v>1</v>
      </c>
      <c r="Q1891" s="144">
        <f t="shared" ca="1" si="220"/>
        <v>0.74013766560580274</v>
      </c>
    </row>
    <row r="1892" spans="1:17" x14ac:dyDescent="0.25">
      <c r="A1892" s="145">
        <v>40878</v>
      </c>
      <c r="B1892" s="144">
        <v>1.3492</v>
      </c>
      <c r="C1892" s="144">
        <v>41.465000000000003</v>
      </c>
      <c r="D1892" s="144">
        <v>7.7830000000000004</v>
      </c>
      <c r="E1892" s="144">
        <v>104.84</v>
      </c>
      <c r="F1892" s="144">
        <v>0.85909999999999997</v>
      </c>
      <c r="G1892" s="144">
        <v>1.2263999999999999</v>
      </c>
      <c r="I1892" s="144">
        <v>1</v>
      </c>
      <c r="J1892" s="145">
        <f t="shared" si="217"/>
        <v>40878</v>
      </c>
      <c r="K1892" s="144">
        <f t="shared" ca="1" si="220"/>
        <v>0.90898310109694636</v>
      </c>
      <c r="L1892" s="144">
        <f t="shared" ca="1" si="220"/>
        <v>0.63674770234212863</v>
      </c>
      <c r="M1892" s="144">
        <f t="shared" ca="1" si="220"/>
        <v>77.705306848502815</v>
      </c>
      <c r="N1892" s="144">
        <f t="shared" ca="1" si="220"/>
        <v>5.768603616958198</v>
      </c>
      <c r="O1892" s="144">
        <f t="shared" ca="1" si="220"/>
        <v>30.733026978950491</v>
      </c>
      <c r="P1892" s="144">
        <f t="shared" ca="1" si="220"/>
        <v>1</v>
      </c>
      <c r="Q1892" s="144">
        <f t="shared" ca="1" si="220"/>
        <v>0.74117995849392238</v>
      </c>
    </row>
    <row r="1893" spans="1:17" x14ac:dyDescent="0.25">
      <c r="A1893" s="145">
        <v>40877</v>
      </c>
      <c r="B1893" s="144">
        <v>1.3418000000000001</v>
      </c>
      <c r="C1893" s="144">
        <v>41.547499999999999</v>
      </c>
      <c r="D1893" s="144">
        <v>7.7530000000000001</v>
      </c>
      <c r="E1893" s="144">
        <v>104</v>
      </c>
      <c r="F1893" s="144">
        <v>0.85580000000000001</v>
      </c>
      <c r="G1893" s="144">
        <v>1.2264999999999999</v>
      </c>
      <c r="I1893" s="144">
        <v>1</v>
      </c>
      <c r="J1893" s="145">
        <f t="shared" si="217"/>
        <v>40877</v>
      </c>
      <c r="K1893" s="144">
        <f t="shared" ca="1" si="220"/>
        <v>0.91407065136383947</v>
      </c>
      <c r="L1893" s="144">
        <f t="shared" ca="1" si="220"/>
        <v>0.6377999701892979</v>
      </c>
      <c r="M1893" s="144">
        <f t="shared" ca="1" si="220"/>
        <v>77.507825309286034</v>
      </c>
      <c r="N1893" s="144">
        <f t="shared" ca="1" si="220"/>
        <v>5.7780593232970636</v>
      </c>
      <c r="O1893" s="144">
        <f t="shared" ca="1" si="220"/>
        <v>30.964003577284242</v>
      </c>
      <c r="P1893" s="144">
        <f t="shared" ca="1" si="220"/>
        <v>1</v>
      </c>
      <c r="Q1893" s="144">
        <f t="shared" ca="1" si="220"/>
        <v>0.7452675510508272</v>
      </c>
    </row>
    <row r="1894" spans="1:17" x14ac:dyDescent="0.25">
      <c r="A1894" s="145">
        <v>40876</v>
      </c>
      <c r="B1894" s="144">
        <v>1.3335999999999999</v>
      </c>
      <c r="C1894" s="144">
        <v>41.81</v>
      </c>
      <c r="D1894" s="144">
        <v>7.8494999999999999</v>
      </c>
      <c r="E1894" s="144">
        <v>103.82</v>
      </c>
      <c r="F1894" s="144">
        <v>0.85365000000000002</v>
      </c>
      <c r="G1894" s="144">
        <v>1.2282</v>
      </c>
      <c r="I1894" s="144">
        <v>1</v>
      </c>
      <c r="J1894" s="145">
        <f t="shared" si="217"/>
        <v>40876</v>
      </c>
      <c r="K1894" s="144">
        <f t="shared" ca="1" si="220"/>
        <v>0.92096580683863227</v>
      </c>
      <c r="L1894" s="144">
        <f t="shared" ca="1" si="220"/>
        <v>0.64010947810437924</v>
      </c>
      <c r="M1894" s="144">
        <f t="shared" ca="1" si="220"/>
        <v>77.849430113977206</v>
      </c>
      <c r="N1894" s="144">
        <f t="shared" ca="1" si="220"/>
        <v>5.885947810437913</v>
      </c>
      <c r="O1894" s="144">
        <f t="shared" ca="1" si="220"/>
        <v>31.351229754049193</v>
      </c>
      <c r="P1894" s="144">
        <f t="shared" ca="1" si="220"/>
        <v>1</v>
      </c>
      <c r="Q1894" s="144">
        <f t="shared" ca="1" si="220"/>
        <v>0.7498500299940013</v>
      </c>
    </row>
    <row r="1895" spans="1:17" x14ac:dyDescent="0.25">
      <c r="A1895" s="145">
        <v>40875</v>
      </c>
      <c r="B1895" s="144">
        <v>1.3348</v>
      </c>
      <c r="C1895" s="144">
        <v>41.75</v>
      </c>
      <c r="D1895" s="144">
        <v>7.8354999999999997</v>
      </c>
      <c r="E1895" s="144">
        <v>103.82</v>
      </c>
      <c r="F1895" s="144">
        <v>0.85819999999999996</v>
      </c>
      <c r="G1895" s="144">
        <v>1.2309000000000001</v>
      </c>
      <c r="I1895" s="144">
        <v>1</v>
      </c>
      <c r="J1895" s="145">
        <f t="shared" si="217"/>
        <v>40875</v>
      </c>
      <c r="K1895" s="144">
        <f t="shared" ref="K1895:Q1904" ca="1" si="221">OFFSET($A1895,0,K$3)/OFFSET($A1895,0,$P$3)</f>
        <v>0.92216062331435433</v>
      </c>
      <c r="L1895" s="144">
        <f t="shared" ca="1" si="221"/>
        <v>0.64294276296074315</v>
      </c>
      <c r="M1895" s="144">
        <f t="shared" ca="1" si="221"/>
        <v>77.779442613125553</v>
      </c>
      <c r="N1895" s="144">
        <f t="shared" ca="1" si="221"/>
        <v>5.8701678154030565</v>
      </c>
      <c r="O1895" s="144">
        <f t="shared" ca="1" si="221"/>
        <v>31.278094096493856</v>
      </c>
      <c r="P1895" s="144">
        <f t="shared" ca="1" si="221"/>
        <v>1</v>
      </c>
      <c r="Q1895" s="144">
        <f t="shared" ca="1" si="221"/>
        <v>0.74917590650284682</v>
      </c>
    </row>
    <row r="1896" spans="1:17" x14ac:dyDescent="0.25">
      <c r="A1896" s="145">
        <v>40874</v>
      </c>
      <c r="B1896" s="144">
        <v>1.3229</v>
      </c>
      <c r="C1896" s="144">
        <v>41.896000000000001</v>
      </c>
      <c r="D1896" s="144">
        <v>7.8360000000000003</v>
      </c>
      <c r="E1896" s="144">
        <v>102.59</v>
      </c>
      <c r="F1896" s="144">
        <v>0.85585</v>
      </c>
      <c r="G1896" s="144">
        <v>1.2253000000000001</v>
      </c>
      <c r="I1896" s="144">
        <v>1</v>
      </c>
      <c r="J1896" s="145">
        <f t="shared" si="217"/>
        <v>40874</v>
      </c>
      <c r="K1896" s="144">
        <f t="shared" ca="1" si="221"/>
        <v>0.9262226925693553</v>
      </c>
      <c r="L1896" s="144">
        <f t="shared" ca="1" si="221"/>
        <v>0.64694988283316957</v>
      </c>
      <c r="M1896" s="144">
        <f t="shared" ca="1" si="221"/>
        <v>77.549323456043538</v>
      </c>
      <c r="N1896" s="144">
        <f t="shared" ca="1" si="221"/>
        <v>5.9233502154357858</v>
      </c>
      <c r="O1896" s="144">
        <f t="shared" ca="1" si="221"/>
        <v>31.669816312646461</v>
      </c>
      <c r="P1896" s="144">
        <f t="shared" ca="1" si="221"/>
        <v>1</v>
      </c>
      <c r="Q1896" s="144">
        <f t="shared" ca="1" si="221"/>
        <v>0.75591503515004921</v>
      </c>
    </row>
    <row r="1897" spans="1:17" x14ac:dyDescent="0.25">
      <c r="A1897" s="145">
        <v>40873</v>
      </c>
      <c r="B1897" s="144">
        <v>1.3229</v>
      </c>
      <c r="C1897" s="144">
        <v>41.896000000000001</v>
      </c>
      <c r="D1897" s="144">
        <v>7.8360000000000003</v>
      </c>
      <c r="E1897" s="144">
        <v>102.59</v>
      </c>
      <c r="F1897" s="144">
        <v>0.85585</v>
      </c>
      <c r="G1897" s="144">
        <v>1.2253000000000001</v>
      </c>
      <c r="I1897" s="144">
        <v>1</v>
      </c>
      <c r="J1897" s="145">
        <f t="shared" si="217"/>
        <v>40873</v>
      </c>
      <c r="K1897" s="144">
        <f t="shared" ca="1" si="221"/>
        <v>0.9262226925693553</v>
      </c>
      <c r="L1897" s="144">
        <f t="shared" ca="1" si="221"/>
        <v>0.64694988283316957</v>
      </c>
      <c r="M1897" s="144">
        <f t="shared" ca="1" si="221"/>
        <v>77.549323456043538</v>
      </c>
      <c r="N1897" s="144">
        <f t="shared" ca="1" si="221"/>
        <v>5.9233502154357858</v>
      </c>
      <c r="O1897" s="144">
        <f t="shared" ca="1" si="221"/>
        <v>31.669816312646461</v>
      </c>
      <c r="P1897" s="144">
        <f t="shared" ca="1" si="221"/>
        <v>1</v>
      </c>
      <c r="Q1897" s="144">
        <f t="shared" ca="1" si="221"/>
        <v>0.75591503515004921</v>
      </c>
    </row>
    <row r="1898" spans="1:17" x14ac:dyDescent="0.25">
      <c r="A1898" s="145">
        <v>40872</v>
      </c>
      <c r="B1898" s="144">
        <v>1.3229</v>
      </c>
      <c r="C1898" s="144">
        <v>41.896000000000001</v>
      </c>
      <c r="D1898" s="144">
        <v>7.8360000000000003</v>
      </c>
      <c r="E1898" s="144">
        <v>102.59</v>
      </c>
      <c r="F1898" s="144">
        <v>0.85585</v>
      </c>
      <c r="G1898" s="144">
        <v>1.2253000000000001</v>
      </c>
      <c r="I1898" s="144">
        <v>1</v>
      </c>
      <c r="J1898" s="145">
        <f t="shared" si="217"/>
        <v>40872</v>
      </c>
      <c r="K1898" s="144">
        <f t="shared" ca="1" si="221"/>
        <v>0.9262226925693553</v>
      </c>
      <c r="L1898" s="144">
        <f t="shared" ca="1" si="221"/>
        <v>0.64694988283316957</v>
      </c>
      <c r="M1898" s="144">
        <f t="shared" ca="1" si="221"/>
        <v>77.549323456043538</v>
      </c>
      <c r="N1898" s="144">
        <f t="shared" ca="1" si="221"/>
        <v>5.9233502154357858</v>
      </c>
      <c r="O1898" s="144">
        <f t="shared" ca="1" si="221"/>
        <v>31.669816312646461</v>
      </c>
      <c r="P1898" s="144">
        <f t="shared" ca="1" si="221"/>
        <v>1</v>
      </c>
      <c r="Q1898" s="144">
        <f t="shared" ca="1" si="221"/>
        <v>0.75591503515004921</v>
      </c>
    </row>
    <row r="1899" spans="1:17" x14ac:dyDescent="0.25">
      <c r="A1899" s="145">
        <v>40871</v>
      </c>
      <c r="B1899" s="144">
        <v>1.3372999999999999</v>
      </c>
      <c r="C1899" s="144">
        <v>41.991199999999999</v>
      </c>
      <c r="D1899" s="144">
        <v>7.8310000000000004</v>
      </c>
      <c r="E1899" s="144">
        <v>103.07</v>
      </c>
      <c r="F1899" s="144">
        <v>0.86060000000000003</v>
      </c>
      <c r="G1899" s="144">
        <v>1.2267999999999999</v>
      </c>
      <c r="I1899" s="144">
        <v>1</v>
      </c>
      <c r="J1899" s="145">
        <f t="shared" si="217"/>
        <v>40871</v>
      </c>
      <c r="K1899" s="144">
        <f t="shared" ca="1" si="221"/>
        <v>0.91737082180512974</v>
      </c>
      <c r="L1899" s="144">
        <f t="shared" ca="1" si="221"/>
        <v>0.6435354819412249</v>
      </c>
      <c r="M1899" s="144">
        <f t="shared" ca="1" si="221"/>
        <v>77.07320720855455</v>
      </c>
      <c r="N1899" s="144">
        <f t="shared" ca="1" si="221"/>
        <v>5.855828908995738</v>
      </c>
      <c r="O1899" s="144">
        <f t="shared" ca="1" si="221"/>
        <v>31.399985044492635</v>
      </c>
      <c r="P1899" s="144">
        <f t="shared" ca="1" si="221"/>
        <v>1</v>
      </c>
      <c r="Q1899" s="144">
        <f t="shared" ca="1" si="221"/>
        <v>0.74777536827936897</v>
      </c>
    </row>
    <row r="1900" spans="1:17" x14ac:dyDescent="0.25">
      <c r="A1900" s="145">
        <v>40870</v>
      </c>
      <c r="B1900" s="144">
        <v>1.3387</v>
      </c>
      <c r="C1900" s="144">
        <v>41.9465</v>
      </c>
      <c r="D1900" s="144">
        <v>7.8185000000000002</v>
      </c>
      <c r="E1900" s="144">
        <v>103.37</v>
      </c>
      <c r="F1900" s="144">
        <v>0.86029999999999995</v>
      </c>
      <c r="G1900" s="144">
        <v>1.2304999999999999</v>
      </c>
      <c r="I1900" s="144">
        <v>1</v>
      </c>
      <c r="J1900" s="145">
        <f t="shared" si="217"/>
        <v>40870</v>
      </c>
      <c r="K1900" s="144">
        <f t="shared" ca="1" si="221"/>
        <v>0.91917531933965779</v>
      </c>
      <c r="L1900" s="144">
        <f t="shared" ca="1" si="221"/>
        <v>0.64263838051841338</v>
      </c>
      <c r="M1900" s="144">
        <f t="shared" ca="1" si="221"/>
        <v>77.216702771345339</v>
      </c>
      <c r="N1900" s="144">
        <f t="shared" ca="1" si="221"/>
        <v>5.8403675207290657</v>
      </c>
      <c r="O1900" s="144">
        <f t="shared" ca="1" si="221"/>
        <v>31.333756629565997</v>
      </c>
      <c r="P1900" s="144">
        <f t="shared" ca="1" si="221"/>
        <v>1</v>
      </c>
      <c r="Q1900" s="144">
        <f t="shared" ca="1" si="221"/>
        <v>0.74699335175916937</v>
      </c>
    </row>
    <row r="1901" spans="1:17" x14ac:dyDescent="0.25">
      <c r="A1901" s="145">
        <v>40869</v>
      </c>
      <c r="B1901" s="144">
        <v>1.3534999999999999</v>
      </c>
      <c r="C1901" s="144">
        <v>41.947499999999998</v>
      </c>
      <c r="D1901" s="144">
        <v>7.8250000000000002</v>
      </c>
      <c r="E1901" s="144">
        <v>104.15</v>
      </c>
      <c r="F1901" s="144">
        <v>0.86570000000000003</v>
      </c>
      <c r="G1901" s="144">
        <v>1.2350000000000001</v>
      </c>
      <c r="I1901" s="144">
        <v>1</v>
      </c>
      <c r="J1901" s="145">
        <f t="shared" si="217"/>
        <v>40869</v>
      </c>
      <c r="K1901" s="144">
        <f t="shared" ca="1" si="221"/>
        <v>0.91244920576283717</v>
      </c>
      <c r="L1901" s="144">
        <f t="shared" ca="1" si="221"/>
        <v>0.63960103435537496</v>
      </c>
      <c r="M1901" s="144">
        <f t="shared" ca="1" si="221"/>
        <v>76.948651643886222</v>
      </c>
      <c r="N1901" s="144">
        <f t="shared" ca="1" si="221"/>
        <v>5.7813077207240493</v>
      </c>
      <c r="O1901" s="144">
        <f t="shared" ca="1" si="221"/>
        <v>30.991872922053936</v>
      </c>
      <c r="P1901" s="144">
        <f t="shared" ca="1" si="221"/>
        <v>1</v>
      </c>
      <c r="Q1901" s="144">
        <f t="shared" ca="1" si="221"/>
        <v>0.73882526782415958</v>
      </c>
    </row>
    <row r="1902" spans="1:17" x14ac:dyDescent="0.25">
      <c r="A1902" s="145">
        <v>40868</v>
      </c>
      <c r="B1902" s="144">
        <v>1.3458000000000001</v>
      </c>
      <c r="C1902" s="144">
        <v>41.8596</v>
      </c>
      <c r="D1902" s="144">
        <v>7.8404999999999996</v>
      </c>
      <c r="E1902" s="144">
        <v>103.44</v>
      </c>
      <c r="F1902" s="144">
        <v>0.86</v>
      </c>
      <c r="G1902" s="144">
        <v>1.2375</v>
      </c>
      <c r="I1902" s="144">
        <v>1</v>
      </c>
      <c r="J1902" s="145">
        <f t="shared" si="217"/>
        <v>40868</v>
      </c>
      <c r="K1902" s="144">
        <f t="shared" ca="1" si="221"/>
        <v>0.9195274186357556</v>
      </c>
      <c r="L1902" s="144">
        <f t="shared" ca="1" si="221"/>
        <v>0.63902511517313121</v>
      </c>
      <c r="M1902" s="144">
        <f t="shared" ca="1" si="221"/>
        <v>76.861346411056616</v>
      </c>
      <c r="N1902" s="144">
        <f t="shared" ca="1" si="221"/>
        <v>5.825902808738296</v>
      </c>
      <c r="O1902" s="144">
        <f t="shared" ca="1" si="221"/>
        <v>31.103878733838606</v>
      </c>
      <c r="P1902" s="144">
        <f t="shared" ca="1" si="221"/>
        <v>1</v>
      </c>
      <c r="Q1902" s="144">
        <f t="shared" ca="1" si="221"/>
        <v>0.74305245950364085</v>
      </c>
    </row>
    <row r="1903" spans="1:17" x14ac:dyDescent="0.25">
      <c r="A1903" s="145">
        <v>40867</v>
      </c>
      <c r="B1903" s="144">
        <v>1.3575999999999999</v>
      </c>
      <c r="C1903" s="144">
        <v>41.830399999999997</v>
      </c>
      <c r="D1903" s="144">
        <v>7.82</v>
      </c>
      <c r="E1903" s="144">
        <v>104.06</v>
      </c>
      <c r="F1903" s="144">
        <v>0.85804999999999998</v>
      </c>
      <c r="G1903" s="144">
        <v>1.2378</v>
      </c>
      <c r="I1903" s="144">
        <v>1</v>
      </c>
      <c r="J1903" s="145">
        <f t="shared" si="217"/>
        <v>40867</v>
      </c>
      <c r="K1903" s="144">
        <f t="shared" ca="1" si="221"/>
        <v>0.91175604007071309</v>
      </c>
      <c r="L1903" s="144">
        <f t="shared" ca="1" si="221"/>
        <v>0.6320344725987036</v>
      </c>
      <c r="M1903" s="144">
        <f t="shared" ca="1" si="221"/>
        <v>76.649970536240431</v>
      </c>
      <c r="N1903" s="144">
        <f t="shared" ca="1" si="221"/>
        <v>5.7601649970536242</v>
      </c>
      <c r="O1903" s="144">
        <f t="shared" ca="1" si="221"/>
        <v>30.812021213906895</v>
      </c>
      <c r="P1903" s="144">
        <f t="shared" ca="1" si="221"/>
        <v>1</v>
      </c>
      <c r="Q1903" s="144">
        <f t="shared" ca="1" si="221"/>
        <v>0.73659398939304654</v>
      </c>
    </row>
    <row r="1904" spans="1:17" x14ac:dyDescent="0.25">
      <c r="A1904" s="145">
        <v>40866</v>
      </c>
      <c r="B1904" s="144">
        <v>1.3575999999999999</v>
      </c>
      <c r="C1904" s="144">
        <v>41.830399999999997</v>
      </c>
      <c r="D1904" s="144">
        <v>7.82</v>
      </c>
      <c r="E1904" s="144">
        <v>104.06</v>
      </c>
      <c r="F1904" s="144">
        <v>0.85804999999999998</v>
      </c>
      <c r="G1904" s="144">
        <v>1.2378</v>
      </c>
      <c r="I1904" s="144">
        <v>1</v>
      </c>
      <c r="J1904" s="145">
        <f t="shared" si="217"/>
        <v>40866</v>
      </c>
      <c r="K1904" s="144">
        <f t="shared" ca="1" si="221"/>
        <v>0.91175604007071309</v>
      </c>
      <c r="L1904" s="144">
        <f t="shared" ca="1" si="221"/>
        <v>0.6320344725987036</v>
      </c>
      <c r="M1904" s="144">
        <f t="shared" ca="1" si="221"/>
        <v>76.649970536240431</v>
      </c>
      <c r="N1904" s="144">
        <f t="shared" ca="1" si="221"/>
        <v>5.7601649970536242</v>
      </c>
      <c r="O1904" s="144">
        <f t="shared" ca="1" si="221"/>
        <v>30.812021213906895</v>
      </c>
      <c r="P1904" s="144">
        <f t="shared" ca="1" si="221"/>
        <v>1</v>
      </c>
      <c r="Q1904" s="144">
        <f t="shared" ca="1" si="221"/>
        <v>0.73659398939304654</v>
      </c>
    </row>
    <row r="1905" spans="1:17" x14ac:dyDescent="0.25">
      <c r="A1905" s="145">
        <v>40865</v>
      </c>
      <c r="B1905" s="144">
        <v>1.3575999999999999</v>
      </c>
      <c r="C1905" s="144">
        <v>41.830399999999997</v>
      </c>
      <c r="D1905" s="144">
        <v>7.82</v>
      </c>
      <c r="E1905" s="144">
        <v>104.06</v>
      </c>
      <c r="F1905" s="144">
        <v>0.85804999999999998</v>
      </c>
      <c r="G1905" s="144">
        <v>1.2378</v>
      </c>
      <c r="I1905" s="144">
        <v>1</v>
      </c>
      <c r="J1905" s="145">
        <f t="shared" si="217"/>
        <v>40865</v>
      </c>
      <c r="K1905" s="144">
        <f t="shared" ref="K1905:Q1914" ca="1" si="222">OFFSET($A1905,0,K$3)/OFFSET($A1905,0,$P$3)</f>
        <v>0.91175604007071309</v>
      </c>
      <c r="L1905" s="144">
        <f t="shared" ca="1" si="222"/>
        <v>0.6320344725987036</v>
      </c>
      <c r="M1905" s="144">
        <f t="shared" ca="1" si="222"/>
        <v>76.649970536240431</v>
      </c>
      <c r="N1905" s="144">
        <f t="shared" ca="1" si="222"/>
        <v>5.7601649970536242</v>
      </c>
      <c r="O1905" s="144">
        <f t="shared" ca="1" si="222"/>
        <v>30.812021213906895</v>
      </c>
      <c r="P1905" s="144">
        <f t="shared" ca="1" si="222"/>
        <v>1</v>
      </c>
      <c r="Q1905" s="144">
        <f t="shared" ca="1" si="222"/>
        <v>0.73659398939304654</v>
      </c>
    </row>
    <row r="1906" spans="1:17" x14ac:dyDescent="0.25">
      <c r="A1906" s="145">
        <v>40864</v>
      </c>
      <c r="B1906" s="144">
        <v>1.3480000000000001</v>
      </c>
      <c r="C1906" s="144">
        <v>41.5989</v>
      </c>
      <c r="D1906" s="144">
        <v>7.8205</v>
      </c>
      <c r="E1906" s="144">
        <v>103.76</v>
      </c>
      <c r="F1906" s="144">
        <v>0.85399999999999998</v>
      </c>
      <c r="G1906" s="144">
        <v>1.2386999999999999</v>
      </c>
      <c r="I1906" s="144">
        <v>1</v>
      </c>
      <c r="J1906" s="145">
        <f t="shared" si="217"/>
        <v>40864</v>
      </c>
      <c r="K1906" s="144">
        <f t="shared" ca="1" si="222"/>
        <v>0.91891691394658737</v>
      </c>
      <c r="L1906" s="144">
        <f t="shared" ca="1" si="222"/>
        <v>0.63353115727002962</v>
      </c>
      <c r="M1906" s="144">
        <f t="shared" ca="1" si="222"/>
        <v>76.973293768545986</v>
      </c>
      <c r="N1906" s="144">
        <f t="shared" ca="1" si="222"/>
        <v>5.8015578635014835</v>
      </c>
      <c r="O1906" s="144">
        <f t="shared" ca="1" si="222"/>
        <v>30.859718100890206</v>
      </c>
      <c r="P1906" s="144">
        <f t="shared" ca="1" si="222"/>
        <v>1</v>
      </c>
      <c r="Q1906" s="144">
        <f t="shared" ca="1" si="222"/>
        <v>0.74183976261127593</v>
      </c>
    </row>
    <row r="1907" spans="1:17" x14ac:dyDescent="0.25">
      <c r="A1907" s="145">
        <v>40863</v>
      </c>
      <c r="B1907" s="144">
        <v>1.3484</v>
      </c>
      <c r="C1907" s="144">
        <v>41.494999999999997</v>
      </c>
      <c r="D1907" s="144">
        <v>7.7930000000000001</v>
      </c>
      <c r="E1907" s="144">
        <v>103.77</v>
      </c>
      <c r="F1907" s="144">
        <v>0.85429999999999995</v>
      </c>
      <c r="G1907" s="144">
        <v>1.2383999999999999</v>
      </c>
      <c r="I1907" s="144">
        <v>1</v>
      </c>
      <c r="J1907" s="145">
        <f t="shared" si="217"/>
        <v>40863</v>
      </c>
      <c r="K1907" s="144">
        <f t="shared" ca="1" si="222"/>
        <v>0.91842183328389193</v>
      </c>
      <c r="L1907" s="144">
        <f t="shared" ca="1" si="222"/>
        <v>0.63356570750519126</v>
      </c>
      <c r="M1907" s="144">
        <f t="shared" ca="1" si="222"/>
        <v>76.957876001186591</v>
      </c>
      <c r="N1907" s="144">
        <f t="shared" ca="1" si="222"/>
        <v>5.7794423019875403</v>
      </c>
      <c r="O1907" s="144">
        <f t="shared" ca="1" si="222"/>
        <v>30.773509344408186</v>
      </c>
      <c r="P1907" s="144">
        <f t="shared" ca="1" si="222"/>
        <v>1</v>
      </c>
      <c r="Q1907" s="144">
        <f t="shared" ca="1" si="222"/>
        <v>0.74161969741916345</v>
      </c>
    </row>
    <row r="1908" spans="1:17" x14ac:dyDescent="0.25">
      <c r="A1908" s="145">
        <v>40862</v>
      </c>
      <c r="B1908" s="144">
        <v>1.3532</v>
      </c>
      <c r="C1908" s="144">
        <v>41.555</v>
      </c>
      <c r="D1908" s="144">
        <v>7.8</v>
      </c>
      <c r="E1908" s="144">
        <v>104.16</v>
      </c>
      <c r="F1908" s="144">
        <v>0.85345000000000004</v>
      </c>
      <c r="G1908" s="144">
        <v>1.2404999999999999</v>
      </c>
      <c r="I1908" s="144">
        <v>1</v>
      </c>
      <c r="J1908" s="145">
        <f t="shared" si="217"/>
        <v>40862</v>
      </c>
      <c r="K1908" s="144">
        <f t="shared" ca="1" si="222"/>
        <v>0.91671593260419748</v>
      </c>
      <c r="L1908" s="144">
        <f t="shared" ca="1" si="222"/>
        <v>0.63069021578480644</v>
      </c>
      <c r="M1908" s="144">
        <f t="shared" ca="1" si="222"/>
        <v>76.973100798108192</v>
      </c>
      <c r="N1908" s="144">
        <f t="shared" ca="1" si="222"/>
        <v>5.7641146911025718</v>
      </c>
      <c r="O1908" s="144">
        <f t="shared" ca="1" si="222"/>
        <v>30.708690511380432</v>
      </c>
      <c r="P1908" s="144">
        <f t="shared" ca="1" si="222"/>
        <v>1</v>
      </c>
      <c r="Q1908" s="144">
        <f t="shared" ca="1" si="222"/>
        <v>0.73898906296186817</v>
      </c>
    </row>
    <row r="1909" spans="1:17" x14ac:dyDescent="0.25">
      <c r="A1909" s="145">
        <v>40861</v>
      </c>
      <c r="B1909" s="144">
        <v>1.3658999999999999</v>
      </c>
      <c r="C1909" s="144">
        <v>41.652200000000001</v>
      </c>
      <c r="D1909" s="144">
        <v>7.7539999999999996</v>
      </c>
      <c r="E1909" s="144">
        <v>105.18</v>
      </c>
      <c r="F1909" s="144">
        <v>0.85660000000000003</v>
      </c>
      <c r="G1909" s="144">
        <v>1.2367999999999999</v>
      </c>
      <c r="I1909" s="144">
        <v>1</v>
      </c>
      <c r="J1909" s="145">
        <f t="shared" si="217"/>
        <v>40861</v>
      </c>
      <c r="K1909" s="144">
        <f t="shared" ca="1" si="222"/>
        <v>0.90548356395050877</v>
      </c>
      <c r="L1909" s="144">
        <f t="shared" ca="1" si="222"/>
        <v>0.62713229372574864</v>
      </c>
      <c r="M1909" s="144">
        <f t="shared" ca="1" si="222"/>
        <v>77.004173072699331</v>
      </c>
      <c r="N1909" s="144">
        <f t="shared" ca="1" si="222"/>
        <v>5.6768431071088656</v>
      </c>
      <c r="O1909" s="144">
        <f t="shared" ca="1" si="222"/>
        <v>30.494326085364964</v>
      </c>
      <c r="P1909" s="144">
        <f t="shared" ca="1" si="222"/>
        <v>1</v>
      </c>
      <c r="Q1909" s="144">
        <f t="shared" ca="1" si="222"/>
        <v>0.73211801742440885</v>
      </c>
    </row>
    <row r="1910" spans="1:17" x14ac:dyDescent="0.25">
      <c r="A1910" s="145">
        <v>40860</v>
      </c>
      <c r="B1910" s="144">
        <v>1.365</v>
      </c>
      <c r="C1910" s="144">
        <v>41.572800000000001</v>
      </c>
      <c r="D1910" s="144">
        <v>7.7519999999999998</v>
      </c>
      <c r="E1910" s="144">
        <v>105.59</v>
      </c>
      <c r="F1910" s="144">
        <v>0.85680000000000001</v>
      </c>
      <c r="G1910" s="144">
        <v>1.236</v>
      </c>
      <c r="I1910" s="144">
        <v>1</v>
      </c>
      <c r="J1910" s="145">
        <f t="shared" si="217"/>
        <v>40860</v>
      </c>
      <c r="K1910" s="144">
        <f t="shared" ca="1" si="222"/>
        <v>0.9054945054945055</v>
      </c>
      <c r="L1910" s="144">
        <f t="shared" ca="1" si="222"/>
        <v>0.62769230769230766</v>
      </c>
      <c r="M1910" s="144">
        <f t="shared" ca="1" si="222"/>
        <v>77.355311355311358</v>
      </c>
      <c r="N1910" s="144">
        <f t="shared" ca="1" si="222"/>
        <v>5.6791208791208794</v>
      </c>
      <c r="O1910" s="144">
        <f t="shared" ca="1" si="222"/>
        <v>30.456263736263736</v>
      </c>
      <c r="P1910" s="144">
        <f t="shared" ca="1" si="222"/>
        <v>1</v>
      </c>
      <c r="Q1910" s="144">
        <f t="shared" ca="1" si="222"/>
        <v>0.73260073260073255</v>
      </c>
    </row>
    <row r="1911" spans="1:17" x14ac:dyDescent="0.25">
      <c r="A1911" s="145">
        <v>40859</v>
      </c>
      <c r="B1911" s="144">
        <v>1.365</v>
      </c>
      <c r="C1911" s="144">
        <v>41.572800000000001</v>
      </c>
      <c r="D1911" s="144">
        <v>7.7519999999999998</v>
      </c>
      <c r="E1911" s="144">
        <v>105.59</v>
      </c>
      <c r="F1911" s="144">
        <v>0.85680000000000001</v>
      </c>
      <c r="G1911" s="144">
        <v>1.236</v>
      </c>
      <c r="I1911" s="144">
        <v>1</v>
      </c>
      <c r="J1911" s="145">
        <f t="shared" si="217"/>
        <v>40859</v>
      </c>
      <c r="K1911" s="144">
        <f t="shared" ca="1" si="222"/>
        <v>0.9054945054945055</v>
      </c>
      <c r="L1911" s="144">
        <f t="shared" ca="1" si="222"/>
        <v>0.62769230769230766</v>
      </c>
      <c r="M1911" s="144">
        <f t="shared" ca="1" si="222"/>
        <v>77.355311355311358</v>
      </c>
      <c r="N1911" s="144">
        <f t="shared" ca="1" si="222"/>
        <v>5.6791208791208794</v>
      </c>
      <c r="O1911" s="144">
        <f t="shared" ca="1" si="222"/>
        <v>30.456263736263736</v>
      </c>
      <c r="P1911" s="144">
        <f t="shared" ca="1" si="222"/>
        <v>1</v>
      </c>
      <c r="Q1911" s="144">
        <f t="shared" ca="1" si="222"/>
        <v>0.73260073260073255</v>
      </c>
    </row>
    <row r="1912" spans="1:17" x14ac:dyDescent="0.25">
      <c r="A1912" s="145">
        <v>40858</v>
      </c>
      <c r="B1912" s="144">
        <v>1.365</v>
      </c>
      <c r="C1912" s="144">
        <v>41.572800000000001</v>
      </c>
      <c r="D1912" s="144">
        <v>7.7519999999999998</v>
      </c>
      <c r="E1912" s="144">
        <v>105.59</v>
      </c>
      <c r="F1912" s="144">
        <v>0.85680000000000001</v>
      </c>
      <c r="G1912" s="144">
        <v>1.236</v>
      </c>
      <c r="I1912" s="144">
        <v>1</v>
      </c>
      <c r="J1912" s="145">
        <f t="shared" si="217"/>
        <v>40858</v>
      </c>
      <c r="K1912" s="144">
        <f t="shared" ca="1" si="222"/>
        <v>0.9054945054945055</v>
      </c>
      <c r="L1912" s="144">
        <f t="shared" ca="1" si="222"/>
        <v>0.62769230769230766</v>
      </c>
      <c r="M1912" s="144">
        <f t="shared" ca="1" si="222"/>
        <v>77.355311355311358</v>
      </c>
      <c r="N1912" s="144">
        <f t="shared" ca="1" si="222"/>
        <v>5.6791208791208794</v>
      </c>
      <c r="O1912" s="144">
        <f t="shared" ca="1" si="222"/>
        <v>30.456263736263736</v>
      </c>
      <c r="P1912" s="144">
        <f t="shared" ca="1" si="222"/>
        <v>1</v>
      </c>
      <c r="Q1912" s="144">
        <f t="shared" ca="1" si="222"/>
        <v>0.73260073260073255</v>
      </c>
    </row>
    <row r="1913" spans="1:17" x14ac:dyDescent="0.25">
      <c r="A1913" s="145">
        <v>40857</v>
      </c>
      <c r="B1913" s="144">
        <v>1.3615999999999999</v>
      </c>
      <c r="C1913" s="144">
        <v>41.5</v>
      </c>
      <c r="D1913" s="144">
        <v>7.742</v>
      </c>
      <c r="E1913" s="144">
        <v>105.66</v>
      </c>
      <c r="F1913" s="144">
        <v>0.85335000000000005</v>
      </c>
      <c r="G1913" s="144">
        <v>1.2315</v>
      </c>
      <c r="I1913" s="144">
        <v>1</v>
      </c>
      <c r="J1913" s="145">
        <f t="shared" si="217"/>
        <v>40857</v>
      </c>
      <c r="K1913" s="144">
        <f t="shared" ca="1" si="222"/>
        <v>0.90445064629847249</v>
      </c>
      <c r="L1913" s="144">
        <f t="shared" ca="1" si="222"/>
        <v>0.62672591069330208</v>
      </c>
      <c r="M1913" s="144">
        <f t="shared" ca="1" si="222"/>
        <v>77.599882491186847</v>
      </c>
      <c r="N1913" s="144">
        <f t="shared" ca="1" si="222"/>
        <v>5.6859576968272627</v>
      </c>
      <c r="O1913" s="144">
        <f t="shared" ca="1" si="222"/>
        <v>30.478848413631024</v>
      </c>
      <c r="P1913" s="144">
        <f t="shared" ca="1" si="222"/>
        <v>1</v>
      </c>
      <c r="Q1913" s="144">
        <f t="shared" ca="1" si="222"/>
        <v>0.73443008225616924</v>
      </c>
    </row>
    <row r="1914" spans="1:17" x14ac:dyDescent="0.25">
      <c r="A1914" s="145">
        <v>40856</v>
      </c>
      <c r="B1914" s="144">
        <v>1.3633</v>
      </c>
      <c r="C1914" s="144">
        <v>41.561999999999998</v>
      </c>
      <c r="D1914" s="144">
        <v>7.7645</v>
      </c>
      <c r="E1914" s="144">
        <v>105.96</v>
      </c>
      <c r="F1914" s="144">
        <v>0.85385</v>
      </c>
      <c r="G1914" s="144">
        <v>1.2322</v>
      </c>
      <c r="I1914" s="144">
        <v>1</v>
      </c>
      <c r="J1914" s="145">
        <f t="shared" si="217"/>
        <v>40856</v>
      </c>
      <c r="K1914" s="144">
        <f t="shared" ca="1" si="222"/>
        <v>0.9038362796156385</v>
      </c>
      <c r="L1914" s="144">
        <f t="shared" ca="1" si="222"/>
        <v>0.62631115675199889</v>
      </c>
      <c r="M1914" s="144">
        <f t="shared" ca="1" si="222"/>
        <v>77.723171715689872</v>
      </c>
      <c r="N1914" s="144">
        <f t="shared" ca="1" si="222"/>
        <v>5.6953715249761609</v>
      </c>
      <c r="O1914" s="144">
        <f t="shared" ca="1" si="222"/>
        <v>30.4863199589232</v>
      </c>
      <c r="P1914" s="144">
        <f t="shared" ca="1" si="222"/>
        <v>1</v>
      </c>
      <c r="Q1914" s="144">
        <f t="shared" ca="1" si="222"/>
        <v>0.73351426685249033</v>
      </c>
    </row>
    <row r="1915" spans="1:17" x14ac:dyDescent="0.25">
      <c r="A1915" s="145">
        <v>40855</v>
      </c>
      <c r="B1915" s="144">
        <v>1.3788</v>
      </c>
      <c r="C1915" s="144">
        <v>41.646799999999999</v>
      </c>
      <c r="D1915" s="144">
        <v>7.7249999999999996</v>
      </c>
      <c r="E1915" s="144">
        <v>107.51</v>
      </c>
      <c r="F1915" s="144">
        <v>0.85804999999999998</v>
      </c>
      <c r="G1915" s="144">
        <v>1.2382</v>
      </c>
      <c r="I1915" s="144">
        <v>1</v>
      </c>
      <c r="J1915" s="145">
        <f t="shared" si="217"/>
        <v>40855</v>
      </c>
      <c r="K1915" s="144">
        <f t="shared" ref="K1915:Q1924" ca="1" si="223">OFFSET($A1915,0,K$3)/OFFSET($A1915,0,$P$3)</f>
        <v>0.89802727008993322</v>
      </c>
      <c r="L1915" s="144">
        <f t="shared" ca="1" si="223"/>
        <v>0.62231650710762976</v>
      </c>
      <c r="M1915" s="144">
        <f t="shared" ca="1" si="223"/>
        <v>77.973600232085872</v>
      </c>
      <c r="N1915" s="144">
        <f t="shared" ca="1" si="223"/>
        <v>5.6026979982593552</v>
      </c>
      <c r="O1915" s="144">
        <f t="shared" ca="1" si="223"/>
        <v>30.205105889178995</v>
      </c>
      <c r="P1915" s="144">
        <f t="shared" ca="1" si="223"/>
        <v>1</v>
      </c>
      <c r="Q1915" s="144">
        <f t="shared" ca="1" si="223"/>
        <v>0.725268349289237</v>
      </c>
    </row>
    <row r="1916" spans="1:17" x14ac:dyDescent="0.25">
      <c r="A1916" s="145">
        <v>40854</v>
      </c>
      <c r="B1916" s="144">
        <v>1.3742000000000001</v>
      </c>
      <c r="C1916" s="144">
        <v>42.078899999999997</v>
      </c>
      <c r="D1916" s="144">
        <v>7.7474999999999996</v>
      </c>
      <c r="E1916" s="144">
        <v>107.3</v>
      </c>
      <c r="F1916" s="144">
        <v>0.85655000000000003</v>
      </c>
      <c r="G1916" s="144">
        <v>1.2342</v>
      </c>
      <c r="I1916" s="144">
        <v>1</v>
      </c>
      <c r="J1916" s="145">
        <f t="shared" si="217"/>
        <v>40854</v>
      </c>
      <c r="K1916" s="144">
        <f t="shared" ca="1" si="223"/>
        <v>0.89812254402561487</v>
      </c>
      <c r="L1916" s="144">
        <f t="shared" ca="1" si="223"/>
        <v>0.62330810653471114</v>
      </c>
      <c r="M1916" s="144">
        <f t="shared" ca="1" si="223"/>
        <v>78.081793043225147</v>
      </c>
      <c r="N1916" s="144">
        <f t="shared" ca="1" si="223"/>
        <v>5.6378256440110599</v>
      </c>
      <c r="O1916" s="144">
        <f t="shared" ca="1" si="223"/>
        <v>30.620652015718232</v>
      </c>
      <c r="P1916" s="144">
        <f t="shared" ca="1" si="223"/>
        <v>1</v>
      </c>
      <c r="Q1916" s="144">
        <f t="shared" ca="1" si="223"/>
        <v>0.72769611410275059</v>
      </c>
    </row>
    <row r="1917" spans="1:17" x14ac:dyDescent="0.25">
      <c r="A1917" s="145">
        <v>40853</v>
      </c>
      <c r="B1917" s="144">
        <v>1.3773</v>
      </c>
      <c r="C1917" s="144">
        <v>42.112000000000002</v>
      </c>
      <c r="D1917" s="144">
        <v>7.7640000000000002</v>
      </c>
      <c r="E1917" s="144">
        <v>107.55</v>
      </c>
      <c r="F1917" s="144">
        <v>0.86124999999999996</v>
      </c>
      <c r="G1917" s="144">
        <v>1.2217</v>
      </c>
      <c r="I1917" s="144">
        <v>1</v>
      </c>
      <c r="J1917" s="145">
        <f t="shared" si="217"/>
        <v>40853</v>
      </c>
      <c r="K1917" s="144">
        <f t="shared" ca="1" si="223"/>
        <v>0.8870253394322225</v>
      </c>
      <c r="L1917" s="144">
        <f t="shared" ca="1" si="223"/>
        <v>0.62531765047556809</v>
      </c>
      <c r="M1917" s="144">
        <f t="shared" ca="1" si="223"/>
        <v>78.087562622522327</v>
      </c>
      <c r="N1917" s="144">
        <f t="shared" ca="1" si="223"/>
        <v>5.6371160967109564</v>
      </c>
      <c r="O1917" s="144">
        <f t="shared" ca="1" si="223"/>
        <v>30.575764176286942</v>
      </c>
      <c r="P1917" s="144">
        <f t="shared" ca="1" si="223"/>
        <v>1</v>
      </c>
      <c r="Q1917" s="144">
        <f t="shared" ca="1" si="223"/>
        <v>0.72605822987003554</v>
      </c>
    </row>
    <row r="1918" spans="1:17" x14ac:dyDescent="0.25">
      <c r="A1918" s="145">
        <v>40852</v>
      </c>
      <c r="B1918" s="144">
        <v>1.3773</v>
      </c>
      <c r="C1918" s="144">
        <v>42.112000000000002</v>
      </c>
      <c r="D1918" s="144">
        <v>7.7640000000000002</v>
      </c>
      <c r="E1918" s="144">
        <v>107.55</v>
      </c>
      <c r="F1918" s="144">
        <v>0.86124999999999996</v>
      </c>
      <c r="G1918" s="144">
        <v>1.2217</v>
      </c>
      <c r="I1918" s="144">
        <v>1</v>
      </c>
      <c r="J1918" s="145">
        <f t="shared" si="217"/>
        <v>40852</v>
      </c>
      <c r="K1918" s="144">
        <f t="shared" ca="1" si="223"/>
        <v>0.8870253394322225</v>
      </c>
      <c r="L1918" s="144">
        <f t="shared" ca="1" si="223"/>
        <v>0.62531765047556809</v>
      </c>
      <c r="M1918" s="144">
        <f t="shared" ca="1" si="223"/>
        <v>78.087562622522327</v>
      </c>
      <c r="N1918" s="144">
        <f t="shared" ca="1" si="223"/>
        <v>5.6371160967109564</v>
      </c>
      <c r="O1918" s="144">
        <f t="shared" ca="1" si="223"/>
        <v>30.575764176286942</v>
      </c>
      <c r="P1918" s="144">
        <f t="shared" ca="1" si="223"/>
        <v>1</v>
      </c>
      <c r="Q1918" s="144">
        <f t="shared" ca="1" si="223"/>
        <v>0.72605822987003554</v>
      </c>
    </row>
    <row r="1919" spans="1:17" x14ac:dyDescent="0.25">
      <c r="A1919" s="145">
        <v>40851</v>
      </c>
      <c r="B1919" s="144">
        <v>1.3773</v>
      </c>
      <c r="C1919" s="144">
        <v>42.112000000000002</v>
      </c>
      <c r="D1919" s="144">
        <v>7.7640000000000002</v>
      </c>
      <c r="E1919" s="144">
        <v>107.55</v>
      </c>
      <c r="F1919" s="144">
        <v>0.86124999999999996</v>
      </c>
      <c r="G1919" s="144">
        <v>1.2217</v>
      </c>
      <c r="I1919" s="144">
        <v>1</v>
      </c>
      <c r="J1919" s="145">
        <f t="shared" si="217"/>
        <v>40851</v>
      </c>
      <c r="K1919" s="144">
        <f t="shared" ca="1" si="223"/>
        <v>0.8870253394322225</v>
      </c>
      <c r="L1919" s="144">
        <f t="shared" ca="1" si="223"/>
        <v>0.62531765047556809</v>
      </c>
      <c r="M1919" s="144">
        <f t="shared" ca="1" si="223"/>
        <v>78.087562622522327</v>
      </c>
      <c r="N1919" s="144">
        <f t="shared" ca="1" si="223"/>
        <v>5.6371160967109564</v>
      </c>
      <c r="O1919" s="144">
        <f t="shared" ca="1" si="223"/>
        <v>30.575764176286942</v>
      </c>
      <c r="P1919" s="144">
        <f t="shared" ca="1" si="223"/>
        <v>1</v>
      </c>
      <c r="Q1919" s="144">
        <f t="shared" ca="1" si="223"/>
        <v>0.72605822987003554</v>
      </c>
    </row>
    <row r="1920" spans="1:17" x14ac:dyDescent="0.25">
      <c r="A1920" s="145">
        <v>40850</v>
      </c>
      <c r="B1920" s="144">
        <v>1.3773</v>
      </c>
      <c r="C1920" s="144">
        <v>42.152500000000003</v>
      </c>
      <c r="D1920" s="144">
        <v>7.7210000000000001</v>
      </c>
      <c r="E1920" s="144">
        <v>107.33</v>
      </c>
      <c r="F1920" s="144">
        <v>0.85929999999999995</v>
      </c>
      <c r="G1920" s="144">
        <v>1.2156</v>
      </c>
      <c r="I1920" s="144">
        <v>1</v>
      </c>
      <c r="J1920" s="145">
        <f t="shared" si="217"/>
        <v>40850</v>
      </c>
      <c r="K1920" s="144">
        <f t="shared" ca="1" si="223"/>
        <v>0.8825963842300153</v>
      </c>
      <c r="L1920" s="144">
        <f t="shared" ca="1" si="223"/>
        <v>0.6239018369273216</v>
      </c>
      <c r="M1920" s="144">
        <f t="shared" ca="1" si="223"/>
        <v>77.927829811950915</v>
      </c>
      <c r="N1920" s="144">
        <f t="shared" ca="1" si="223"/>
        <v>5.6058955928265446</v>
      </c>
      <c r="O1920" s="144">
        <f t="shared" ca="1" si="223"/>
        <v>30.605169534596676</v>
      </c>
      <c r="P1920" s="144">
        <f t="shared" ca="1" si="223"/>
        <v>1</v>
      </c>
      <c r="Q1920" s="144">
        <f t="shared" ca="1" si="223"/>
        <v>0.72605822987003554</v>
      </c>
    </row>
    <row r="1921" spans="1:17" x14ac:dyDescent="0.25">
      <c r="A1921" s="145">
        <v>40849</v>
      </c>
      <c r="B1921" s="144">
        <v>1.3809</v>
      </c>
      <c r="C1921" s="144">
        <v>42.134999999999998</v>
      </c>
      <c r="D1921" s="144">
        <v>7.7584999999999997</v>
      </c>
      <c r="E1921" s="144">
        <v>107.78</v>
      </c>
      <c r="F1921" s="144">
        <v>0.8619</v>
      </c>
      <c r="G1921" s="144">
        <v>1.2165999999999999</v>
      </c>
      <c r="I1921" s="144">
        <v>1</v>
      </c>
      <c r="J1921" s="145">
        <f t="shared" si="217"/>
        <v>40849</v>
      </c>
      <c r="K1921" s="144">
        <f t="shared" ca="1" si="223"/>
        <v>0.88101962488232299</v>
      </c>
      <c r="L1921" s="144">
        <f t="shared" ca="1" si="223"/>
        <v>0.62415815772322403</v>
      </c>
      <c r="M1921" s="144">
        <f t="shared" ca="1" si="223"/>
        <v>78.050546744876527</v>
      </c>
      <c r="N1921" s="144">
        <f t="shared" ca="1" si="223"/>
        <v>5.6184372510681433</v>
      </c>
      <c r="O1921" s="144">
        <f t="shared" ca="1" si="223"/>
        <v>30.512709102759068</v>
      </c>
      <c r="P1921" s="144">
        <f t="shared" ca="1" si="223"/>
        <v>1</v>
      </c>
      <c r="Q1921" s="144">
        <f t="shared" ca="1" si="223"/>
        <v>0.7241653993772178</v>
      </c>
    </row>
    <row r="1922" spans="1:17" x14ac:dyDescent="0.25">
      <c r="A1922" s="145">
        <v>40848</v>
      </c>
      <c r="B1922" s="144">
        <v>1.3627</v>
      </c>
      <c r="C1922" s="144">
        <v>42.14</v>
      </c>
      <c r="D1922" s="144">
        <v>7.758</v>
      </c>
      <c r="E1922" s="144">
        <v>106.58</v>
      </c>
      <c r="F1922" s="144">
        <v>0.85514999999999997</v>
      </c>
      <c r="G1922" s="144">
        <v>1.2174</v>
      </c>
      <c r="I1922" s="144">
        <v>1</v>
      </c>
      <c r="J1922" s="145">
        <f t="shared" si="217"/>
        <v>40848</v>
      </c>
      <c r="K1922" s="144">
        <f t="shared" ca="1" si="223"/>
        <v>0.89337344976884125</v>
      </c>
      <c r="L1922" s="144">
        <f t="shared" ca="1" si="223"/>
        <v>0.62754091142584567</v>
      </c>
      <c r="M1922" s="144">
        <f t="shared" ca="1" si="223"/>
        <v>78.212372495780428</v>
      </c>
      <c r="N1922" s="144">
        <f t="shared" ca="1" si="223"/>
        <v>5.6931092683642763</v>
      </c>
      <c r="O1922" s="144">
        <f t="shared" ca="1" si="223"/>
        <v>30.923901078740734</v>
      </c>
      <c r="P1922" s="144">
        <f t="shared" ca="1" si="223"/>
        <v>1</v>
      </c>
      <c r="Q1922" s="144">
        <f t="shared" ca="1" si="223"/>
        <v>0.73383723490129893</v>
      </c>
    </row>
    <row r="1923" spans="1:17" x14ac:dyDescent="0.25">
      <c r="A1923" s="145">
        <v>40847</v>
      </c>
      <c r="B1923" s="144">
        <v>1.4000999999999999</v>
      </c>
      <c r="C1923" s="144">
        <v>42.1935</v>
      </c>
      <c r="D1923" s="144">
        <v>7.7015000000000002</v>
      </c>
      <c r="E1923" s="144">
        <v>109.22</v>
      </c>
      <c r="F1923" s="144">
        <v>0.87309999999999999</v>
      </c>
      <c r="G1923" s="144">
        <v>1.2191000000000001</v>
      </c>
      <c r="I1923" s="144">
        <v>1</v>
      </c>
      <c r="J1923" s="145">
        <f t="shared" si="217"/>
        <v>40847</v>
      </c>
      <c r="K1923" s="144">
        <f t="shared" ca="1" si="223"/>
        <v>0.87072351974858953</v>
      </c>
      <c r="L1923" s="144">
        <f t="shared" ca="1" si="223"/>
        <v>0.62359831440611391</v>
      </c>
      <c r="M1923" s="144">
        <f t="shared" ca="1" si="223"/>
        <v>78.008713663309763</v>
      </c>
      <c r="N1923" s="144">
        <f t="shared" ca="1" si="223"/>
        <v>5.5006785229626463</v>
      </c>
      <c r="O1923" s="144">
        <f t="shared" ca="1" si="223"/>
        <v>30.136061709877868</v>
      </c>
      <c r="P1923" s="144">
        <f t="shared" ca="1" si="223"/>
        <v>1</v>
      </c>
      <c r="Q1923" s="144">
        <f t="shared" ca="1" si="223"/>
        <v>0.71423469752160562</v>
      </c>
    </row>
    <row r="1924" spans="1:17" x14ac:dyDescent="0.25">
      <c r="A1924" s="145">
        <v>40846</v>
      </c>
      <c r="B1924" s="144">
        <v>1.4159999999999999</v>
      </c>
      <c r="C1924" s="144">
        <v>42.284999999999997</v>
      </c>
      <c r="D1924" s="144">
        <v>7.6725000000000003</v>
      </c>
      <c r="E1924" s="144">
        <v>107.29</v>
      </c>
      <c r="F1924" s="144">
        <v>0.87934999999999997</v>
      </c>
      <c r="G1924" s="144">
        <v>1.2211000000000001</v>
      </c>
      <c r="I1924" s="144">
        <v>1</v>
      </c>
      <c r="J1924" s="145">
        <f t="shared" si="217"/>
        <v>40846</v>
      </c>
      <c r="K1924" s="144">
        <f t="shared" ca="1" si="223"/>
        <v>0.86235875706214704</v>
      </c>
      <c r="L1924" s="144">
        <f t="shared" ca="1" si="223"/>
        <v>0.62100988700564974</v>
      </c>
      <c r="M1924" s="144">
        <f t="shared" ca="1" si="223"/>
        <v>75.769774011299447</v>
      </c>
      <c r="N1924" s="144">
        <f t="shared" ca="1" si="223"/>
        <v>5.4184322033898313</v>
      </c>
      <c r="O1924" s="144">
        <f t="shared" ca="1" si="223"/>
        <v>29.862288135593218</v>
      </c>
      <c r="P1924" s="144">
        <f t="shared" ca="1" si="223"/>
        <v>1</v>
      </c>
      <c r="Q1924" s="144">
        <f t="shared" ca="1" si="223"/>
        <v>0.70621468926553677</v>
      </c>
    </row>
    <row r="1925" spans="1:17" x14ac:dyDescent="0.25">
      <c r="A1925" s="145">
        <v>40845</v>
      </c>
      <c r="B1925" s="144">
        <v>1.4159999999999999</v>
      </c>
      <c r="C1925" s="144">
        <v>42.284999999999997</v>
      </c>
      <c r="D1925" s="144">
        <v>7.6725000000000003</v>
      </c>
      <c r="E1925" s="144">
        <v>107.29</v>
      </c>
      <c r="F1925" s="144">
        <v>0.87934999999999997</v>
      </c>
      <c r="G1925" s="144">
        <v>1.2211000000000001</v>
      </c>
      <c r="I1925" s="144">
        <v>1</v>
      </c>
      <c r="J1925" s="145">
        <f t="shared" ref="J1925:J1988" si="224">A1925</f>
        <v>40845</v>
      </c>
      <c r="K1925" s="144">
        <f t="shared" ref="K1925:Q1934" ca="1" si="225">OFFSET($A1925,0,K$3)/OFFSET($A1925,0,$P$3)</f>
        <v>0.86235875706214704</v>
      </c>
      <c r="L1925" s="144">
        <f t="shared" ca="1" si="225"/>
        <v>0.62100988700564974</v>
      </c>
      <c r="M1925" s="144">
        <f t="shared" ca="1" si="225"/>
        <v>75.769774011299447</v>
      </c>
      <c r="N1925" s="144">
        <f t="shared" ca="1" si="225"/>
        <v>5.4184322033898313</v>
      </c>
      <c r="O1925" s="144">
        <f t="shared" ca="1" si="225"/>
        <v>29.862288135593218</v>
      </c>
      <c r="P1925" s="144">
        <f t="shared" ca="1" si="225"/>
        <v>1</v>
      </c>
      <c r="Q1925" s="144">
        <f t="shared" ca="1" si="225"/>
        <v>0.70621468926553677</v>
      </c>
    </row>
    <row r="1926" spans="1:17" x14ac:dyDescent="0.25">
      <c r="A1926" s="145">
        <v>40844</v>
      </c>
      <c r="B1926" s="144">
        <v>1.4159999999999999</v>
      </c>
      <c r="C1926" s="144">
        <v>42.284999999999997</v>
      </c>
      <c r="D1926" s="144">
        <v>7.6725000000000003</v>
      </c>
      <c r="E1926" s="144">
        <v>107.29</v>
      </c>
      <c r="F1926" s="144">
        <v>0.87934999999999997</v>
      </c>
      <c r="G1926" s="144">
        <v>1.2211000000000001</v>
      </c>
      <c r="I1926" s="144">
        <v>1</v>
      </c>
      <c r="J1926" s="145">
        <f t="shared" si="224"/>
        <v>40844</v>
      </c>
      <c r="K1926" s="144">
        <f t="shared" ca="1" si="225"/>
        <v>0.86235875706214704</v>
      </c>
      <c r="L1926" s="144">
        <f t="shared" ca="1" si="225"/>
        <v>0.62100988700564974</v>
      </c>
      <c r="M1926" s="144">
        <f t="shared" ca="1" si="225"/>
        <v>75.769774011299447</v>
      </c>
      <c r="N1926" s="144">
        <f t="shared" ca="1" si="225"/>
        <v>5.4184322033898313</v>
      </c>
      <c r="O1926" s="144">
        <f t="shared" ca="1" si="225"/>
        <v>29.862288135593218</v>
      </c>
      <c r="P1926" s="144">
        <f t="shared" ca="1" si="225"/>
        <v>1</v>
      </c>
      <c r="Q1926" s="144">
        <f t="shared" ca="1" si="225"/>
        <v>0.70621468926553677</v>
      </c>
    </row>
    <row r="1927" spans="1:17" x14ac:dyDescent="0.25">
      <c r="A1927" s="145">
        <v>40843</v>
      </c>
      <c r="B1927" s="144">
        <v>1.4037999999999999</v>
      </c>
      <c r="C1927" s="144">
        <v>42.312800000000003</v>
      </c>
      <c r="D1927" s="144">
        <v>7.6559999999999997</v>
      </c>
      <c r="E1927" s="144">
        <v>106.39</v>
      </c>
      <c r="F1927" s="144">
        <v>0.87629999999999997</v>
      </c>
      <c r="G1927" s="144">
        <v>1.2213000000000001</v>
      </c>
      <c r="I1927" s="144">
        <v>1</v>
      </c>
      <c r="J1927" s="145">
        <f t="shared" si="224"/>
        <v>40843</v>
      </c>
      <c r="K1927" s="144">
        <f t="shared" ca="1" si="225"/>
        <v>0.86999572588687857</v>
      </c>
      <c r="L1927" s="144">
        <f t="shared" ca="1" si="225"/>
        <v>0.62423422139905971</v>
      </c>
      <c r="M1927" s="144">
        <f t="shared" ca="1" si="225"/>
        <v>75.787149166547948</v>
      </c>
      <c r="N1927" s="144">
        <f t="shared" ca="1" si="225"/>
        <v>5.4537683430688135</v>
      </c>
      <c r="O1927" s="144">
        <f t="shared" ca="1" si="225"/>
        <v>30.141615614759942</v>
      </c>
      <c r="P1927" s="144">
        <f t="shared" ca="1" si="225"/>
        <v>1</v>
      </c>
      <c r="Q1927" s="144">
        <f t="shared" ca="1" si="225"/>
        <v>0.71235218692121383</v>
      </c>
    </row>
    <row r="1928" spans="1:17" x14ac:dyDescent="0.25">
      <c r="A1928" s="145">
        <v>40842</v>
      </c>
      <c r="B1928" s="144">
        <v>1.3927</v>
      </c>
      <c r="C1928" s="144">
        <v>42.575000000000003</v>
      </c>
      <c r="D1928" s="144">
        <v>7.68</v>
      </c>
      <c r="E1928" s="144">
        <v>105.67</v>
      </c>
      <c r="F1928" s="144">
        <v>0.87190000000000001</v>
      </c>
      <c r="G1928" s="144">
        <v>1.2193000000000001</v>
      </c>
      <c r="I1928" s="144">
        <v>1</v>
      </c>
      <c r="J1928" s="145">
        <f t="shared" si="224"/>
        <v>40842</v>
      </c>
      <c r="K1928" s="144">
        <f t="shared" ca="1" si="225"/>
        <v>0.8754936454369211</v>
      </c>
      <c r="L1928" s="144">
        <f t="shared" ca="1" si="225"/>
        <v>0.62605011847490488</v>
      </c>
      <c r="M1928" s="144">
        <f t="shared" ca="1" si="225"/>
        <v>75.874201191929345</v>
      </c>
      <c r="N1928" s="144">
        <f t="shared" ca="1" si="225"/>
        <v>5.5144682989875777</v>
      </c>
      <c r="O1928" s="144">
        <f t="shared" ca="1" si="225"/>
        <v>30.570115602785958</v>
      </c>
      <c r="P1928" s="144">
        <f t="shared" ca="1" si="225"/>
        <v>1</v>
      </c>
      <c r="Q1928" s="144">
        <f t="shared" ca="1" si="225"/>
        <v>0.7180297264306742</v>
      </c>
    </row>
    <row r="1929" spans="1:17" x14ac:dyDescent="0.25">
      <c r="A1929" s="145">
        <v>40841</v>
      </c>
      <c r="B1929" s="144">
        <v>1.3917999999999999</v>
      </c>
      <c r="C1929" s="144">
        <v>42.421500000000002</v>
      </c>
      <c r="D1929" s="144">
        <v>7.6855000000000002</v>
      </c>
      <c r="E1929" s="144">
        <v>105.98</v>
      </c>
      <c r="F1929" s="144">
        <v>0.87009999999999998</v>
      </c>
      <c r="G1929" s="144">
        <v>1.2253000000000001</v>
      </c>
      <c r="I1929" s="144">
        <v>1</v>
      </c>
      <c r="J1929" s="145">
        <f t="shared" si="224"/>
        <v>40841</v>
      </c>
      <c r="K1929" s="144">
        <f t="shared" ca="1" si="225"/>
        <v>0.88037074292283379</v>
      </c>
      <c r="L1929" s="144">
        <f t="shared" ca="1" si="225"/>
        <v>0.62516166115821237</v>
      </c>
      <c r="M1929" s="144">
        <f t="shared" ca="1" si="225"/>
        <v>76.145997988216706</v>
      </c>
      <c r="N1929" s="144">
        <f t="shared" ca="1" si="225"/>
        <v>5.5219859175168855</v>
      </c>
      <c r="O1929" s="144">
        <f t="shared" ca="1" si="225"/>
        <v>30.479594769363416</v>
      </c>
      <c r="P1929" s="144">
        <f t="shared" ca="1" si="225"/>
        <v>1</v>
      </c>
      <c r="Q1929" s="144">
        <f t="shared" ca="1" si="225"/>
        <v>0.71849403649949706</v>
      </c>
    </row>
    <row r="1930" spans="1:17" x14ac:dyDescent="0.25">
      <c r="A1930" s="145">
        <v>40840</v>
      </c>
      <c r="B1930" s="144">
        <v>1.3855999999999999</v>
      </c>
      <c r="C1930" s="144">
        <v>42.720500000000001</v>
      </c>
      <c r="D1930" s="144">
        <v>7.6914999999999996</v>
      </c>
      <c r="E1930" s="144">
        <v>105.45</v>
      </c>
      <c r="F1930" s="144">
        <v>0.86909999999999998</v>
      </c>
      <c r="G1930" s="144">
        <v>1.228</v>
      </c>
      <c r="I1930" s="144">
        <v>1</v>
      </c>
      <c r="J1930" s="145">
        <f t="shared" si="224"/>
        <v>40840</v>
      </c>
      <c r="K1930" s="144">
        <f t="shared" ca="1" si="225"/>
        <v>0.88625866050808322</v>
      </c>
      <c r="L1930" s="144">
        <f t="shared" ca="1" si="225"/>
        <v>0.62723729792147809</v>
      </c>
      <c r="M1930" s="144">
        <f t="shared" ca="1" si="225"/>
        <v>76.104214780600472</v>
      </c>
      <c r="N1930" s="144">
        <f t="shared" ca="1" si="225"/>
        <v>5.5510248267898383</v>
      </c>
      <c r="O1930" s="144">
        <f t="shared" ca="1" si="225"/>
        <v>30.831769630484992</v>
      </c>
      <c r="P1930" s="144">
        <f t="shared" ca="1" si="225"/>
        <v>1</v>
      </c>
      <c r="Q1930" s="144">
        <f t="shared" ca="1" si="225"/>
        <v>0.72170900692840645</v>
      </c>
    </row>
    <row r="1931" spans="1:17" x14ac:dyDescent="0.25">
      <c r="A1931" s="145">
        <v>40839</v>
      </c>
      <c r="B1931" s="144">
        <v>1.3797999999999999</v>
      </c>
      <c r="C1931" s="144">
        <v>43.024999999999999</v>
      </c>
      <c r="D1931" s="144">
        <v>7.7060000000000004</v>
      </c>
      <c r="E1931" s="144">
        <v>105.82</v>
      </c>
      <c r="F1931" s="144">
        <v>0.86775000000000002</v>
      </c>
      <c r="G1931" s="144">
        <v>1.2306999999999999</v>
      </c>
      <c r="I1931" s="144">
        <v>1</v>
      </c>
      <c r="J1931" s="145">
        <f t="shared" si="224"/>
        <v>40839</v>
      </c>
      <c r="K1931" s="144">
        <f t="shared" ca="1" si="225"/>
        <v>0.891940860994347</v>
      </c>
      <c r="L1931" s="144">
        <f t="shared" ca="1" si="225"/>
        <v>0.62889549210030449</v>
      </c>
      <c r="M1931" s="144">
        <f t="shared" ca="1" si="225"/>
        <v>76.692274242643862</v>
      </c>
      <c r="N1931" s="144">
        <f t="shared" ca="1" si="225"/>
        <v>5.5848673720829112</v>
      </c>
      <c r="O1931" s="144">
        <f t="shared" ca="1" si="225"/>
        <v>31.18205537034353</v>
      </c>
      <c r="P1931" s="144">
        <f t="shared" ca="1" si="225"/>
        <v>1</v>
      </c>
      <c r="Q1931" s="144">
        <f t="shared" ca="1" si="225"/>
        <v>0.72474271633570087</v>
      </c>
    </row>
    <row r="1932" spans="1:17" x14ac:dyDescent="0.25">
      <c r="A1932" s="145">
        <v>40838</v>
      </c>
      <c r="B1932" s="144">
        <v>1.3797999999999999</v>
      </c>
      <c r="C1932" s="144">
        <v>43.024999999999999</v>
      </c>
      <c r="D1932" s="144">
        <v>7.7060000000000004</v>
      </c>
      <c r="E1932" s="144">
        <v>105.82</v>
      </c>
      <c r="F1932" s="144">
        <v>0.86775000000000002</v>
      </c>
      <c r="G1932" s="144">
        <v>1.2306999999999999</v>
      </c>
      <c r="I1932" s="144">
        <v>1</v>
      </c>
      <c r="J1932" s="145">
        <f t="shared" si="224"/>
        <v>40838</v>
      </c>
      <c r="K1932" s="144">
        <f t="shared" ca="1" si="225"/>
        <v>0.891940860994347</v>
      </c>
      <c r="L1932" s="144">
        <f t="shared" ca="1" si="225"/>
        <v>0.62889549210030449</v>
      </c>
      <c r="M1932" s="144">
        <f t="shared" ca="1" si="225"/>
        <v>76.692274242643862</v>
      </c>
      <c r="N1932" s="144">
        <f t="shared" ca="1" si="225"/>
        <v>5.5848673720829112</v>
      </c>
      <c r="O1932" s="144">
        <f t="shared" ca="1" si="225"/>
        <v>31.18205537034353</v>
      </c>
      <c r="P1932" s="144">
        <f t="shared" ca="1" si="225"/>
        <v>1</v>
      </c>
      <c r="Q1932" s="144">
        <f t="shared" ca="1" si="225"/>
        <v>0.72474271633570087</v>
      </c>
    </row>
    <row r="1933" spans="1:17" x14ac:dyDescent="0.25">
      <c r="A1933" s="145">
        <v>40837</v>
      </c>
      <c r="B1933" s="144">
        <v>1.3797999999999999</v>
      </c>
      <c r="C1933" s="144">
        <v>43.024999999999999</v>
      </c>
      <c r="D1933" s="144">
        <v>7.7060000000000004</v>
      </c>
      <c r="E1933" s="144">
        <v>105.82</v>
      </c>
      <c r="F1933" s="144">
        <v>0.86775000000000002</v>
      </c>
      <c r="G1933" s="144">
        <v>1.2306999999999999</v>
      </c>
      <c r="I1933" s="144">
        <v>1</v>
      </c>
      <c r="J1933" s="145">
        <f t="shared" si="224"/>
        <v>40837</v>
      </c>
      <c r="K1933" s="144">
        <f t="shared" ca="1" si="225"/>
        <v>0.891940860994347</v>
      </c>
      <c r="L1933" s="144">
        <f t="shared" ca="1" si="225"/>
        <v>0.62889549210030449</v>
      </c>
      <c r="M1933" s="144">
        <f t="shared" ca="1" si="225"/>
        <v>76.692274242643862</v>
      </c>
      <c r="N1933" s="144">
        <f t="shared" ca="1" si="225"/>
        <v>5.5848673720829112</v>
      </c>
      <c r="O1933" s="144">
        <f t="shared" ca="1" si="225"/>
        <v>31.18205537034353</v>
      </c>
      <c r="P1933" s="144">
        <f t="shared" ca="1" si="225"/>
        <v>1</v>
      </c>
      <c r="Q1933" s="144">
        <f t="shared" ca="1" si="225"/>
        <v>0.72474271633570087</v>
      </c>
    </row>
    <row r="1934" spans="1:17" x14ac:dyDescent="0.25">
      <c r="A1934" s="145">
        <v>40836</v>
      </c>
      <c r="B1934" s="144">
        <v>1.3807</v>
      </c>
      <c r="C1934" s="144">
        <v>43.173000000000002</v>
      </c>
      <c r="D1934" s="144">
        <v>7.7084999999999999</v>
      </c>
      <c r="E1934" s="144">
        <v>106.07</v>
      </c>
      <c r="F1934" s="144">
        <v>0.875</v>
      </c>
      <c r="G1934" s="144">
        <v>1.2362</v>
      </c>
      <c r="I1934" s="144">
        <v>1</v>
      </c>
      <c r="J1934" s="145">
        <f t="shared" si="224"/>
        <v>40836</v>
      </c>
      <c r="K1934" s="144">
        <f t="shared" ca="1" si="225"/>
        <v>0.8953429419859491</v>
      </c>
      <c r="L1934" s="144">
        <f t="shared" ca="1" si="225"/>
        <v>0.63373651046570578</v>
      </c>
      <c r="M1934" s="144">
        <f t="shared" ca="1" si="225"/>
        <v>76.823350474397031</v>
      </c>
      <c r="N1934" s="144">
        <f t="shared" ca="1" si="225"/>
        <v>5.5830375896284492</v>
      </c>
      <c r="O1934" s="144">
        <f t="shared" ca="1" si="225"/>
        <v>31.268921561526763</v>
      </c>
      <c r="P1934" s="144">
        <f t="shared" ca="1" si="225"/>
        <v>1</v>
      </c>
      <c r="Q1934" s="144">
        <f t="shared" ca="1" si="225"/>
        <v>0.72427029767509232</v>
      </c>
    </row>
    <row r="1935" spans="1:17" x14ac:dyDescent="0.25">
      <c r="A1935" s="145">
        <v>40835</v>
      </c>
      <c r="B1935" s="144">
        <v>1.3828</v>
      </c>
      <c r="C1935" s="144">
        <v>42.87</v>
      </c>
      <c r="D1935" s="144">
        <v>7.7350000000000003</v>
      </c>
      <c r="E1935" s="144">
        <v>106.19</v>
      </c>
      <c r="F1935" s="144">
        <v>0.87495000000000001</v>
      </c>
      <c r="G1935" s="144">
        <v>1.2427999999999999</v>
      </c>
      <c r="I1935" s="144">
        <v>1</v>
      </c>
      <c r="J1935" s="145">
        <f t="shared" si="224"/>
        <v>40835</v>
      </c>
      <c r="K1935" s="144">
        <f t="shared" ref="K1935:Q1944" ca="1" si="226">OFFSET($A1935,0,K$3)/OFFSET($A1935,0,$P$3)</f>
        <v>0.89875614694822092</v>
      </c>
      <c r="L1935" s="144">
        <f t="shared" ca="1" si="226"/>
        <v>0.63273792305467169</v>
      </c>
      <c r="M1935" s="144">
        <f t="shared" ca="1" si="226"/>
        <v>76.793462539774367</v>
      </c>
      <c r="N1935" s="144">
        <f t="shared" ca="1" si="226"/>
        <v>5.5937228811107902</v>
      </c>
      <c r="O1935" s="144">
        <f t="shared" ca="1" si="226"/>
        <v>31.002314145212608</v>
      </c>
      <c r="P1935" s="144">
        <f t="shared" ca="1" si="226"/>
        <v>1</v>
      </c>
      <c r="Q1935" s="144">
        <f t="shared" ca="1" si="226"/>
        <v>0.72317037894127856</v>
      </c>
    </row>
    <row r="1936" spans="1:17" x14ac:dyDescent="0.25">
      <c r="A1936" s="145">
        <v>40834</v>
      </c>
      <c r="B1936" s="144">
        <v>1.3675999999999999</v>
      </c>
      <c r="C1936" s="144">
        <v>42.878</v>
      </c>
      <c r="D1936" s="144">
        <v>7.7605000000000004</v>
      </c>
      <c r="E1936" s="144">
        <v>104.97</v>
      </c>
      <c r="F1936" s="144">
        <v>0.87019999999999997</v>
      </c>
      <c r="G1936" s="144">
        <v>1.2347999999999999</v>
      </c>
      <c r="I1936" s="144">
        <v>1</v>
      </c>
      <c r="J1936" s="145">
        <f t="shared" si="224"/>
        <v>40834</v>
      </c>
      <c r="K1936" s="144">
        <f t="shared" ca="1" si="226"/>
        <v>0.9028955835039485</v>
      </c>
      <c r="L1936" s="144">
        <f t="shared" ca="1" si="226"/>
        <v>0.63629716291313254</v>
      </c>
      <c r="M1936" s="144">
        <f t="shared" ca="1" si="226"/>
        <v>76.754899093302143</v>
      </c>
      <c r="N1936" s="144">
        <f t="shared" ca="1" si="226"/>
        <v>5.6745393389880086</v>
      </c>
      <c r="O1936" s="144">
        <f t="shared" ca="1" si="226"/>
        <v>31.35273471775373</v>
      </c>
      <c r="P1936" s="144">
        <f t="shared" ca="1" si="226"/>
        <v>1</v>
      </c>
      <c r="Q1936" s="144">
        <f t="shared" ca="1" si="226"/>
        <v>0.73120795554255635</v>
      </c>
    </row>
    <row r="1937" spans="1:17" x14ac:dyDescent="0.25">
      <c r="A1937" s="145">
        <v>40833</v>
      </c>
      <c r="B1937" s="144">
        <v>1.3775999999999999</v>
      </c>
      <c r="C1937" s="144">
        <v>42.423000000000002</v>
      </c>
      <c r="D1937" s="144">
        <v>7.7320000000000002</v>
      </c>
      <c r="E1937" s="144">
        <v>106.43</v>
      </c>
      <c r="F1937" s="144">
        <v>0.874</v>
      </c>
      <c r="G1937" s="144">
        <v>1.2364999999999999</v>
      </c>
      <c r="I1937" s="144">
        <v>1</v>
      </c>
      <c r="J1937" s="145">
        <f t="shared" si="224"/>
        <v>40833</v>
      </c>
      <c r="K1937" s="144">
        <f t="shared" ca="1" si="226"/>
        <v>0.897575493612079</v>
      </c>
      <c r="L1937" s="144">
        <f t="shared" ca="1" si="226"/>
        <v>0.6344367015098723</v>
      </c>
      <c r="M1937" s="144">
        <f t="shared" ca="1" si="226"/>
        <v>77.257549361207907</v>
      </c>
      <c r="N1937" s="144">
        <f t="shared" ca="1" si="226"/>
        <v>5.6126596980255519</v>
      </c>
      <c r="O1937" s="144">
        <f t="shared" ca="1" si="226"/>
        <v>30.794860627177702</v>
      </c>
      <c r="P1937" s="144">
        <f t="shared" ca="1" si="226"/>
        <v>1</v>
      </c>
      <c r="Q1937" s="144">
        <f t="shared" ca="1" si="226"/>
        <v>0.72590011614401861</v>
      </c>
    </row>
    <row r="1938" spans="1:17" x14ac:dyDescent="0.25">
      <c r="A1938" s="145">
        <v>40832</v>
      </c>
      <c r="B1938" s="144">
        <v>1.3807</v>
      </c>
      <c r="C1938" s="144">
        <v>42.7515</v>
      </c>
      <c r="D1938" s="144">
        <v>7.7454999999999998</v>
      </c>
      <c r="E1938" s="144">
        <v>106.42</v>
      </c>
      <c r="F1938" s="144">
        <v>0.87480000000000002</v>
      </c>
      <c r="G1938" s="144">
        <v>1.2387999999999999</v>
      </c>
      <c r="I1938" s="144">
        <v>1</v>
      </c>
      <c r="J1938" s="145">
        <f t="shared" si="224"/>
        <v>40832</v>
      </c>
      <c r="K1938" s="144">
        <f t="shared" ca="1" si="226"/>
        <v>0.89722604475990431</v>
      </c>
      <c r="L1938" s="144">
        <f t="shared" ca="1" si="226"/>
        <v>0.63359165640617077</v>
      </c>
      <c r="M1938" s="144">
        <f t="shared" ca="1" si="226"/>
        <v>77.076845078583332</v>
      </c>
      <c r="N1938" s="144">
        <f t="shared" ca="1" si="226"/>
        <v>5.6098355906424278</v>
      </c>
      <c r="O1938" s="144">
        <f t="shared" ca="1" si="226"/>
        <v>30.96364163105671</v>
      </c>
      <c r="P1938" s="144">
        <f t="shared" ca="1" si="226"/>
        <v>1</v>
      </c>
      <c r="Q1938" s="144">
        <f t="shared" ca="1" si="226"/>
        <v>0.72427029767509232</v>
      </c>
    </row>
    <row r="1939" spans="1:17" x14ac:dyDescent="0.25">
      <c r="A1939" s="145">
        <v>40831</v>
      </c>
      <c r="B1939" s="144">
        <v>1.3807</v>
      </c>
      <c r="C1939" s="144">
        <v>42.7515</v>
      </c>
      <c r="D1939" s="144">
        <v>7.7454999999999998</v>
      </c>
      <c r="E1939" s="144">
        <v>106.42</v>
      </c>
      <c r="F1939" s="144">
        <v>0.87480000000000002</v>
      </c>
      <c r="G1939" s="144">
        <v>1.2387999999999999</v>
      </c>
      <c r="I1939" s="144">
        <v>1</v>
      </c>
      <c r="J1939" s="145">
        <f t="shared" si="224"/>
        <v>40831</v>
      </c>
      <c r="K1939" s="144">
        <f t="shared" ca="1" si="226"/>
        <v>0.89722604475990431</v>
      </c>
      <c r="L1939" s="144">
        <f t="shared" ca="1" si="226"/>
        <v>0.63359165640617077</v>
      </c>
      <c r="M1939" s="144">
        <f t="shared" ca="1" si="226"/>
        <v>77.076845078583332</v>
      </c>
      <c r="N1939" s="144">
        <f t="shared" ca="1" si="226"/>
        <v>5.6098355906424278</v>
      </c>
      <c r="O1939" s="144">
        <f t="shared" ca="1" si="226"/>
        <v>30.96364163105671</v>
      </c>
      <c r="P1939" s="144">
        <f t="shared" ca="1" si="226"/>
        <v>1</v>
      </c>
      <c r="Q1939" s="144">
        <f t="shared" ca="1" si="226"/>
        <v>0.72427029767509232</v>
      </c>
    </row>
    <row r="1940" spans="1:17" x14ac:dyDescent="0.25">
      <c r="A1940" s="145">
        <v>40830</v>
      </c>
      <c r="B1940" s="144">
        <v>1.3807</v>
      </c>
      <c r="C1940" s="144">
        <v>42.7515</v>
      </c>
      <c r="D1940" s="144">
        <v>7.7454999999999998</v>
      </c>
      <c r="E1940" s="144">
        <v>106.42</v>
      </c>
      <c r="F1940" s="144">
        <v>0.87480000000000002</v>
      </c>
      <c r="G1940" s="144">
        <v>1.2387999999999999</v>
      </c>
      <c r="I1940" s="144">
        <v>1</v>
      </c>
      <c r="J1940" s="145">
        <f t="shared" si="224"/>
        <v>40830</v>
      </c>
      <c r="K1940" s="144">
        <f t="shared" ca="1" si="226"/>
        <v>0.89722604475990431</v>
      </c>
      <c r="L1940" s="144">
        <f t="shared" ca="1" si="226"/>
        <v>0.63359165640617077</v>
      </c>
      <c r="M1940" s="144">
        <f t="shared" ca="1" si="226"/>
        <v>77.076845078583332</v>
      </c>
      <c r="N1940" s="144">
        <f t="shared" ca="1" si="226"/>
        <v>5.6098355906424278</v>
      </c>
      <c r="O1940" s="144">
        <f t="shared" ca="1" si="226"/>
        <v>30.96364163105671</v>
      </c>
      <c r="P1940" s="144">
        <f t="shared" ca="1" si="226"/>
        <v>1</v>
      </c>
      <c r="Q1940" s="144">
        <f t="shared" ca="1" si="226"/>
        <v>0.72427029767509232</v>
      </c>
    </row>
    <row r="1941" spans="1:17" x14ac:dyDescent="0.25">
      <c r="A1941" s="145">
        <v>40829</v>
      </c>
      <c r="B1941" s="144">
        <v>1.3727</v>
      </c>
      <c r="C1941" s="144">
        <v>42.927500000000002</v>
      </c>
      <c r="D1941" s="144">
        <v>7.7569999999999997</v>
      </c>
      <c r="E1941" s="144">
        <v>105.48</v>
      </c>
      <c r="F1941" s="144">
        <v>0.87585000000000002</v>
      </c>
      <c r="G1941" s="144">
        <v>1.2335</v>
      </c>
      <c r="I1941" s="144">
        <v>1</v>
      </c>
      <c r="J1941" s="145">
        <f t="shared" si="224"/>
        <v>40829</v>
      </c>
      <c r="K1941" s="144">
        <f t="shared" ca="1" si="226"/>
        <v>0.89859401180155896</v>
      </c>
      <c r="L1941" s="144">
        <f t="shared" ca="1" si="226"/>
        <v>0.63804910031325124</v>
      </c>
      <c r="M1941" s="144">
        <f t="shared" ca="1" si="226"/>
        <v>76.841261746922129</v>
      </c>
      <c r="N1941" s="144">
        <f t="shared" ca="1" si="226"/>
        <v>5.650906971661688</v>
      </c>
      <c r="O1941" s="144">
        <f t="shared" ca="1" si="226"/>
        <v>31.272310045894951</v>
      </c>
      <c r="P1941" s="144">
        <f t="shared" ca="1" si="226"/>
        <v>1</v>
      </c>
      <c r="Q1941" s="144">
        <f t="shared" ca="1" si="226"/>
        <v>0.72849129452903039</v>
      </c>
    </row>
    <row r="1942" spans="1:17" x14ac:dyDescent="0.25">
      <c r="A1942" s="145">
        <v>40828</v>
      </c>
      <c r="B1942" s="144">
        <v>1.3766</v>
      </c>
      <c r="C1942" s="144">
        <v>42.854999999999997</v>
      </c>
      <c r="D1942" s="144">
        <v>7.7830000000000004</v>
      </c>
      <c r="E1942" s="144">
        <v>105.77</v>
      </c>
      <c r="F1942" s="144">
        <v>0.87534999999999996</v>
      </c>
      <c r="G1942" s="144">
        <v>1.2366999999999999</v>
      </c>
      <c r="I1942" s="144">
        <v>1</v>
      </c>
      <c r="J1942" s="145">
        <f t="shared" si="224"/>
        <v>40828</v>
      </c>
      <c r="K1942" s="144">
        <f t="shared" ca="1" si="226"/>
        <v>0.89837280255702445</v>
      </c>
      <c r="L1942" s="144">
        <f t="shared" ca="1" si="226"/>
        <v>0.63587825076274873</v>
      </c>
      <c r="M1942" s="144">
        <f t="shared" ca="1" si="226"/>
        <v>76.834229260496869</v>
      </c>
      <c r="N1942" s="144">
        <f t="shared" ca="1" si="226"/>
        <v>5.6537846869097779</v>
      </c>
      <c r="O1942" s="144">
        <f t="shared" ca="1" si="226"/>
        <v>31.131047508353912</v>
      </c>
      <c r="P1942" s="144">
        <f t="shared" ca="1" si="226"/>
        <v>1</v>
      </c>
      <c r="Q1942" s="144">
        <f t="shared" ca="1" si="226"/>
        <v>0.72642742989975295</v>
      </c>
    </row>
    <row r="1943" spans="1:17" x14ac:dyDescent="0.25">
      <c r="A1943" s="145">
        <v>40827</v>
      </c>
      <c r="B1943" s="144">
        <v>1.3607</v>
      </c>
      <c r="C1943" s="144">
        <v>42.927999999999997</v>
      </c>
      <c r="D1943" s="144">
        <v>7.7809999999999997</v>
      </c>
      <c r="E1943" s="144">
        <v>104.26</v>
      </c>
      <c r="F1943" s="144">
        <v>0.87019999999999997</v>
      </c>
      <c r="G1943" s="144">
        <v>1.238</v>
      </c>
      <c r="I1943" s="144">
        <v>1</v>
      </c>
      <c r="J1943" s="145">
        <f t="shared" si="224"/>
        <v>40827</v>
      </c>
      <c r="K1943" s="144">
        <f t="shared" ca="1" si="226"/>
        <v>0.90982582494304398</v>
      </c>
      <c r="L1943" s="144">
        <f t="shared" ca="1" si="226"/>
        <v>0.6395237745278165</v>
      </c>
      <c r="M1943" s="144">
        <f t="shared" ca="1" si="226"/>
        <v>76.622326743587863</v>
      </c>
      <c r="N1943" s="144">
        <f t="shared" ca="1" si="226"/>
        <v>5.7183802454618942</v>
      </c>
      <c r="O1943" s="144">
        <f t="shared" ca="1" si="226"/>
        <v>31.548467700448295</v>
      </c>
      <c r="P1943" s="144">
        <f t="shared" ca="1" si="226"/>
        <v>1</v>
      </c>
      <c r="Q1943" s="144">
        <f t="shared" ca="1" si="226"/>
        <v>0.73491585213493049</v>
      </c>
    </row>
    <row r="1944" spans="1:17" x14ac:dyDescent="0.25">
      <c r="A1944" s="145">
        <v>40826</v>
      </c>
      <c r="B1944" s="144">
        <v>1.3593</v>
      </c>
      <c r="C1944" s="144">
        <v>43.125500000000002</v>
      </c>
      <c r="D1944" s="144">
        <v>7.8025000000000002</v>
      </c>
      <c r="E1944" s="144">
        <v>104.26</v>
      </c>
      <c r="F1944" s="144">
        <v>0.86890000000000001</v>
      </c>
      <c r="G1944" s="144">
        <v>1.2325999999999999</v>
      </c>
      <c r="I1944" s="144">
        <v>1</v>
      </c>
      <c r="J1944" s="145">
        <f t="shared" si="224"/>
        <v>40826</v>
      </c>
      <c r="K1944" s="144">
        <f t="shared" ca="1" si="226"/>
        <v>0.90679025969248872</v>
      </c>
      <c r="L1944" s="144">
        <f t="shared" ca="1" si="226"/>
        <v>0.63922607224306627</v>
      </c>
      <c r="M1944" s="144">
        <f t="shared" ca="1" si="226"/>
        <v>76.701243286985957</v>
      </c>
      <c r="N1944" s="144">
        <f t="shared" ca="1" si="226"/>
        <v>5.7400868093871846</v>
      </c>
      <c r="O1944" s="144">
        <f t="shared" ca="1" si="226"/>
        <v>31.726256161259474</v>
      </c>
      <c r="P1944" s="144">
        <f t="shared" ca="1" si="226"/>
        <v>1</v>
      </c>
      <c r="Q1944" s="144">
        <f t="shared" ca="1" si="226"/>
        <v>0.73567277275068055</v>
      </c>
    </row>
    <row r="1945" spans="1:17" x14ac:dyDescent="0.25">
      <c r="A1945" s="145">
        <v>40825</v>
      </c>
      <c r="B1945" s="144">
        <v>1.3433999999999999</v>
      </c>
      <c r="C1945" s="144">
        <v>43.32</v>
      </c>
      <c r="D1945" s="144">
        <v>7.8</v>
      </c>
      <c r="E1945" s="144">
        <v>103.02</v>
      </c>
      <c r="F1945" s="144">
        <v>0.86480000000000001</v>
      </c>
      <c r="G1945" s="144">
        <v>1.2364999999999999</v>
      </c>
      <c r="I1945" s="144">
        <v>1</v>
      </c>
      <c r="J1945" s="145">
        <f t="shared" si="224"/>
        <v>40825</v>
      </c>
      <c r="K1945" s="144">
        <f t="shared" ref="K1945:Q1954" ca="1" si="227">OFFSET($A1945,0,K$3)/OFFSET($A1945,0,$P$3)</f>
        <v>0.92042578532082775</v>
      </c>
      <c r="L1945" s="144">
        <f t="shared" ca="1" si="227"/>
        <v>0.64373976477594164</v>
      </c>
      <c r="M1945" s="144">
        <f t="shared" ca="1" si="227"/>
        <v>76.686020544886105</v>
      </c>
      <c r="N1945" s="144">
        <f t="shared" ca="1" si="227"/>
        <v>5.8061634658329613</v>
      </c>
      <c r="O1945" s="144">
        <f t="shared" ca="1" si="227"/>
        <v>32.246538633318451</v>
      </c>
      <c r="P1945" s="144">
        <f t="shared" ca="1" si="227"/>
        <v>1</v>
      </c>
      <c r="Q1945" s="144">
        <f t="shared" ca="1" si="227"/>
        <v>0.74437993151704629</v>
      </c>
    </row>
    <row r="1946" spans="1:17" x14ac:dyDescent="0.25">
      <c r="A1946" s="145">
        <v>40824</v>
      </c>
      <c r="B1946" s="144">
        <v>1.3433999999999999</v>
      </c>
      <c r="C1946" s="144">
        <v>43.32</v>
      </c>
      <c r="D1946" s="144">
        <v>7.8</v>
      </c>
      <c r="E1946" s="144">
        <v>103.02</v>
      </c>
      <c r="F1946" s="144">
        <v>0.86480000000000001</v>
      </c>
      <c r="G1946" s="144">
        <v>1.2364999999999999</v>
      </c>
      <c r="I1946" s="144">
        <v>1</v>
      </c>
      <c r="J1946" s="145">
        <f t="shared" si="224"/>
        <v>40824</v>
      </c>
      <c r="K1946" s="144">
        <f t="shared" ca="1" si="227"/>
        <v>0.92042578532082775</v>
      </c>
      <c r="L1946" s="144">
        <f t="shared" ca="1" si="227"/>
        <v>0.64373976477594164</v>
      </c>
      <c r="M1946" s="144">
        <f t="shared" ca="1" si="227"/>
        <v>76.686020544886105</v>
      </c>
      <c r="N1946" s="144">
        <f t="shared" ca="1" si="227"/>
        <v>5.8061634658329613</v>
      </c>
      <c r="O1946" s="144">
        <f t="shared" ca="1" si="227"/>
        <v>32.246538633318451</v>
      </c>
      <c r="P1946" s="144">
        <f t="shared" ca="1" si="227"/>
        <v>1</v>
      </c>
      <c r="Q1946" s="144">
        <f t="shared" ca="1" si="227"/>
        <v>0.74437993151704629</v>
      </c>
    </row>
    <row r="1947" spans="1:17" x14ac:dyDescent="0.25">
      <c r="A1947" s="145">
        <v>40823</v>
      </c>
      <c r="B1947" s="144">
        <v>1.3433999999999999</v>
      </c>
      <c r="C1947" s="144">
        <v>43.32</v>
      </c>
      <c r="D1947" s="144">
        <v>7.8</v>
      </c>
      <c r="E1947" s="144">
        <v>103.02</v>
      </c>
      <c r="F1947" s="144">
        <v>0.86480000000000001</v>
      </c>
      <c r="G1947" s="144">
        <v>1.2364999999999999</v>
      </c>
      <c r="I1947" s="144">
        <v>1</v>
      </c>
      <c r="J1947" s="145">
        <f t="shared" si="224"/>
        <v>40823</v>
      </c>
      <c r="K1947" s="144">
        <f t="shared" ca="1" si="227"/>
        <v>0.92042578532082775</v>
      </c>
      <c r="L1947" s="144">
        <f t="shared" ca="1" si="227"/>
        <v>0.64373976477594164</v>
      </c>
      <c r="M1947" s="144">
        <f t="shared" ca="1" si="227"/>
        <v>76.686020544886105</v>
      </c>
      <c r="N1947" s="144">
        <f t="shared" ca="1" si="227"/>
        <v>5.8061634658329613</v>
      </c>
      <c r="O1947" s="144">
        <f t="shared" ca="1" si="227"/>
        <v>32.246538633318451</v>
      </c>
      <c r="P1947" s="144">
        <f t="shared" ca="1" si="227"/>
        <v>1</v>
      </c>
      <c r="Q1947" s="144">
        <f t="shared" ca="1" si="227"/>
        <v>0.74437993151704629</v>
      </c>
    </row>
    <row r="1948" spans="1:17" x14ac:dyDescent="0.25">
      <c r="A1948" s="145">
        <v>40822</v>
      </c>
      <c r="B1948" s="144">
        <v>1.3269</v>
      </c>
      <c r="C1948" s="144">
        <v>43.1265</v>
      </c>
      <c r="D1948" s="144">
        <v>7.8244999999999996</v>
      </c>
      <c r="E1948" s="144">
        <v>101.87</v>
      </c>
      <c r="F1948" s="144">
        <v>0.86680000000000001</v>
      </c>
      <c r="G1948" s="144">
        <v>1.2316</v>
      </c>
      <c r="I1948" s="144">
        <v>1</v>
      </c>
      <c r="J1948" s="145">
        <f t="shared" si="224"/>
        <v>40822</v>
      </c>
      <c r="K1948" s="144">
        <f t="shared" ca="1" si="227"/>
        <v>0.92817846107468538</v>
      </c>
      <c r="L1948" s="144">
        <f t="shared" ca="1" si="227"/>
        <v>0.65325194061345992</v>
      </c>
      <c r="M1948" s="144">
        <f t="shared" ca="1" si="227"/>
        <v>76.772929384279152</v>
      </c>
      <c r="N1948" s="144">
        <f t="shared" ca="1" si="227"/>
        <v>5.8968271911975281</v>
      </c>
      <c r="O1948" s="144">
        <f t="shared" ca="1" si="227"/>
        <v>32.501695681664032</v>
      </c>
      <c r="P1948" s="144">
        <f t="shared" ca="1" si="227"/>
        <v>1</v>
      </c>
      <c r="Q1948" s="144">
        <f t="shared" ca="1" si="227"/>
        <v>0.75363629512397323</v>
      </c>
    </row>
    <row r="1949" spans="1:17" x14ac:dyDescent="0.25">
      <c r="A1949" s="145">
        <v>40821</v>
      </c>
      <c r="B1949" s="144">
        <v>1.3337000000000001</v>
      </c>
      <c r="C1949" s="144">
        <v>43.502499999999998</v>
      </c>
      <c r="D1949" s="144">
        <v>7.8105000000000002</v>
      </c>
      <c r="E1949" s="144">
        <v>102.25</v>
      </c>
      <c r="F1949" s="144">
        <v>0.86299999999999999</v>
      </c>
      <c r="G1949" s="144">
        <v>1.2264999999999999</v>
      </c>
      <c r="I1949" s="144">
        <v>1</v>
      </c>
      <c r="J1949" s="145">
        <f t="shared" si="224"/>
        <v>40821</v>
      </c>
      <c r="K1949" s="144">
        <f t="shared" ca="1" si="227"/>
        <v>0.91962210392142152</v>
      </c>
      <c r="L1949" s="144">
        <f t="shared" ca="1" si="227"/>
        <v>0.64707205518482414</v>
      </c>
      <c r="M1949" s="144">
        <f t="shared" ca="1" si="227"/>
        <v>76.66641673539776</v>
      </c>
      <c r="N1949" s="144">
        <f t="shared" ca="1" si="227"/>
        <v>5.8562645272550045</v>
      </c>
      <c r="O1949" s="144">
        <f t="shared" ca="1" si="227"/>
        <v>32.617905076104066</v>
      </c>
      <c r="P1949" s="144">
        <f t="shared" ca="1" si="227"/>
        <v>1</v>
      </c>
      <c r="Q1949" s="144">
        <f t="shared" ca="1" si="227"/>
        <v>0.74979380670315654</v>
      </c>
    </row>
    <row r="1950" spans="1:17" x14ac:dyDescent="0.25">
      <c r="A1950" s="145">
        <v>40820</v>
      </c>
      <c r="B1950" s="144">
        <v>1.3181</v>
      </c>
      <c r="C1950" s="144">
        <v>43.335000000000001</v>
      </c>
      <c r="D1950" s="144">
        <v>7.8360000000000003</v>
      </c>
      <c r="E1950" s="144">
        <v>101.08</v>
      </c>
      <c r="F1950" s="144">
        <v>0.85650000000000004</v>
      </c>
      <c r="G1950" s="144">
        <v>1.2169000000000001</v>
      </c>
      <c r="I1950" s="144">
        <v>1</v>
      </c>
      <c r="J1950" s="145">
        <f t="shared" si="224"/>
        <v>40820</v>
      </c>
      <c r="K1950" s="144">
        <f t="shared" ca="1" si="227"/>
        <v>0.92322282072680373</v>
      </c>
      <c r="L1950" s="144">
        <f t="shared" ca="1" si="227"/>
        <v>0.64979895303846447</v>
      </c>
      <c r="M1950" s="144">
        <f t="shared" ca="1" si="227"/>
        <v>76.686139139670729</v>
      </c>
      <c r="N1950" s="144">
        <f t="shared" ca="1" si="227"/>
        <v>5.9449207192170546</v>
      </c>
      <c r="O1950" s="144">
        <f t="shared" ca="1" si="227"/>
        <v>32.876868219406724</v>
      </c>
      <c r="P1950" s="144">
        <f t="shared" ca="1" si="227"/>
        <v>1</v>
      </c>
      <c r="Q1950" s="144">
        <f t="shared" ca="1" si="227"/>
        <v>0.75866777937940977</v>
      </c>
    </row>
    <row r="1951" spans="1:17" x14ac:dyDescent="0.25">
      <c r="A1951" s="145">
        <v>40819</v>
      </c>
      <c r="B1951" s="144">
        <v>1.3327</v>
      </c>
      <c r="C1951" s="144">
        <v>43.247</v>
      </c>
      <c r="D1951" s="144">
        <v>7.8259999999999996</v>
      </c>
      <c r="E1951" s="144">
        <v>102.39</v>
      </c>
      <c r="F1951" s="144">
        <v>0.85960000000000003</v>
      </c>
      <c r="G1951" s="144">
        <v>1.214</v>
      </c>
      <c r="I1951" s="144">
        <v>1</v>
      </c>
      <c r="J1951" s="145">
        <f t="shared" si="224"/>
        <v>40819</v>
      </c>
      <c r="K1951" s="144">
        <f t="shared" ca="1" si="227"/>
        <v>0.91093269302918889</v>
      </c>
      <c r="L1951" s="144">
        <f t="shared" ca="1" si="227"/>
        <v>0.64500637802956406</v>
      </c>
      <c r="M1951" s="144">
        <f t="shared" ca="1" si="227"/>
        <v>76.828993772041727</v>
      </c>
      <c r="N1951" s="144">
        <f t="shared" ca="1" si="227"/>
        <v>5.8722893374352818</v>
      </c>
      <c r="O1951" s="144">
        <f t="shared" ca="1" si="227"/>
        <v>32.450664065431077</v>
      </c>
      <c r="P1951" s="144">
        <f t="shared" ca="1" si="227"/>
        <v>1</v>
      </c>
      <c r="Q1951" s="144">
        <f t="shared" ca="1" si="227"/>
        <v>0.75035641929916708</v>
      </c>
    </row>
    <row r="1952" spans="1:17" x14ac:dyDescent="0.25">
      <c r="A1952" s="145">
        <v>40818</v>
      </c>
      <c r="B1952" s="144">
        <v>1.3503000000000001</v>
      </c>
      <c r="C1952" s="144">
        <v>43.35</v>
      </c>
      <c r="D1952" s="144">
        <v>7.8879999999999999</v>
      </c>
      <c r="E1952" s="144">
        <v>103.79</v>
      </c>
      <c r="F1952" s="144">
        <v>0.86665000000000003</v>
      </c>
      <c r="G1952" s="144">
        <v>1.2170000000000001</v>
      </c>
      <c r="I1952" s="144">
        <v>1</v>
      </c>
      <c r="J1952" s="145">
        <f t="shared" si="224"/>
        <v>40818</v>
      </c>
      <c r="K1952" s="144">
        <f t="shared" ca="1" si="227"/>
        <v>0.90128119677108798</v>
      </c>
      <c r="L1952" s="144">
        <f t="shared" ca="1" si="227"/>
        <v>0.64182033622158041</v>
      </c>
      <c r="M1952" s="144">
        <f t="shared" ca="1" si="227"/>
        <v>76.864400503591796</v>
      </c>
      <c r="N1952" s="144">
        <f t="shared" ca="1" si="227"/>
        <v>5.8416648152262454</v>
      </c>
      <c r="O1952" s="144">
        <f t="shared" ca="1" si="227"/>
        <v>32.103976894023553</v>
      </c>
      <c r="P1952" s="144">
        <f t="shared" ca="1" si="227"/>
        <v>1</v>
      </c>
      <c r="Q1952" s="144">
        <f t="shared" ca="1" si="227"/>
        <v>0.74057616825890538</v>
      </c>
    </row>
    <row r="1953" spans="1:17" x14ac:dyDescent="0.25">
      <c r="A1953" s="145">
        <v>40817</v>
      </c>
      <c r="B1953" s="144">
        <v>1.3503000000000001</v>
      </c>
      <c r="C1953" s="144">
        <v>43.35</v>
      </c>
      <c r="D1953" s="144">
        <v>7.8879999999999999</v>
      </c>
      <c r="E1953" s="144">
        <v>103.79</v>
      </c>
      <c r="F1953" s="144">
        <v>0.86665000000000003</v>
      </c>
      <c r="G1953" s="144">
        <v>1.2170000000000001</v>
      </c>
      <c r="I1953" s="144">
        <v>1</v>
      </c>
      <c r="J1953" s="145">
        <f t="shared" si="224"/>
        <v>40817</v>
      </c>
      <c r="K1953" s="144">
        <f t="shared" ca="1" si="227"/>
        <v>0.90128119677108798</v>
      </c>
      <c r="L1953" s="144">
        <f t="shared" ca="1" si="227"/>
        <v>0.64182033622158041</v>
      </c>
      <c r="M1953" s="144">
        <f t="shared" ca="1" si="227"/>
        <v>76.864400503591796</v>
      </c>
      <c r="N1953" s="144">
        <f t="shared" ca="1" si="227"/>
        <v>5.8416648152262454</v>
      </c>
      <c r="O1953" s="144">
        <f t="shared" ca="1" si="227"/>
        <v>32.103976894023553</v>
      </c>
      <c r="P1953" s="144">
        <f t="shared" ca="1" si="227"/>
        <v>1</v>
      </c>
      <c r="Q1953" s="144">
        <f t="shared" ca="1" si="227"/>
        <v>0.74057616825890538</v>
      </c>
    </row>
    <row r="1954" spans="1:17" x14ac:dyDescent="0.25">
      <c r="A1954" s="145">
        <v>40816</v>
      </c>
      <c r="B1954" s="144">
        <v>1.3503000000000001</v>
      </c>
      <c r="C1954" s="144">
        <v>43.35</v>
      </c>
      <c r="D1954" s="144">
        <v>7.8879999999999999</v>
      </c>
      <c r="E1954" s="144">
        <v>103.79</v>
      </c>
      <c r="F1954" s="144">
        <v>0.86665000000000003</v>
      </c>
      <c r="G1954" s="144">
        <v>1.2170000000000001</v>
      </c>
      <c r="I1954" s="144">
        <v>1</v>
      </c>
      <c r="J1954" s="145">
        <f t="shared" si="224"/>
        <v>40816</v>
      </c>
      <c r="K1954" s="144">
        <f t="shared" ca="1" si="227"/>
        <v>0.90128119677108798</v>
      </c>
      <c r="L1954" s="144">
        <f t="shared" ca="1" si="227"/>
        <v>0.64182033622158041</v>
      </c>
      <c r="M1954" s="144">
        <f t="shared" ca="1" si="227"/>
        <v>76.864400503591796</v>
      </c>
      <c r="N1954" s="144">
        <f t="shared" ca="1" si="227"/>
        <v>5.8416648152262454</v>
      </c>
      <c r="O1954" s="144">
        <f t="shared" ca="1" si="227"/>
        <v>32.103976894023553</v>
      </c>
      <c r="P1954" s="144">
        <f t="shared" ca="1" si="227"/>
        <v>1</v>
      </c>
      <c r="Q1954" s="144">
        <f t="shared" ca="1" si="227"/>
        <v>0.74057616825890538</v>
      </c>
    </row>
    <row r="1955" spans="1:17" x14ac:dyDescent="0.25">
      <c r="A1955" s="145">
        <v>40815</v>
      </c>
      <c r="B1955" s="144">
        <v>1.3614999999999999</v>
      </c>
      <c r="C1955" s="144">
        <v>43.544499999999999</v>
      </c>
      <c r="D1955" s="144">
        <v>7.843</v>
      </c>
      <c r="E1955" s="144">
        <v>104.46</v>
      </c>
      <c r="F1955" s="144">
        <v>0.87065000000000003</v>
      </c>
      <c r="G1955" s="144">
        <v>1.2206999999999999</v>
      </c>
      <c r="I1955" s="144">
        <v>1</v>
      </c>
      <c r="J1955" s="145">
        <f t="shared" si="224"/>
        <v>40815</v>
      </c>
      <c r="K1955" s="144">
        <f t="shared" ref="K1955:Q1964" ca="1" si="228">OFFSET($A1955,0,K$3)/OFFSET($A1955,0,$P$3)</f>
        <v>0.89658464928387804</v>
      </c>
      <c r="L1955" s="144">
        <f t="shared" ca="1" si="228"/>
        <v>0.6394785163422696</v>
      </c>
      <c r="M1955" s="144">
        <f t="shared" ca="1" si="228"/>
        <v>76.724201248622848</v>
      </c>
      <c r="N1955" s="144">
        <f t="shared" ca="1" si="228"/>
        <v>5.7605582078589794</v>
      </c>
      <c r="O1955" s="144">
        <f t="shared" ca="1" si="228"/>
        <v>31.982739625413149</v>
      </c>
      <c r="P1955" s="144">
        <f t="shared" ca="1" si="228"/>
        <v>1</v>
      </c>
      <c r="Q1955" s="144">
        <f t="shared" ca="1" si="228"/>
        <v>0.73448402497245691</v>
      </c>
    </row>
    <row r="1956" spans="1:17" x14ac:dyDescent="0.25">
      <c r="A1956" s="145">
        <v>40814</v>
      </c>
      <c r="B1956" s="144">
        <v>1.3631</v>
      </c>
      <c r="C1956" s="144">
        <v>43.4495</v>
      </c>
      <c r="D1956" s="144">
        <v>7.8150000000000004</v>
      </c>
      <c r="E1956" s="144">
        <v>104.22</v>
      </c>
      <c r="F1956" s="144">
        <v>0.87175000000000002</v>
      </c>
      <c r="G1956" s="144">
        <v>1.2204999999999999</v>
      </c>
      <c r="I1956" s="144">
        <v>1</v>
      </c>
      <c r="J1956" s="145">
        <f t="shared" si="224"/>
        <v>40814</v>
      </c>
      <c r="K1956" s="144">
        <f t="shared" ca="1" si="228"/>
        <v>0.89538551830386615</v>
      </c>
      <c r="L1956" s="144">
        <f t="shared" ca="1" si="228"/>
        <v>0.63953488372093026</v>
      </c>
      <c r="M1956" s="144">
        <f t="shared" ca="1" si="228"/>
        <v>76.4580735089135</v>
      </c>
      <c r="N1956" s="144">
        <f t="shared" ca="1" si="228"/>
        <v>5.7332550803315971</v>
      </c>
      <c r="O1956" s="144">
        <f t="shared" ca="1" si="228"/>
        <v>31.875504365050254</v>
      </c>
      <c r="P1956" s="144">
        <f t="shared" ca="1" si="228"/>
        <v>1</v>
      </c>
      <c r="Q1956" s="144">
        <f t="shared" ca="1" si="228"/>
        <v>0.73362189127723576</v>
      </c>
    </row>
    <row r="1957" spans="1:17" x14ac:dyDescent="0.25">
      <c r="A1957" s="145">
        <v>40813</v>
      </c>
      <c r="B1957" s="144">
        <v>1.3579000000000001</v>
      </c>
      <c r="C1957" s="144">
        <v>43.329900000000002</v>
      </c>
      <c r="D1957" s="144">
        <v>7.79</v>
      </c>
      <c r="E1957" s="144">
        <v>103.83</v>
      </c>
      <c r="F1957" s="144">
        <v>0.86980000000000002</v>
      </c>
      <c r="G1957" s="144">
        <v>1.2232000000000001</v>
      </c>
      <c r="I1957" s="144">
        <v>1</v>
      </c>
      <c r="J1957" s="145">
        <f t="shared" si="224"/>
        <v>40813</v>
      </c>
      <c r="K1957" s="144">
        <f t="shared" ca="1" si="228"/>
        <v>0.90080271006701518</v>
      </c>
      <c r="L1957" s="144">
        <f t="shared" ca="1" si="228"/>
        <v>0.64054790485308188</v>
      </c>
      <c r="M1957" s="144">
        <f t="shared" ca="1" si="228"/>
        <v>76.463657117608065</v>
      </c>
      <c r="N1957" s="144">
        <f t="shared" ca="1" si="228"/>
        <v>5.7367994697694966</v>
      </c>
      <c r="O1957" s="144">
        <f t="shared" ca="1" si="228"/>
        <v>31.909492598865896</v>
      </c>
      <c r="P1957" s="144">
        <f t="shared" ca="1" si="228"/>
        <v>1</v>
      </c>
      <c r="Q1957" s="144">
        <f t="shared" ca="1" si="228"/>
        <v>0.73643125414242572</v>
      </c>
    </row>
    <row r="1958" spans="1:17" x14ac:dyDescent="0.25">
      <c r="A1958" s="145">
        <v>40812</v>
      </c>
      <c r="B1958" s="144">
        <v>1.35</v>
      </c>
      <c r="C1958" s="144">
        <v>43.721400000000003</v>
      </c>
      <c r="D1958" s="144">
        <v>7.8259999999999996</v>
      </c>
      <c r="E1958" s="144">
        <v>103.05</v>
      </c>
      <c r="F1958" s="144">
        <v>0.86960000000000004</v>
      </c>
      <c r="G1958" s="144">
        <v>1.2205999999999999</v>
      </c>
      <c r="I1958" s="144">
        <v>1</v>
      </c>
      <c r="J1958" s="145">
        <f t="shared" si="224"/>
        <v>40812</v>
      </c>
      <c r="K1958" s="144">
        <f t="shared" ca="1" si="228"/>
        <v>0.90414814814814803</v>
      </c>
      <c r="L1958" s="144">
        <f t="shared" ca="1" si="228"/>
        <v>0.64414814814814814</v>
      </c>
      <c r="M1958" s="144">
        <f t="shared" ca="1" si="228"/>
        <v>76.333333333333329</v>
      </c>
      <c r="N1958" s="144">
        <f t="shared" ca="1" si="228"/>
        <v>5.7970370370370361</v>
      </c>
      <c r="O1958" s="144">
        <f t="shared" ca="1" si="228"/>
        <v>32.386222222222223</v>
      </c>
      <c r="P1958" s="144">
        <f t="shared" ca="1" si="228"/>
        <v>1</v>
      </c>
      <c r="Q1958" s="144">
        <f t="shared" ca="1" si="228"/>
        <v>0.7407407407407407</v>
      </c>
    </row>
    <row r="1959" spans="1:17" x14ac:dyDescent="0.25">
      <c r="A1959" s="145">
        <v>40811</v>
      </c>
      <c r="B1959" s="144">
        <v>1.343</v>
      </c>
      <c r="C1959" s="144">
        <v>43.38</v>
      </c>
      <c r="D1959" s="144">
        <v>7.8855000000000004</v>
      </c>
      <c r="E1959" s="144">
        <v>102.32</v>
      </c>
      <c r="F1959" s="144">
        <v>0.87234999999999996</v>
      </c>
      <c r="G1959" s="144">
        <v>1.2195</v>
      </c>
      <c r="I1959" s="144">
        <v>1</v>
      </c>
      <c r="J1959" s="145">
        <f t="shared" si="224"/>
        <v>40811</v>
      </c>
      <c r="K1959" s="144">
        <f t="shared" ca="1" si="228"/>
        <v>0.90804169769173493</v>
      </c>
      <c r="L1959" s="144">
        <f t="shared" ca="1" si="228"/>
        <v>0.64955323901712581</v>
      </c>
      <c r="M1959" s="144">
        <f t="shared" ca="1" si="228"/>
        <v>76.187639612807146</v>
      </c>
      <c r="N1959" s="144">
        <f t="shared" ca="1" si="228"/>
        <v>5.8715562174236791</v>
      </c>
      <c r="O1959" s="144">
        <f t="shared" ca="1" si="228"/>
        <v>32.300819061801938</v>
      </c>
      <c r="P1959" s="144">
        <f t="shared" ca="1" si="228"/>
        <v>1</v>
      </c>
      <c r="Q1959" s="144">
        <f t="shared" ca="1" si="228"/>
        <v>0.74460163812360391</v>
      </c>
    </row>
    <row r="1960" spans="1:17" x14ac:dyDescent="0.25">
      <c r="A1960" s="145">
        <v>40810</v>
      </c>
      <c r="B1960" s="144">
        <v>1.343</v>
      </c>
      <c r="C1960" s="144">
        <v>43.38</v>
      </c>
      <c r="D1960" s="144">
        <v>7.8855000000000004</v>
      </c>
      <c r="E1960" s="144">
        <v>102.32</v>
      </c>
      <c r="F1960" s="144">
        <v>0.87234999999999996</v>
      </c>
      <c r="G1960" s="144">
        <v>1.2195</v>
      </c>
      <c r="I1960" s="144">
        <v>1</v>
      </c>
      <c r="J1960" s="145">
        <f t="shared" si="224"/>
        <v>40810</v>
      </c>
      <c r="K1960" s="144">
        <f t="shared" ca="1" si="228"/>
        <v>0.90804169769173493</v>
      </c>
      <c r="L1960" s="144">
        <f t="shared" ca="1" si="228"/>
        <v>0.64955323901712581</v>
      </c>
      <c r="M1960" s="144">
        <f t="shared" ca="1" si="228"/>
        <v>76.187639612807146</v>
      </c>
      <c r="N1960" s="144">
        <f t="shared" ca="1" si="228"/>
        <v>5.8715562174236791</v>
      </c>
      <c r="O1960" s="144">
        <f t="shared" ca="1" si="228"/>
        <v>32.300819061801938</v>
      </c>
      <c r="P1960" s="144">
        <f t="shared" ca="1" si="228"/>
        <v>1</v>
      </c>
      <c r="Q1960" s="144">
        <f t="shared" ca="1" si="228"/>
        <v>0.74460163812360391</v>
      </c>
    </row>
    <row r="1961" spans="1:17" x14ac:dyDescent="0.25">
      <c r="A1961" s="145">
        <v>40809</v>
      </c>
      <c r="B1961" s="144">
        <v>1.343</v>
      </c>
      <c r="C1961" s="144">
        <v>43.38</v>
      </c>
      <c r="D1961" s="144">
        <v>7.8855000000000004</v>
      </c>
      <c r="E1961" s="144">
        <v>102.32</v>
      </c>
      <c r="F1961" s="144">
        <v>0.87234999999999996</v>
      </c>
      <c r="G1961" s="144">
        <v>1.2195</v>
      </c>
      <c r="I1961" s="144">
        <v>1</v>
      </c>
      <c r="J1961" s="145">
        <f t="shared" si="224"/>
        <v>40809</v>
      </c>
      <c r="K1961" s="144">
        <f t="shared" ca="1" si="228"/>
        <v>0.90804169769173493</v>
      </c>
      <c r="L1961" s="144">
        <f t="shared" ca="1" si="228"/>
        <v>0.64955323901712581</v>
      </c>
      <c r="M1961" s="144">
        <f t="shared" ca="1" si="228"/>
        <v>76.187639612807146</v>
      </c>
      <c r="N1961" s="144">
        <f t="shared" ca="1" si="228"/>
        <v>5.8715562174236791</v>
      </c>
      <c r="O1961" s="144">
        <f t="shared" ca="1" si="228"/>
        <v>32.300819061801938</v>
      </c>
      <c r="P1961" s="144">
        <f t="shared" ca="1" si="228"/>
        <v>1</v>
      </c>
      <c r="Q1961" s="144">
        <f t="shared" ca="1" si="228"/>
        <v>0.74460163812360391</v>
      </c>
    </row>
    <row r="1962" spans="1:17" x14ac:dyDescent="0.25">
      <c r="A1962" s="145">
        <v>40808</v>
      </c>
      <c r="B1962" s="144">
        <v>1.3448</v>
      </c>
      <c r="C1962" s="144">
        <v>43.2059</v>
      </c>
      <c r="D1962" s="144">
        <v>7.827</v>
      </c>
      <c r="E1962" s="144">
        <v>102.59</v>
      </c>
      <c r="F1962" s="144">
        <v>0.87324999999999997</v>
      </c>
      <c r="G1962" s="144">
        <v>1.2275</v>
      </c>
      <c r="I1962" s="144">
        <v>1</v>
      </c>
      <c r="J1962" s="145">
        <f t="shared" si="224"/>
        <v>40808</v>
      </c>
      <c r="K1962" s="144">
        <f t="shared" ca="1" si="228"/>
        <v>0.91277513384889952</v>
      </c>
      <c r="L1962" s="144">
        <f t="shared" ca="1" si="228"/>
        <v>0.64935306365258771</v>
      </c>
      <c r="M1962" s="144">
        <f t="shared" ca="1" si="228"/>
        <v>76.286436644854263</v>
      </c>
      <c r="N1962" s="144">
        <f t="shared" ca="1" si="228"/>
        <v>5.820196311719215</v>
      </c>
      <c r="O1962" s="144">
        <f t="shared" ca="1" si="228"/>
        <v>32.128123140987505</v>
      </c>
      <c r="P1962" s="144">
        <f t="shared" ca="1" si="228"/>
        <v>1</v>
      </c>
      <c r="Q1962" s="144">
        <f t="shared" ca="1" si="228"/>
        <v>0.74360499702558003</v>
      </c>
    </row>
    <row r="1963" spans="1:17" x14ac:dyDescent="0.25">
      <c r="A1963" s="145">
        <v>40807</v>
      </c>
      <c r="B1963" s="144">
        <v>1.3635999999999999</v>
      </c>
      <c r="C1963" s="144">
        <v>43.034999999999997</v>
      </c>
      <c r="D1963" s="144">
        <v>7.7569999999999997</v>
      </c>
      <c r="E1963" s="144">
        <v>104.07</v>
      </c>
      <c r="F1963" s="144">
        <v>0.87309999999999999</v>
      </c>
      <c r="G1963" s="144">
        <v>1.2208000000000001</v>
      </c>
      <c r="I1963" s="144">
        <v>1</v>
      </c>
      <c r="J1963" s="145">
        <f t="shared" si="224"/>
        <v>40807</v>
      </c>
      <c r="K1963" s="144">
        <f t="shared" ca="1" si="228"/>
        <v>0.89527720739219729</v>
      </c>
      <c r="L1963" s="144">
        <f t="shared" ca="1" si="228"/>
        <v>0.64029040774420654</v>
      </c>
      <c r="M1963" s="144">
        <f t="shared" ca="1" si="228"/>
        <v>76.32003520093869</v>
      </c>
      <c r="N1963" s="144">
        <f t="shared" ca="1" si="228"/>
        <v>5.6886183631563512</v>
      </c>
      <c r="O1963" s="144">
        <f t="shared" ca="1" si="228"/>
        <v>31.559841595775886</v>
      </c>
      <c r="P1963" s="144">
        <f t="shared" ca="1" si="228"/>
        <v>1</v>
      </c>
      <c r="Q1963" s="144">
        <f t="shared" ca="1" si="228"/>
        <v>0.73335288941038435</v>
      </c>
    </row>
    <row r="1964" spans="1:17" x14ac:dyDescent="0.25">
      <c r="A1964" s="145">
        <v>40806</v>
      </c>
      <c r="B1964" s="144">
        <v>1.371</v>
      </c>
      <c r="C1964" s="144">
        <v>43.136499999999998</v>
      </c>
      <c r="D1964" s="144">
        <v>7.7614999999999998</v>
      </c>
      <c r="E1964" s="144">
        <v>104.92</v>
      </c>
      <c r="F1964" s="144">
        <v>0.87229999999999996</v>
      </c>
      <c r="G1964" s="144">
        <v>1.2063999999999999</v>
      </c>
      <c r="I1964" s="144">
        <v>1</v>
      </c>
      <c r="J1964" s="145">
        <f t="shared" si="224"/>
        <v>40806</v>
      </c>
      <c r="K1964" s="144">
        <f t="shared" ca="1" si="228"/>
        <v>0.87994164843180156</v>
      </c>
      <c r="L1964" s="144">
        <f t="shared" ca="1" si="228"/>
        <v>0.6362509117432531</v>
      </c>
      <c r="M1964" s="144">
        <f t="shared" ca="1" si="228"/>
        <v>76.528081692195485</v>
      </c>
      <c r="N1964" s="144">
        <f t="shared" ca="1" si="228"/>
        <v>5.661196207148067</v>
      </c>
      <c r="O1964" s="144">
        <f t="shared" ca="1" si="228"/>
        <v>31.463530269876003</v>
      </c>
      <c r="P1964" s="144">
        <f t="shared" ca="1" si="228"/>
        <v>1</v>
      </c>
      <c r="Q1964" s="144">
        <f t="shared" ca="1" si="228"/>
        <v>0.7293946024799417</v>
      </c>
    </row>
    <row r="1965" spans="1:17" x14ac:dyDescent="0.25">
      <c r="A1965" s="145">
        <v>40805</v>
      </c>
      <c r="B1965" s="144">
        <v>1.3641000000000001</v>
      </c>
      <c r="C1965" s="144">
        <v>42.247399999999999</v>
      </c>
      <c r="D1965" s="144">
        <v>7.7409999999999997</v>
      </c>
      <c r="E1965" s="144">
        <v>104.62</v>
      </c>
      <c r="F1965" s="144">
        <v>0.86809999999999998</v>
      </c>
      <c r="G1965" s="144">
        <v>1.2060999999999999</v>
      </c>
      <c r="I1965" s="144">
        <v>1</v>
      </c>
      <c r="J1965" s="145">
        <f t="shared" si="224"/>
        <v>40805</v>
      </c>
      <c r="K1965" s="144">
        <f t="shared" ref="K1965:Q1974" ca="1" si="229">OFFSET($A1965,0,K$3)/OFFSET($A1965,0,$P$3)</f>
        <v>0.88417271461036573</v>
      </c>
      <c r="L1965" s="144">
        <f t="shared" ca="1" si="229"/>
        <v>0.63639029396671798</v>
      </c>
      <c r="M1965" s="144">
        <f t="shared" ca="1" si="229"/>
        <v>76.695256945971707</v>
      </c>
      <c r="N1965" s="144">
        <f t="shared" ca="1" si="229"/>
        <v>5.6748039000073298</v>
      </c>
      <c r="O1965" s="144">
        <f t="shared" ca="1" si="229"/>
        <v>30.970896561835641</v>
      </c>
      <c r="P1965" s="144">
        <f t="shared" ca="1" si="229"/>
        <v>1</v>
      </c>
      <c r="Q1965" s="144">
        <f t="shared" ca="1" si="229"/>
        <v>0.73308408474452014</v>
      </c>
    </row>
    <row r="1966" spans="1:17" x14ac:dyDescent="0.25">
      <c r="A1966" s="145">
        <v>40804</v>
      </c>
      <c r="B1966" s="144">
        <v>1.3759999999999999</v>
      </c>
      <c r="C1966" s="144">
        <v>42.1145</v>
      </c>
      <c r="D1966" s="144">
        <v>7.7380000000000004</v>
      </c>
      <c r="E1966" s="144">
        <v>105.6</v>
      </c>
      <c r="F1966" s="144">
        <v>0.87170000000000003</v>
      </c>
      <c r="G1966" s="144">
        <v>1.2058</v>
      </c>
      <c r="I1966" s="144">
        <v>1</v>
      </c>
      <c r="J1966" s="145">
        <f t="shared" si="224"/>
        <v>40804</v>
      </c>
      <c r="K1966" s="144">
        <f t="shared" ca="1" si="229"/>
        <v>0.87630813953488373</v>
      </c>
      <c r="L1966" s="144">
        <f t="shared" ca="1" si="229"/>
        <v>0.63350290697674427</v>
      </c>
      <c r="M1966" s="144">
        <f t="shared" ca="1" si="229"/>
        <v>76.744186046511629</v>
      </c>
      <c r="N1966" s="144">
        <f t="shared" ca="1" si="229"/>
        <v>5.6235465116279073</v>
      </c>
      <c r="O1966" s="144">
        <f t="shared" ca="1" si="229"/>
        <v>30.606468023255815</v>
      </c>
      <c r="P1966" s="144">
        <f t="shared" ca="1" si="229"/>
        <v>1</v>
      </c>
      <c r="Q1966" s="144">
        <f t="shared" ca="1" si="229"/>
        <v>0.7267441860465117</v>
      </c>
    </row>
    <row r="1967" spans="1:17" x14ac:dyDescent="0.25">
      <c r="A1967" s="145">
        <v>40803</v>
      </c>
      <c r="B1967" s="144">
        <v>1.3759999999999999</v>
      </c>
      <c r="C1967" s="144">
        <v>42.1145</v>
      </c>
      <c r="D1967" s="144">
        <v>7.7380000000000004</v>
      </c>
      <c r="E1967" s="144">
        <v>105.6</v>
      </c>
      <c r="F1967" s="144">
        <v>0.87170000000000003</v>
      </c>
      <c r="G1967" s="144">
        <v>1.2058</v>
      </c>
      <c r="I1967" s="144">
        <v>1</v>
      </c>
      <c r="J1967" s="145">
        <f t="shared" si="224"/>
        <v>40803</v>
      </c>
      <c r="K1967" s="144">
        <f t="shared" ca="1" si="229"/>
        <v>0.87630813953488373</v>
      </c>
      <c r="L1967" s="144">
        <f t="shared" ca="1" si="229"/>
        <v>0.63350290697674427</v>
      </c>
      <c r="M1967" s="144">
        <f t="shared" ca="1" si="229"/>
        <v>76.744186046511629</v>
      </c>
      <c r="N1967" s="144">
        <f t="shared" ca="1" si="229"/>
        <v>5.6235465116279073</v>
      </c>
      <c r="O1967" s="144">
        <f t="shared" ca="1" si="229"/>
        <v>30.606468023255815</v>
      </c>
      <c r="P1967" s="144">
        <f t="shared" ca="1" si="229"/>
        <v>1</v>
      </c>
      <c r="Q1967" s="144">
        <f t="shared" ca="1" si="229"/>
        <v>0.7267441860465117</v>
      </c>
    </row>
    <row r="1968" spans="1:17" x14ac:dyDescent="0.25">
      <c r="A1968" s="145">
        <v>40802</v>
      </c>
      <c r="B1968" s="144">
        <v>1.3759999999999999</v>
      </c>
      <c r="C1968" s="144">
        <v>42.1145</v>
      </c>
      <c r="D1968" s="144">
        <v>7.7380000000000004</v>
      </c>
      <c r="E1968" s="144">
        <v>105.6</v>
      </c>
      <c r="F1968" s="144">
        <v>0.87170000000000003</v>
      </c>
      <c r="G1968" s="144">
        <v>1.2058</v>
      </c>
      <c r="I1968" s="144">
        <v>1</v>
      </c>
      <c r="J1968" s="145">
        <f t="shared" si="224"/>
        <v>40802</v>
      </c>
      <c r="K1968" s="144">
        <f t="shared" ca="1" si="229"/>
        <v>0.87630813953488373</v>
      </c>
      <c r="L1968" s="144">
        <f t="shared" ca="1" si="229"/>
        <v>0.63350290697674427</v>
      </c>
      <c r="M1968" s="144">
        <f t="shared" ca="1" si="229"/>
        <v>76.744186046511629</v>
      </c>
      <c r="N1968" s="144">
        <f t="shared" ca="1" si="229"/>
        <v>5.6235465116279073</v>
      </c>
      <c r="O1968" s="144">
        <f t="shared" ca="1" si="229"/>
        <v>30.606468023255815</v>
      </c>
      <c r="P1968" s="144">
        <f t="shared" ca="1" si="229"/>
        <v>1</v>
      </c>
      <c r="Q1968" s="144">
        <f t="shared" ca="1" si="229"/>
        <v>0.7267441860465117</v>
      </c>
    </row>
    <row r="1969" spans="1:17" x14ac:dyDescent="0.25">
      <c r="A1969" s="145">
        <v>40801</v>
      </c>
      <c r="B1969" s="144">
        <v>1.3794999999999999</v>
      </c>
      <c r="C1969" s="144">
        <v>42.055</v>
      </c>
      <c r="D1969" s="144">
        <v>7.7355</v>
      </c>
      <c r="E1969" s="144">
        <v>105.67</v>
      </c>
      <c r="F1969" s="144">
        <v>0.87295</v>
      </c>
      <c r="G1969" s="144">
        <v>1.2061999999999999</v>
      </c>
      <c r="I1969" s="144">
        <v>1</v>
      </c>
      <c r="J1969" s="145">
        <f t="shared" si="224"/>
        <v>40801</v>
      </c>
      <c r="K1969" s="144">
        <f t="shared" ca="1" si="229"/>
        <v>0.874374773468648</v>
      </c>
      <c r="L1969" s="144">
        <f t="shared" ca="1" si="229"/>
        <v>0.63280173976078291</v>
      </c>
      <c r="M1969" s="144">
        <f t="shared" ca="1" si="229"/>
        <v>76.60021747009786</v>
      </c>
      <c r="N1969" s="144">
        <f t="shared" ca="1" si="229"/>
        <v>5.6074664733599136</v>
      </c>
      <c r="O1969" s="144">
        <f t="shared" ca="1" si="229"/>
        <v>30.485683218557448</v>
      </c>
      <c r="P1969" s="144">
        <f t="shared" ca="1" si="229"/>
        <v>1</v>
      </c>
      <c r="Q1969" s="144">
        <f t="shared" ca="1" si="229"/>
        <v>0.72490032620514677</v>
      </c>
    </row>
    <row r="1970" spans="1:17" x14ac:dyDescent="0.25">
      <c r="A1970" s="145">
        <v>40800</v>
      </c>
      <c r="B1970" s="144">
        <v>1.3729</v>
      </c>
      <c r="C1970" s="144">
        <v>41.62</v>
      </c>
      <c r="D1970" s="144">
        <v>7.7460000000000004</v>
      </c>
      <c r="E1970" s="144">
        <v>105.48</v>
      </c>
      <c r="F1970" s="144">
        <v>0.86950000000000005</v>
      </c>
      <c r="G1970" s="144">
        <v>1.2033</v>
      </c>
      <c r="I1970" s="144">
        <v>1</v>
      </c>
      <c r="J1970" s="145">
        <f t="shared" si="224"/>
        <v>40800</v>
      </c>
      <c r="K1970" s="144">
        <f t="shared" ca="1" si="229"/>
        <v>0.87646587515478191</v>
      </c>
      <c r="L1970" s="144">
        <f t="shared" ca="1" si="229"/>
        <v>0.63333090538276648</v>
      </c>
      <c r="M1970" s="144">
        <f t="shared" ca="1" si="229"/>
        <v>76.830067739820819</v>
      </c>
      <c r="N1970" s="144">
        <f t="shared" ca="1" si="229"/>
        <v>5.6420715274237017</v>
      </c>
      <c r="O1970" s="144">
        <f t="shared" ca="1" si="229"/>
        <v>30.315390778643746</v>
      </c>
      <c r="P1970" s="144">
        <f t="shared" ca="1" si="229"/>
        <v>1</v>
      </c>
      <c r="Q1970" s="144">
        <f t="shared" ca="1" si="229"/>
        <v>0.72838517007793724</v>
      </c>
    </row>
    <row r="1971" spans="1:17" x14ac:dyDescent="0.25">
      <c r="A1971" s="145">
        <v>40799</v>
      </c>
      <c r="B1971" s="144">
        <v>1.3645</v>
      </c>
      <c r="C1971" s="144">
        <v>41.246299999999998</v>
      </c>
      <c r="D1971" s="144">
        <v>7.7275</v>
      </c>
      <c r="E1971" s="144">
        <v>105.01</v>
      </c>
      <c r="F1971" s="144">
        <v>0.86314999999999997</v>
      </c>
      <c r="G1971" s="144">
        <v>1.2037</v>
      </c>
      <c r="I1971" s="144">
        <v>1</v>
      </c>
      <c r="J1971" s="145">
        <f t="shared" si="224"/>
        <v>40799</v>
      </c>
      <c r="K1971" s="144">
        <f t="shared" ca="1" si="229"/>
        <v>0.88215463539758154</v>
      </c>
      <c r="L1971" s="144">
        <f t="shared" ca="1" si="229"/>
        <v>0.63257603517772076</v>
      </c>
      <c r="M1971" s="144">
        <f t="shared" ca="1" si="229"/>
        <v>76.958592891168934</v>
      </c>
      <c r="N1971" s="144">
        <f t="shared" ca="1" si="229"/>
        <v>5.6632466104800292</v>
      </c>
      <c r="O1971" s="144">
        <f t="shared" ca="1" si="229"/>
        <v>30.228142176621471</v>
      </c>
      <c r="P1971" s="144">
        <f t="shared" ca="1" si="229"/>
        <v>1</v>
      </c>
      <c r="Q1971" s="144">
        <f t="shared" ca="1" si="229"/>
        <v>0.73286918285086111</v>
      </c>
    </row>
    <row r="1972" spans="1:17" x14ac:dyDescent="0.25">
      <c r="A1972" s="145">
        <v>40798</v>
      </c>
      <c r="B1972" s="144">
        <v>1.3655999999999999</v>
      </c>
      <c r="C1972" s="144">
        <v>41.35</v>
      </c>
      <c r="D1972" s="144">
        <v>7.5904999999999996</v>
      </c>
      <c r="E1972" s="144">
        <v>105.32</v>
      </c>
      <c r="F1972" s="144">
        <v>0.86014999999999997</v>
      </c>
      <c r="G1972" s="144">
        <v>1.2055</v>
      </c>
      <c r="I1972" s="144">
        <v>1</v>
      </c>
      <c r="J1972" s="145">
        <f t="shared" si="224"/>
        <v>40798</v>
      </c>
      <c r="K1972" s="144">
        <f t="shared" ca="1" si="229"/>
        <v>0.88276215582893969</v>
      </c>
      <c r="L1972" s="144">
        <f t="shared" ca="1" si="229"/>
        <v>0.62986965436438191</v>
      </c>
      <c r="M1972" s="144">
        <f t="shared" ca="1" si="229"/>
        <v>77.123608670181611</v>
      </c>
      <c r="N1972" s="144">
        <f t="shared" ca="1" si="229"/>
        <v>5.5583626244874047</v>
      </c>
      <c r="O1972" s="144">
        <f t="shared" ca="1" si="229"/>
        <v>30.279730521382547</v>
      </c>
      <c r="P1972" s="144">
        <f t="shared" ca="1" si="229"/>
        <v>1</v>
      </c>
      <c r="Q1972" s="144">
        <f t="shared" ca="1" si="229"/>
        <v>0.73227885178676044</v>
      </c>
    </row>
    <row r="1973" spans="1:17" x14ac:dyDescent="0.25">
      <c r="A1973" s="145">
        <v>40797</v>
      </c>
      <c r="B1973" s="144">
        <v>1.3816999999999999</v>
      </c>
      <c r="C1973" s="144">
        <v>41.198</v>
      </c>
      <c r="D1973" s="144">
        <v>7.5315000000000003</v>
      </c>
      <c r="E1973" s="144">
        <v>107.48</v>
      </c>
      <c r="F1973" s="144">
        <v>0.8659</v>
      </c>
      <c r="G1973" s="144">
        <v>1.2164999999999999</v>
      </c>
      <c r="I1973" s="144">
        <v>1</v>
      </c>
      <c r="J1973" s="145">
        <f t="shared" si="224"/>
        <v>40797</v>
      </c>
      <c r="K1973" s="144">
        <f t="shared" ca="1" si="229"/>
        <v>0.88043714265035822</v>
      </c>
      <c r="L1973" s="144">
        <f t="shared" ca="1" si="229"/>
        <v>0.62669175653180864</v>
      </c>
      <c r="M1973" s="144">
        <f t="shared" ca="1" si="229"/>
        <v>77.788231888253605</v>
      </c>
      <c r="N1973" s="144">
        <f t="shared" ca="1" si="229"/>
        <v>5.4508938264456832</v>
      </c>
      <c r="O1973" s="144">
        <f t="shared" ca="1" si="229"/>
        <v>29.816892234204243</v>
      </c>
      <c r="P1973" s="144">
        <f t="shared" ca="1" si="229"/>
        <v>1</v>
      </c>
      <c r="Q1973" s="144">
        <f t="shared" ca="1" si="229"/>
        <v>0.72374610986465948</v>
      </c>
    </row>
    <row r="1974" spans="1:17" x14ac:dyDescent="0.25">
      <c r="A1974" s="145">
        <v>40796</v>
      </c>
      <c r="B1974" s="144">
        <v>1.3816999999999999</v>
      </c>
      <c r="C1974" s="144">
        <v>41.198</v>
      </c>
      <c r="D1974" s="144">
        <v>7.5315000000000003</v>
      </c>
      <c r="E1974" s="144">
        <v>107.48</v>
      </c>
      <c r="F1974" s="144">
        <v>0.8659</v>
      </c>
      <c r="G1974" s="144">
        <v>1.2164999999999999</v>
      </c>
      <c r="I1974" s="144">
        <v>1</v>
      </c>
      <c r="J1974" s="145">
        <f t="shared" si="224"/>
        <v>40796</v>
      </c>
      <c r="K1974" s="144">
        <f t="shared" ca="1" si="229"/>
        <v>0.88043714265035822</v>
      </c>
      <c r="L1974" s="144">
        <f t="shared" ca="1" si="229"/>
        <v>0.62669175653180864</v>
      </c>
      <c r="M1974" s="144">
        <f t="shared" ca="1" si="229"/>
        <v>77.788231888253605</v>
      </c>
      <c r="N1974" s="144">
        <f t="shared" ca="1" si="229"/>
        <v>5.4508938264456832</v>
      </c>
      <c r="O1974" s="144">
        <f t="shared" ca="1" si="229"/>
        <v>29.816892234204243</v>
      </c>
      <c r="P1974" s="144">
        <f t="shared" ca="1" si="229"/>
        <v>1</v>
      </c>
      <c r="Q1974" s="144">
        <f t="shared" ca="1" si="229"/>
        <v>0.72374610986465948</v>
      </c>
    </row>
    <row r="1975" spans="1:17" x14ac:dyDescent="0.25">
      <c r="A1975" s="145">
        <v>40795</v>
      </c>
      <c r="B1975" s="144">
        <v>1.3816999999999999</v>
      </c>
      <c r="C1975" s="144">
        <v>41.198</v>
      </c>
      <c r="D1975" s="144">
        <v>7.5315000000000003</v>
      </c>
      <c r="E1975" s="144">
        <v>107.48</v>
      </c>
      <c r="F1975" s="144">
        <v>0.8659</v>
      </c>
      <c r="G1975" s="144">
        <v>1.2164999999999999</v>
      </c>
      <c r="I1975" s="144">
        <v>1</v>
      </c>
      <c r="J1975" s="145">
        <f t="shared" si="224"/>
        <v>40795</v>
      </c>
      <c r="K1975" s="144">
        <f t="shared" ref="K1975:Q1984" ca="1" si="230">OFFSET($A1975,0,K$3)/OFFSET($A1975,0,$P$3)</f>
        <v>0.88043714265035822</v>
      </c>
      <c r="L1975" s="144">
        <f t="shared" ca="1" si="230"/>
        <v>0.62669175653180864</v>
      </c>
      <c r="M1975" s="144">
        <f t="shared" ca="1" si="230"/>
        <v>77.788231888253605</v>
      </c>
      <c r="N1975" s="144">
        <f t="shared" ca="1" si="230"/>
        <v>5.4508938264456832</v>
      </c>
      <c r="O1975" s="144">
        <f t="shared" ca="1" si="230"/>
        <v>29.816892234204243</v>
      </c>
      <c r="P1975" s="144">
        <f t="shared" ca="1" si="230"/>
        <v>1</v>
      </c>
      <c r="Q1975" s="144">
        <f t="shared" ca="1" si="230"/>
        <v>0.72374610986465948</v>
      </c>
    </row>
    <row r="1976" spans="1:17" x14ac:dyDescent="0.25">
      <c r="A1976" s="145">
        <v>40794</v>
      </c>
      <c r="B1976" s="144">
        <v>1.4044000000000001</v>
      </c>
      <c r="C1976" s="144">
        <v>41.515300000000003</v>
      </c>
      <c r="D1976" s="144">
        <v>7.5585000000000004</v>
      </c>
      <c r="E1976" s="144">
        <v>108.41</v>
      </c>
      <c r="F1976" s="144">
        <v>0.87670000000000003</v>
      </c>
      <c r="G1976" s="144">
        <v>1.2135</v>
      </c>
      <c r="I1976" s="144">
        <v>1</v>
      </c>
      <c r="J1976" s="145">
        <f t="shared" si="224"/>
        <v>40794</v>
      </c>
      <c r="K1976" s="144">
        <f t="shared" ca="1" si="230"/>
        <v>0.86407006550840215</v>
      </c>
      <c r="L1976" s="144">
        <f t="shared" ca="1" si="230"/>
        <v>0.62425234975790367</v>
      </c>
      <c r="M1976" s="144">
        <f t="shared" ca="1" si="230"/>
        <v>77.193107376815718</v>
      </c>
      <c r="N1976" s="144">
        <f t="shared" ca="1" si="230"/>
        <v>5.3820136713187123</v>
      </c>
      <c r="O1976" s="144">
        <f t="shared" ca="1" si="230"/>
        <v>29.560880091142124</v>
      </c>
      <c r="P1976" s="144">
        <f t="shared" ca="1" si="230"/>
        <v>1</v>
      </c>
      <c r="Q1976" s="144">
        <f t="shared" ca="1" si="230"/>
        <v>0.71204784961549417</v>
      </c>
    </row>
    <row r="1977" spans="1:17" x14ac:dyDescent="0.25">
      <c r="A1977" s="145">
        <v>40793</v>
      </c>
      <c r="B1977" s="144">
        <v>1.4036</v>
      </c>
      <c r="C1977" s="144">
        <v>41.468800000000002</v>
      </c>
      <c r="D1977" s="144">
        <v>7.5425000000000004</v>
      </c>
      <c r="E1977" s="144">
        <v>108.38</v>
      </c>
      <c r="F1977" s="144">
        <v>0.878</v>
      </c>
      <c r="G1977" s="144">
        <v>1.2052</v>
      </c>
      <c r="I1977" s="144">
        <v>1</v>
      </c>
      <c r="J1977" s="145">
        <f t="shared" si="224"/>
        <v>40793</v>
      </c>
      <c r="K1977" s="144">
        <f t="shared" ca="1" si="230"/>
        <v>0.85864918780279287</v>
      </c>
      <c r="L1977" s="144">
        <f t="shared" ca="1" si="230"/>
        <v>0.62553434026788257</v>
      </c>
      <c r="M1977" s="144">
        <f t="shared" ca="1" si="230"/>
        <v>77.215730977486459</v>
      </c>
      <c r="N1977" s="144">
        <f t="shared" ca="1" si="230"/>
        <v>5.373681960672557</v>
      </c>
      <c r="O1977" s="144">
        <f t="shared" ca="1" si="230"/>
        <v>29.544599601025936</v>
      </c>
      <c r="P1977" s="144">
        <f t="shared" ca="1" si="230"/>
        <v>1</v>
      </c>
      <c r="Q1977" s="144">
        <f t="shared" ca="1" si="230"/>
        <v>0.71245369051011687</v>
      </c>
    </row>
    <row r="1978" spans="1:17" x14ac:dyDescent="0.25">
      <c r="A1978" s="145">
        <v>40792</v>
      </c>
      <c r="B1978" s="144">
        <v>1.4098999999999999</v>
      </c>
      <c r="C1978" s="144">
        <v>41.705800000000004</v>
      </c>
      <c r="D1978" s="144">
        <v>7.5964999999999998</v>
      </c>
      <c r="E1978" s="144">
        <v>109.09</v>
      </c>
      <c r="F1978" s="144">
        <v>0.87709999999999999</v>
      </c>
      <c r="G1978" s="144">
        <v>1.2036</v>
      </c>
      <c r="I1978" s="144">
        <v>1</v>
      </c>
      <c r="J1978" s="145">
        <f t="shared" si="224"/>
        <v>40792</v>
      </c>
      <c r="K1978" s="144">
        <f t="shared" ca="1" si="230"/>
        <v>0.85367756578480747</v>
      </c>
      <c r="L1978" s="144">
        <f t="shared" ca="1" si="230"/>
        <v>0.62210085821689487</v>
      </c>
      <c r="M1978" s="144">
        <f t="shared" ca="1" si="230"/>
        <v>77.374281863961983</v>
      </c>
      <c r="N1978" s="144">
        <f t="shared" ca="1" si="230"/>
        <v>5.3879707780693664</v>
      </c>
      <c r="O1978" s="144">
        <f t="shared" ca="1" si="230"/>
        <v>29.580679480814247</v>
      </c>
      <c r="P1978" s="144">
        <f t="shared" ca="1" si="230"/>
        <v>1</v>
      </c>
      <c r="Q1978" s="144">
        <f t="shared" ca="1" si="230"/>
        <v>0.7092701610043266</v>
      </c>
    </row>
    <row r="1979" spans="1:17" x14ac:dyDescent="0.25">
      <c r="A1979" s="145">
        <v>40791</v>
      </c>
      <c r="B1979" s="144">
        <v>1.4126000000000001</v>
      </c>
      <c r="C1979" s="144">
        <v>41.589399999999998</v>
      </c>
      <c r="D1979" s="144">
        <v>7.6725000000000003</v>
      </c>
      <c r="E1979" s="144">
        <v>108.56</v>
      </c>
      <c r="F1979" s="144">
        <v>0.87509999999999999</v>
      </c>
      <c r="G1979" s="144">
        <v>1.1111</v>
      </c>
      <c r="I1979" s="144">
        <v>1</v>
      </c>
      <c r="J1979" s="145">
        <f t="shared" si="224"/>
        <v>40791</v>
      </c>
      <c r="K1979" s="144">
        <f t="shared" ca="1" si="230"/>
        <v>0.78656378309500208</v>
      </c>
      <c r="L1979" s="144">
        <f t="shared" ca="1" si="230"/>
        <v>0.61949596488744152</v>
      </c>
      <c r="M1979" s="144">
        <f t="shared" ca="1" si="230"/>
        <v>76.851196375477841</v>
      </c>
      <c r="N1979" s="144">
        <f t="shared" ca="1" si="230"/>
        <v>5.4314738779555425</v>
      </c>
      <c r="O1979" s="144">
        <f t="shared" ca="1" si="230"/>
        <v>29.441738637972531</v>
      </c>
      <c r="P1979" s="144">
        <f t="shared" ca="1" si="230"/>
        <v>1</v>
      </c>
      <c r="Q1979" s="144">
        <f t="shared" ca="1" si="230"/>
        <v>0.70791448393034118</v>
      </c>
    </row>
    <row r="1980" spans="1:17" x14ac:dyDescent="0.25">
      <c r="A1980" s="145">
        <v>40790</v>
      </c>
      <c r="B1980" s="144">
        <v>1.4255</v>
      </c>
      <c r="C1980" s="144">
        <v>41.45</v>
      </c>
      <c r="D1980" s="144">
        <v>7.6764999999999999</v>
      </c>
      <c r="E1980" s="144">
        <v>109.56</v>
      </c>
      <c r="F1980" s="144">
        <v>0.87890000000000001</v>
      </c>
      <c r="G1980" s="144">
        <v>1.1132</v>
      </c>
      <c r="I1980" s="144">
        <v>1</v>
      </c>
      <c r="J1980" s="145">
        <f t="shared" si="224"/>
        <v>40790</v>
      </c>
      <c r="K1980" s="144">
        <f t="shared" ca="1" si="230"/>
        <v>0.78091897579796565</v>
      </c>
      <c r="L1980" s="144">
        <f t="shared" ca="1" si="230"/>
        <v>0.61655559452823572</v>
      </c>
      <c r="M1980" s="144">
        <f t="shared" ca="1" si="230"/>
        <v>76.85724307260611</v>
      </c>
      <c r="N1980" s="144">
        <f t="shared" ca="1" si="230"/>
        <v>5.3851280252542963</v>
      </c>
      <c r="O1980" s="144">
        <f t="shared" ca="1" si="230"/>
        <v>29.077516660820766</v>
      </c>
      <c r="P1980" s="144">
        <f t="shared" ca="1" si="230"/>
        <v>1</v>
      </c>
      <c r="Q1980" s="144">
        <f t="shared" ca="1" si="230"/>
        <v>0.70150824272185197</v>
      </c>
    </row>
    <row r="1981" spans="1:17" x14ac:dyDescent="0.25">
      <c r="A1981" s="145">
        <v>40789</v>
      </c>
      <c r="B1981" s="144">
        <v>1.4255</v>
      </c>
      <c r="C1981" s="144">
        <v>41.45</v>
      </c>
      <c r="D1981" s="144">
        <v>7.6764999999999999</v>
      </c>
      <c r="E1981" s="144">
        <v>109.56</v>
      </c>
      <c r="F1981" s="144">
        <v>0.87890000000000001</v>
      </c>
      <c r="G1981" s="144">
        <v>1.1132</v>
      </c>
      <c r="I1981" s="144">
        <v>1</v>
      </c>
      <c r="J1981" s="145">
        <f t="shared" si="224"/>
        <v>40789</v>
      </c>
      <c r="K1981" s="144">
        <f t="shared" ca="1" si="230"/>
        <v>0.78091897579796565</v>
      </c>
      <c r="L1981" s="144">
        <f t="shared" ca="1" si="230"/>
        <v>0.61655559452823572</v>
      </c>
      <c r="M1981" s="144">
        <f t="shared" ca="1" si="230"/>
        <v>76.85724307260611</v>
      </c>
      <c r="N1981" s="144">
        <f t="shared" ca="1" si="230"/>
        <v>5.3851280252542963</v>
      </c>
      <c r="O1981" s="144">
        <f t="shared" ca="1" si="230"/>
        <v>29.077516660820766</v>
      </c>
      <c r="P1981" s="144">
        <f t="shared" ca="1" si="230"/>
        <v>1</v>
      </c>
      <c r="Q1981" s="144">
        <f t="shared" ca="1" si="230"/>
        <v>0.70150824272185197</v>
      </c>
    </row>
    <row r="1982" spans="1:17" x14ac:dyDescent="0.25">
      <c r="A1982" s="145">
        <v>40788</v>
      </c>
      <c r="B1982" s="144">
        <v>1.4255</v>
      </c>
      <c r="C1982" s="144">
        <v>41.45</v>
      </c>
      <c r="D1982" s="144">
        <v>7.6764999999999999</v>
      </c>
      <c r="E1982" s="144">
        <v>109.56</v>
      </c>
      <c r="F1982" s="144">
        <v>0.87890000000000001</v>
      </c>
      <c r="G1982" s="144">
        <v>1.1132</v>
      </c>
      <c r="I1982" s="144">
        <v>1</v>
      </c>
      <c r="J1982" s="145">
        <f t="shared" si="224"/>
        <v>40788</v>
      </c>
      <c r="K1982" s="144">
        <f t="shared" ca="1" si="230"/>
        <v>0.78091897579796565</v>
      </c>
      <c r="L1982" s="144">
        <f t="shared" ca="1" si="230"/>
        <v>0.61655559452823572</v>
      </c>
      <c r="M1982" s="144">
        <f t="shared" ca="1" si="230"/>
        <v>76.85724307260611</v>
      </c>
      <c r="N1982" s="144">
        <f t="shared" ca="1" si="230"/>
        <v>5.3851280252542963</v>
      </c>
      <c r="O1982" s="144">
        <f t="shared" ca="1" si="230"/>
        <v>29.077516660820766</v>
      </c>
      <c r="P1982" s="144">
        <f t="shared" ca="1" si="230"/>
        <v>1</v>
      </c>
      <c r="Q1982" s="144">
        <f t="shared" ca="1" si="230"/>
        <v>0.70150824272185197</v>
      </c>
    </row>
    <row r="1983" spans="1:17" x14ac:dyDescent="0.25">
      <c r="A1983" s="145">
        <v>40787</v>
      </c>
      <c r="B1983" s="144">
        <v>1.4285000000000001</v>
      </c>
      <c r="C1983" s="144">
        <v>41.412999999999997</v>
      </c>
      <c r="D1983" s="144">
        <v>7.6849999999999996</v>
      </c>
      <c r="E1983" s="144">
        <v>110.08</v>
      </c>
      <c r="F1983" s="144">
        <v>0.88119999999999998</v>
      </c>
      <c r="G1983" s="144">
        <v>1.1416999999999999</v>
      </c>
      <c r="I1983" s="144">
        <v>1</v>
      </c>
      <c r="J1983" s="145">
        <f t="shared" si="224"/>
        <v>40787</v>
      </c>
      <c r="K1983" s="144">
        <f t="shared" ca="1" si="230"/>
        <v>0.79922996149807479</v>
      </c>
      <c r="L1983" s="144">
        <f t="shared" ca="1" si="230"/>
        <v>0.61687084354217703</v>
      </c>
      <c r="M1983" s="144">
        <f t="shared" ca="1" si="230"/>
        <v>77.059852992649624</v>
      </c>
      <c r="N1983" s="144">
        <f t="shared" ca="1" si="230"/>
        <v>5.3797689884494222</v>
      </c>
      <c r="O1983" s="144">
        <f t="shared" ca="1" si="230"/>
        <v>28.990549527476368</v>
      </c>
      <c r="P1983" s="144">
        <f t="shared" ca="1" si="230"/>
        <v>1</v>
      </c>
      <c r="Q1983" s="144">
        <f t="shared" ca="1" si="230"/>
        <v>0.70003500175008748</v>
      </c>
    </row>
    <row r="1984" spans="1:17" x14ac:dyDescent="0.25">
      <c r="A1984" s="145">
        <v>40786</v>
      </c>
      <c r="B1984" s="144">
        <v>1.4450000000000001</v>
      </c>
      <c r="C1984" s="144">
        <v>41.785499999999999</v>
      </c>
      <c r="D1984" s="144">
        <v>7.7394999999999996</v>
      </c>
      <c r="E1984" s="144">
        <v>110.55</v>
      </c>
      <c r="F1984" s="144">
        <v>0.88560000000000005</v>
      </c>
      <c r="G1984" s="144">
        <v>1.167</v>
      </c>
      <c r="I1984" s="144">
        <v>1</v>
      </c>
      <c r="J1984" s="145">
        <f t="shared" si="224"/>
        <v>40786</v>
      </c>
      <c r="K1984" s="144">
        <f t="shared" ca="1" si="230"/>
        <v>0.80761245674740478</v>
      </c>
      <c r="L1984" s="144">
        <f t="shared" ca="1" si="230"/>
        <v>0.61287197231833912</v>
      </c>
      <c r="M1984" s="144">
        <f t="shared" ca="1" si="230"/>
        <v>76.505190311418673</v>
      </c>
      <c r="N1984" s="144">
        <f t="shared" ca="1" si="230"/>
        <v>5.3560553633217989</v>
      </c>
      <c r="O1984" s="144">
        <f t="shared" ca="1" si="230"/>
        <v>28.917301038062281</v>
      </c>
      <c r="P1984" s="144">
        <f t="shared" ca="1" si="230"/>
        <v>1</v>
      </c>
      <c r="Q1984" s="144">
        <f t="shared" ca="1" si="230"/>
        <v>0.69204152249134943</v>
      </c>
    </row>
    <row r="1985" spans="1:17" x14ac:dyDescent="0.25">
      <c r="A1985" s="145">
        <v>40785</v>
      </c>
      <c r="B1985" s="144">
        <v>1.4401999999999999</v>
      </c>
      <c r="C1985" s="144">
        <v>41.8</v>
      </c>
      <c r="D1985" s="144">
        <v>7.7720000000000002</v>
      </c>
      <c r="E1985" s="144">
        <v>110.55</v>
      </c>
      <c r="F1985" s="144">
        <v>0.88365000000000005</v>
      </c>
      <c r="G1985" s="144">
        <v>1.1835</v>
      </c>
      <c r="I1985" s="144">
        <v>1</v>
      </c>
      <c r="J1985" s="145">
        <f t="shared" si="224"/>
        <v>40785</v>
      </c>
      <c r="K1985" s="144">
        <f t="shared" ref="K1985:Q1994" ca="1" si="231">OFFSET($A1985,0,K$3)/OFFSET($A1985,0,$P$3)</f>
        <v>0.82176086654631308</v>
      </c>
      <c r="L1985" s="144">
        <f t="shared" ca="1" si="231"/>
        <v>0.61356061658103045</v>
      </c>
      <c r="M1985" s="144">
        <f t="shared" ca="1" si="231"/>
        <v>76.760172198305796</v>
      </c>
      <c r="N1985" s="144">
        <f t="shared" ca="1" si="231"/>
        <v>5.3964727121233169</v>
      </c>
      <c r="O1985" s="144">
        <f t="shared" ca="1" si="231"/>
        <v>29.023746701846964</v>
      </c>
      <c r="P1985" s="144">
        <f t="shared" ca="1" si="231"/>
        <v>1</v>
      </c>
      <c r="Q1985" s="144">
        <f t="shared" ca="1" si="231"/>
        <v>0.69434800722121937</v>
      </c>
    </row>
    <row r="1986" spans="1:17" x14ac:dyDescent="0.25">
      <c r="A1986" s="145">
        <v>40784</v>
      </c>
      <c r="B1986" s="144">
        <v>1.4487000000000001</v>
      </c>
      <c r="C1986" s="144">
        <v>41.780799999999999</v>
      </c>
      <c r="D1986" s="144">
        <v>7.774</v>
      </c>
      <c r="E1986" s="144">
        <v>111.05</v>
      </c>
      <c r="F1986" s="144">
        <v>0.88460000000000005</v>
      </c>
      <c r="G1986" s="144">
        <v>1.1823999999999999</v>
      </c>
      <c r="I1986" s="144">
        <v>1</v>
      </c>
      <c r="J1986" s="145">
        <f t="shared" si="224"/>
        <v>40784</v>
      </c>
      <c r="K1986" s="144">
        <f t="shared" ca="1" si="231"/>
        <v>0.81618002346931717</v>
      </c>
      <c r="L1986" s="144">
        <f t="shared" ca="1" si="231"/>
        <v>0.61061641471664252</v>
      </c>
      <c r="M1986" s="144">
        <f t="shared" ca="1" si="231"/>
        <v>76.654932008007165</v>
      </c>
      <c r="N1986" s="144">
        <f t="shared" ca="1" si="231"/>
        <v>5.3661903775798985</v>
      </c>
      <c r="O1986" s="144">
        <f t="shared" ca="1" si="231"/>
        <v>28.840201560019324</v>
      </c>
      <c r="P1986" s="144">
        <f t="shared" ca="1" si="231"/>
        <v>1</v>
      </c>
      <c r="Q1986" s="144">
        <f t="shared" ca="1" si="231"/>
        <v>0.69027403879340088</v>
      </c>
    </row>
    <row r="1987" spans="1:17" x14ac:dyDescent="0.25">
      <c r="A1987" s="145">
        <v>40783</v>
      </c>
      <c r="B1987" s="144">
        <v>1.4401999999999999</v>
      </c>
      <c r="C1987" s="144">
        <v>41.65</v>
      </c>
      <c r="D1987" s="144">
        <v>7.7735000000000003</v>
      </c>
      <c r="E1987" s="144">
        <v>110.41</v>
      </c>
      <c r="F1987" s="144">
        <v>0.88565000000000005</v>
      </c>
      <c r="G1987" s="144">
        <v>1.1457999999999999</v>
      </c>
      <c r="I1987" s="144">
        <v>1</v>
      </c>
      <c r="J1987" s="145">
        <f t="shared" si="224"/>
        <v>40783</v>
      </c>
      <c r="K1987" s="144">
        <f t="shared" ca="1" si="231"/>
        <v>0.79558394667407306</v>
      </c>
      <c r="L1987" s="144">
        <f t="shared" ca="1" si="231"/>
        <v>0.61494931259547292</v>
      </c>
      <c r="M1987" s="144">
        <f t="shared" ca="1" si="231"/>
        <v>76.662963477294824</v>
      </c>
      <c r="N1987" s="144">
        <f t="shared" ca="1" si="231"/>
        <v>5.3975142341341487</v>
      </c>
      <c r="O1987" s="144">
        <f t="shared" ca="1" si="231"/>
        <v>28.919594500763782</v>
      </c>
      <c r="P1987" s="144">
        <f t="shared" ca="1" si="231"/>
        <v>1</v>
      </c>
      <c r="Q1987" s="144">
        <f t="shared" ca="1" si="231"/>
        <v>0.69434800722121937</v>
      </c>
    </row>
    <row r="1988" spans="1:17" x14ac:dyDescent="0.25">
      <c r="A1988" s="145">
        <v>40782</v>
      </c>
      <c r="B1988" s="144">
        <v>1.4401999999999999</v>
      </c>
      <c r="C1988" s="144">
        <v>41.65</v>
      </c>
      <c r="D1988" s="144">
        <v>7.7735000000000003</v>
      </c>
      <c r="E1988" s="144">
        <v>110.41</v>
      </c>
      <c r="F1988" s="144">
        <v>0.88565000000000005</v>
      </c>
      <c r="G1988" s="144">
        <v>1.1457999999999999</v>
      </c>
      <c r="I1988" s="144">
        <v>1</v>
      </c>
      <c r="J1988" s="145">
        <f t="shared" si="224"/>
        <v>40782</v>
      </c>
      <c r="K1988" s="144">
        <f t="shared" ca="1" si="231"/>
        <v>0.79558394667407306</v>
      </c>
      <c r="L1988" s="144">
        <f t="shared" ca="1" si="231"/>
        <v>0.61494931259547292</v>
      </c>
      <c r="M1988" s="144">
        <f t="shared" ca="1" si="231"/>
        <v>76.662963477294824</v>
      </c>
      <c r="N1988" s="144">
        <f t="shared" ca="1" si="231"/>
        <v>5.3975142341341487</v>
      </c>
      <c r="O1988" s="144">
        <f t="shared" ca="1" si="231"/>
        <v>28.919594500763782</v>
      </c>
      <c r="P1988" s="144">
        <f t="shared" ca="1" si="231"/>
        <v>1</v>
      </c>
      <c r="Q1988" s="144">
        <f t="shared" ca="1" si="231"/>
        <v>0.69434800722121937</v>
      </c>
    </row>
    <row r="1989" spans="1:17" x14ac:dyDescent="0.25">
      <c r="A1989" s="145">
        <v>40781</v>
      </c>
      <c r="B1989" s="144">
        <v>1.4401999999999999</v>
      </c>
      <c r="C1989" s="144">
        <v>41.65</v>
      </c>
      <c r="D1989" s="144">
        <v>7.7735000000000003</v>
      </c>
      <c r="E1989" s="144">
        <v>110.41</v>
      </c>
      <c r="F1989" s="144">
        <v>0.88565000000000005</v>
      </c>
      <c r="G1989" s="144">
        <v>1.1457999999999999</v>
      </c>
      <c r="I1989" s="144">
        <v>1</v>
      </c>
      <c r="J1989" s="145">
        <f t="shared" ref="J1989:J2052" si="232">A1989</f>
        <v>40781</v>
      </c>
      <c r="K1989" s="144">
        <f t="shared" ca="1" si="231"/>
        <v>0.79558394667407306</v>
      </c>
      <c r="L1989" s="144">
        <f t="shared" ca="1" si="231"/>
        <v>0.61494931259547292</v>
      </c>
      <c r="M1989" s="144">
        <f t="shared" ca="1" si="231"/>
        <v>76.662963477294824</v>
      </c>
      <c r="N1989" s="144">
        <f t="shared" ca="1" si="231"/>
        <v>5.3975142341341487</v>
      </c>
      <c r="O1989" s="144">
        <f t="shared" ca="1" si="231"/>
        <v>28.919594500763782</v>
      </c>
      <c r="P1989" s="144">
        <f t="shared" ca="1" si="231"/>
        <v>1</v>
      </c>
      <c r="Q1989" s="144">
        <f t="shared" ca="1" si="231"/>
        <v>0.69434800722121937</v>
      </c>
    </row>
    <row r="1990" spans="1:17" x14ac:dyDescent="0.25">
      <c r="A1990" s="145">
        <v>40780</v>
      </c>
      <c r="B1990" s="144">
        <v>1.4423999999999999</v>
      </c>
      <c r="C1990" s="144">
        <v>41.596499999999999</v>
      </c>
      <c r="D1990" s="144">
        <v>7.7880000000000003</v>
      </c>
      <c r="E1990" s="144">
        <v>111.31</v>
      </c>
      <c r="F1990" s="144">
        <v>0.88119999999999998</v>
      </c>
      <c r="G1990" s="144">
        <v>1.1466000000000001</v>
      </c>
      <c r="I1990" s="144">
        <v>1</v>
      </c>
      <c r="J1990" s="145">
        <f t="shared" si="232"/>
        <v>40780</v>
      </c>
      <c r="K1990" s="144">
        <f t="shared" ca="1" si="231"/>
        <v>0.79492512479201338</v>
      </c>
      <c r="L1990" s="144">
        <f t="shared" ca="1" si="231"/>
        <v>0.61092623405435387</v>
      </c>
      <c r="M1990" s="144">
        <f t="shared" ca="1" si="231"/>
        <v>77.169994453688304</v>
      </c>
      <c r="N1990" s="144">
        <f t="shared" ca="1" si="231"/>
        <v>5.3993344425956744</v>
      </c>
      <c r="O1990" s="144">
        <f t="shared" ca="1" si="231"/>
        <v>28.838394342762065</v>
      </c>
      <c r="P1990" s="144">
        <f t="shared" ca="1" si="231"/>
        <v>1</v>
      </c>
      <c r="Q1990" s="144">
        <f t="shared" ca="1" si="231"/>
        <v>0.69328896283971164</v>
      </c>
    </row>
    <row r="1991" spans="1:17" x14ac:dyDescent="0.25">
      <c r="A1991" s="145">
        <v>40779</v>
      </c>
      <c r="B1991" s="144">
        <v>1.4433</v>
      </c>
      <c r="C1991" s="144">
        <v>41.752499999999998</v>
      </c>
      <c r="D1991" s="144">
        <v>7.8425000000000002</v>
      </c>
      <c r="E1991" s="144">
        <v>110.51</v>
      </c>
      <c r="F1991" s="144">
        <v>0.87709999999999999</v>
      </c>
      <c r="G1991" s="144">
        <v>1.1403000000000001</v>
      </c>
      <c r="I1991" s="144">
        <v>1</v>
      </c>
      <c r="J1991" s="145">
        <f t="shared" si="232"/>
        <v>40779</v>
      </c>
      <c r="K1991" s="144">
        <f t="shared" ca="1" si="231"/>
        <v>0.79006443566826023</v>
      </c>
      <c r="L1991" s="144">
        <f t="shared" ca="1" si="231"/>
        <v>0.60770456592531008</v>
      </c>
      <c r="M1991" s="144">
        <f t="shared" ca="1" si="231"/>
        <v>76.567588166008449</v>
      </c>
      <c r="N1991" s="144">
        <f t="shared" ca="1" si="231"/>
        <v>5.4337282616226705</v>
      </c>
      <c r="O1991" s="144">
        <f t="shared" ca="1" si="231"/>
        <v>28.928497193930575</v>
      </c>
      <c r="P1991" s="144">
        <f t="shared" ca="1" si="231"/>
        <v>1</v>
      </c>
      <c r="Q1991" s="144">
        <f t="shared" ca="1" si="231"/>
        <v>0.69285664795953716</v>
      </c>
    </row>
    <row r="1992" spans="1:17" x14ac:dyDescent="0.25">
      <c r="A1992" s="145">
        <v>40778</v>
      </c>
      <c r="B1992" s="144">
        <v>1.4461999999999999</v>
      </c>
      <c r="C1992" s="144">
        <v>41.825499999999998</v>
      </c>
      <c r="D1992" s="144">
        <v>7.8079999999999998</v>
      </c>
      <c r="E1992" s="144">
        <v>110.72</v>
      </c>
      <c r="F1992" s="144">
        <v>0.876</v>
      </c>
      <c r="G1992" s="144">
        <v>1.141</v>
      </c>
      <c r="I1992" s="144">
        <v>1</v>
      </c>
      <c r="J1992" s="145">
        <f t="shared" si="232"/>
        <v>40778</v>
      </c>
      <c r="K1992" s="144">
        <f t="shared" ca="1" si="231"/>
        <v>0.78896418199419172</v>
      </c>
      <c r="L1992" s="144">
        <f t="shared" ca="1" si="231"/>
        <v>0.60572534919098331</v>
      </c>
      <c r="M1992" s="144">
        <f t="shared" ca="1" si="231"/>
        <v>76.559258747061264</v>
      </c>
      <c r="N1992" s="144">
        <f t="shared" ca="1" si="231"/>
        <v>5.3989766284054763</v>
      </c>
      <c r="O1992" s="144">
        <f t="shared" ca="1" si="231"/>
        <v>28.920965288341861</v>
      </c>
      <c r="P1992" s="144">
        <f t="shared" ca="1" si="231"/>
        <v>1</v>
      </c>
      <c r="Q1992" s="144">
        <f t="shared" ca="1" si="231"/>
        <v>0.69146729359701287</v>
      </c>
    </row>
    <row r="1993" spans="1:17" x14ac:dyDescent="0.25">
      <c r="A1993" s="145">
        <v>40777</v>
      </c>
      <c r="B1993" s="144">
        <v>1.4413</v>
      </c>
      <c r="C1993" s="144">
        <v>41.922499999999999</v>
      </c>
      <c r="D1993" s="144">
        <v>7.8360000000000003</v>
      </c>
      <c r="E1993" s="144">
        <v>110.65</v>
      </c>
      <c r="F1993" s="144">
        <v>0.87365000000000004</v>
      </c>
      <c r="G1993" s="144">
        <v>1.1341000000000001</v>
      </c>
      <c r="I1993" s="144">
        <v>1</v>
      </c>
      <c r="J1993" s="145">
        <f t="shared" si="232"/>
        <v>40777</v>
      </c>
      <c r="K1993" s="144">
        <f t="shared" ca="1" si="231"/>
        <v>0.7868590855477694</v>
      </c>
      <c r="L1993" s="144">
        <f t="shared" ca="1" si="231"/>
        <v>0.6061541663775758</v>
      </c>
      <c r="M1993" s="144">
        <f t="shared" ca="1" si="231"/>
        <v>76.770970651495176</v>
      </c>
      <c r="N1993" s="144">
        <f t="shared" ca="1" si="231"/>
        <v>5.4367584819260388</v>
      </c>
      <c r="O1993" s="144">
        <f t="shared" ca="1" si="231"/>
        <v>29.086588496496219</v>
      </c>
      <c r="P1993" s="144">
        <f t="shared" ca="1" si="231"/>
        <v>1</v>
      </c>
      <c r="Q1993" s="144">
        <f t="shared" ca="1" si="231"/>
        <v>0.69381808089918817</v>
      </c>
    </row>
    <row r="1994" spans="1:17" x14ac:dyDescent="0.25">
      <c r="A1994" s="145">
        <v>40776</v>
      </c>
      <c r="B1994" s="144">
        <v>1.4384999999999999</v>
      </c>
      <c r="C1994" s="144">
        <v>41.911499999999997</v>
      </c>
      <c r="D1994" s="144">
        <v>7.8574999999999999</v>
      </c>
      <c r="E1994" s="144">
        <v>110</v>
      </c>
      <c r="F1994" s="144">
        <v>0.86965000000000003</v>
      </c>
      <c r="G1994" s="144">
        <v>1.1339999999999999</v>
      </c>
      <c r="I1994" s="144">
        <v>1</v>
      </c>
      <c r="J1994" s="145">
        <f t="shared" si="232"/>
        <v>40776</v>
      </c>
      <c r="K1994" s="144">
        <f t="shared" ca="1" si="231"/>
        <v>0.78832116788321172</v>
      </c>
      <c r="L1994" s="144">
        <f t="shared" ca="1" si="231"/>
        <v>0.60455335418839073</v>
      </c>
      <c r="M1994" s="144">
        <f t="shared" ca="1" si="231"/>
        <v>76.468543621828303</v>
      </c>
      <c r="N1994" s="144">
        <f t="shared" ca="1" si="231"/>
        <v>5.4622871046228711</v>
      </c>
      <c r="O1994" s="144">
        <f t="shared" ca="1" si="231"/>
        <v>29.135557872784151</v>
      </c>
      <c r="P1994" s="144">
        <f t="shared" ca="1" si="231"/>
        <v>1</v>
      </c>
      <c r="Q1994" s="144">
        <f t="shared" ca="1" si="231"/>
        <v>0.69516857838025725</v>
      </c>
    </row>
    <row r="1995" spans="1:17" x14ac:dyDescent="0.25">
      <c r="A1995" s="145">
        <v>40775</v>
      </c>
      <c r="B1995" s="144">
        <v>1.4384999999999999</v>
      </c>
      <c r="C1995" s="144">
        <v>41.911499999999997</v>
      </c>
      <c r="D1995" s="144">
        <v>7.8574999999999999</v>
      </c>
      <c r="E1995" s="144">
        <v>110</v>
      </c>
      <c r="F1995" s="144">
        <v>0.86965000000000003</v>
      </c>
      <c r="G1995" s="144">
        <v>1.1339999999999999</v>
      </c>
      <c r="I1995" s="144">
        <v>1</v>
      </c>
      <c r="J1995" s="145">
        <f t="shared" si="232"/>
        <v>40775</v>
      </c>
      <c r="K1995" s="144">
        <f t="shared" ref="K1995:Q2004" ca="1" si="233">OFFSET($A1995,0,K$3)/OFFSET($A1995,0,$P$3)</f>
        <v>0.78832116788321172</v>
      </c>
      <c r="L1995" s="144">
        <f t="shared" ca="1" si="233"/>
        <v>0.60455335418839073</v>
      </c>
      <c r="M1995" s="144">
        <f t="shared" ca="1" si="233"/>
        <v>76.468543621828303</v>
      </c>
      <c r="N1995" s="144">
        <f t="shared" ca="1" si="233"/>
        <v>5.4622871046228711</v>
      </c>
      <c r="O1995" s="144">
        <f t="shared" ca="1" si="233"/>
        <v>29.135557872784151</v>
      </c>
      <c r="P1995" s="144">
        <f t="shared" ca="1" si="233"/>
        <v>1</v>
      </c>
      <c r="Q1995" s="144">
        <f t="shared" ca="1" si="233"/>
        <v>0.69516857838025725</v>
      </c>
    </row>
    <row r="1996" spans="1:17" x14ac:dyDescent="0.25">
      <c r="A1996" s="145">
        <v>40774</v>
      </c>
      <c r="B1996" s="144">
        <v>1.4384999999999999</v>
      </c>
      <c r="C1996" s="144">
        <v>41.911499999999997</v>
      </c>
      <c r="D1996" s="144">
        <v>7.8574999999999999</v>
      </c>
      <c r="E1996" s="144">
        <v>110</v>
      </c>
      <c r="F1996" s="144">
        <v>0.86965000000000003</v>
      </c>
      <c r="G1996" s="144">
        <v>1.1339999999999999</v>
      </c>
      <c r="I1996" s="144">
        <v>1</v>
      </c>
      <c r="J1996" s="145">
        <f t="shared" si="232"/>
        <v>40774</v>
      </c>
      <c r="K1996" s="144">
        <f t="shared" ca="1" si="233"/>
        <v>0.78832116788321172</v>
      </c>
      <c r="L1996" s="144">
        <f t="shared" ca="1" si="233"/>
        <v>0.60455335418839073</v>
      </c>
      <c r="M1996" s="144">
        <f t="shared" ca="1" si="233"/>
        <v>76.468543621828303</v>
      </c>
      <c r="N1996" s="144">
        <f t="shared" ca="1" si="233"/>
        <v>5.4622871046228711</v>
      </c>
      <c r="O1996" s="144">
        <f t="shared" ca="1" si="233"/>
        <v>29.135557872784151</v>
      </c>
      <c r="P1996" s="144">
        <f t="shared" ca="1" si="233"/>
        <v>1</v>
      </c>
      <c r="Q1996" s="144">
        <f t="shared" ca="1" si="233"/>
        <v>0.69516857838025725</v>
      </c>
    </row>
    <row r="1997" spans="1:17" x14ac:dyDescent="0.25">
      <c r="A1997" s="145">
        <v>40773</v>
      </c>
      <c r="B1997" s="144">
        <v>1.4369000000000001</v>
      </c>
      <c r="C1997" s="144">
        <v>41.872500000000002</v>
      </c>
      <c r="D1997" s="144">
        <v>7.8034999999999997</v>
      </c>
      <c r="E1997" s="144">
        <v>110.08</v>
      </c>
      <c r="F1997" s="144">
        <v>0.87060000000000004</v>
      </c>
      <c r="G1997" s="144">
        <v>1.141</v>
      </c>
      <c r="I1997" s="144">
        <v>1</v>
      </c>
      <c r="J1997" s="145">
        <f t="shared" si="232"/>
        <v>40773</v>
      </c>
      <c r="K1997" s="144">
        <f t="shared" ca="1" si="233"/>
        <v>0.79407056858514857</v>
      </c>
      <c r="L1997" s="144">
        <f t="shared" ca="1" si="233"/>
        <v>0.60588767485559192</v>
      </c>
      <c r="M1997" s="144">
        <f t="shared" ca="1" si="233"/>
        <v>76.609367388127211</v>
      </c>
      <c r="N1997" s="144">
        <f t="shared" ca="1" si="233"/>
        <v>5.4307885030273502</v>
      </c>
      <c r="O1997" s="144">
        <f t="shared" ca="1" si="233"/>
        <v>29.140858793235438</v>
      </c>
      <c r="P1997" s="144">
        <f t="shared" ca="1" si="233"/>
        <v>1</v>
      </c>
      <c r="Q1997" s="144">
        <f t="shared" ca="1" si="233"/>
        <v>0.69594265432528357</v>
      </c>
    </row>
    <row r="1998" spans="1:17" x14ac:dyDescent="0.25">
      <c r="A1998" s="145">
        <v>40772</v>
      </c>
      <c r="B1998" s="144">
        <v>1.4477</v>
      </c>
      <c r="C1998" s="144">
        <v>41.474400000000003</v>
      </c>
      <c r="D1998" s="144">
        <v>7.7984999999999998</v>
      </c>
      <c r="E1998" s="144">
        <v>110.77</v>
      </c>
      <c r="F1998" s="144">
        <v>0.87760000000000005</v>
      </c>
      <c r="G1998" s="144">
        <v>1.1402000000000001</v>
      </c>
      <c r="I1998" s="144">
        <v>1</v>
      </c>
      <c r="J1998" s="145">
        <f t="shared" si="232"/>
        <v>40772</v>
      </c>
      <c r="K1998" s="144">
        <f t="shared" ca="1" si="233"/>
        <v>0.78759411480279073</v>
      </c>
      <c r="L1998" s="144">
        <f t="shared" ca="1" si="233"/>
        <v>0.60620294259860474</v>
      </c>
      <c r="M1998" s="144">
        <f t="shared" ca="1" si="233"/>
        <v>76.514471230227258</v>
      </c>
      <c r="N1998" s="144">
        <f t="shared" ca="1" si="233"/>
        <v>5.3868204738550807</v>
      </c>
      <c r="O1998" s="144">
        <f t="shared" ca="1" si="233"/>
        <v>28.648476894384199</v>
      </c>
      <c r="P1998" s="144">
        <f t="shared" ca="1" si="233"/>
        <v>1</v>
      </c>
      <c r="Q1998" s="144">
        <f t="shared" ca="1" si="233"/>
        <v>0.69075084616978655</v>
      </c>
    </row>
    <row r="1999" spans="1:17" x14ac:dyDescent="0.25">
      <c r="A1999" s="145">
        <v>40771</v>
      </c>
      <c r="B1999" s="144">
        <v>1.4359999999999999</v>
      </c>
      <c r="C1999" s="144">
        <v>41.369500000000002</v>
      </c>
      <c r="D1999" s="144">
        <v>7.8650000000000002</v>
      </c>
      <c r="E1999" s="144">
        <v>110.12</v>
      </c>
      <c r="F1999" s="144">
        <v>0.87849999999999995</v>
      </c>
      <c r="G1999" s="144">
        <v>1.1194999999999999</v>
      </c>
      <c r="I1999" s="144">
        <v>1</v>
      </c>
      <c r="J1999" s="145">
        <f t="shared" si="232"/>
        <v>40771</v>
      </c>
      <c r="K1999" s="144">
        <f t="shared" ca="1" si="233"/>
        <v>0.77959610027855153</v>
      </c>
      <c r="L1999" s="144">
        <f t="shared" ca="1" si="233"/>
        <v>0.61176880222841223</v>
      </c>
      <c r="M1999" s="144">
        <f t="shared" ca="1" si="233"/>
        <v>76.685236768802241</v>
      </c>
      <c r="N1999" s="144">
        <f t="shared" ca="1" si="233"/>
        <v>5.4770194986072429</v>
      </c>
      <c r="O1999" s="144">
        <f t="shared" ca="1" si="233"/>
        <v>28.808844011142064</v>
      </c>
      <c r="P1999" s="144">
        <f t="shared" ca="1" si="233"/>
        <v>1</v>
      </c>
      <c r="Q1999" s="144">
        <f t="shared" ca="1" si="233"/>
        <v>0.69637883008356549</v>
      </c>
    </row>
    <row r="2000" spans="1:17" x14ac:dyDescent="0.25">
      <c r="A2000" s="145">
        <v>40770</v>
      </c>
      <c r="B2000" s="144">
        <v>1.4309000000000001</v>
      </c>
      <c r="C2000" s="144">
        <v>41.339700000000001</v>
      </c>
      <c r="D2000" s="144">
        <v>7.8704999999999998</v>
      </c>
      <c r="E2000" s="144">
        <v>109.87</v>
      </c>
      <c r="F2000" s="144">
        <v>0.877</v>
      </c>
      <c r="G2000" s="144">
        <v>1.1334</v>
      </c>
      <c r="I2000" s="144">
        <v>1</v>
      </c>
      <c r="J2000" s="145">
        <f t="shared" si="232"/>
        <v>40770</v>
      </c>
      <c r="K2000" s="144">
        <f t="shared" ca="1" si="233"/>
        <v>0.79208889510098535</v>
      </c>
      <c r="L2000" s="144">
        <f t="shared" ca="1" si="233"/>
        <v>0.61290097141659095</v>
      </c>
      <c r="M2000" s="144">
        <f t="shared" ca="1" si="233"/>
        <v>76.783842336990702</v>
      </c>
      <c r="N2000" s="144">
        <f t="shared" ca="1" si="233"/>
        <v>5.5003843734712419</v>
      </c>
      <c r="O2000" s="144">
        <f t="shared" ca="1" si="233"/>
        <v>28.890698161995946</v>
      </c>
      <c r="P2000" s="144">
        <f t="shared" ca="1" si="233"/>
        <v>1</v>
      </c>
      <c r="Q2000" s="144">
        <f t="shared" ca="1" si="233"/>
        <v>0.69886085680341037</v>
      </c>
    </row>
    <row r="2001" spans="1:17" x14ac:dyDescent="0.25">
      <c r="A2001" s="145">
        <v>40769</v>
      </c>
      <c r="B2001" s="144">
        <v>1.425</v>
      </c>
      <c r="C2001" s="144">
        <v>41.552500000000002</v>
      </c>
      <c r="D2001" s="144">
        <v>7.8259999999999996</v>
      </c>
      <c r="E2001" s="144">
        <v>109.07</v>
      </c>
      <c r="F2001" s="144">
        <v>0.87634999999999996</v>
      </c>
      <c r="G2001" s="144">
        <v>1.0984</v>
      </c>
      <c r="I2001" s="144">
        <v>1</v>
      </c>
      <c r="J2001" s="145">
        <f t="shared" si="232"/>
        <v>40769</v>
      </c>
      <c r="K2001" s="144">
        <f t="shared" ca="1" si="233"/>
        <v>0.77080701754385961</v>
      </c>
      <c r="L2001" s="144">
        <f t="shared" ca="1" si="233"/>
        <v>0.61498245614035085</v>
      </c>
      <c r="M2001" s="144">
        <f t="shared" ca="1" si="233"/>
        <v>76.540350877192978</v>
      </c>
      <c r="N2001" s="144">
        <f t="shared" ca="1" si="233"/>
        <v>5.491929824561403</v>
      </c>
      <c r="O2001" s="144">
        <f t="shared" ca="1" si="233"/>
        <v>29.159649122807018</v>
      </c>
      <c r="P2001" s="144">
        <f t="shared" ca="1" si="233"/>
        <v>1</v>
      </c>
      <c r="Q2001" s="144">
        <f t="shared" ca="1" si="233"/>
        <v>0.70175438596491224</v>
      </c>
    </row>
    <row r="2002" spans="1:17" x14ac:dyDescent="0.25">
      <c r="A2002" s="145">
        <v>40768</v>
      </c>
      <c r="B2002" s="144">
        <v>1.425</v>
      </c>
      <c r="C2002" s="144">
        <v>41.552500000000002</v>
      </c>
      <c r="D2002" s="144">
        <v>7.8259999999999996</v>
      </c>
      <c r="E2002" s="144">
        <v>109.07</v>
      </c>
      <c r="F2002" s="144">
        <v>0.87634999999999996</v>
      </c>
      <c r="G2002" s="144">
        <v>1.0984</v>
      </c>
      <c r="I2002" s="144">
        <v>1</v>
      </c>
      <c r="J2002" s="145">
        <f t="shared" si="232"/>
        <v>40768</v>
      </c>
      <c r="K2002" s="144">
        <f t="shared" ca="1" si="233"/>
        <v>0.77080701754385961</v>
      </c>
      <c r="L2002" s="144">
        <f t="shared" ca="1" si="233"/>
        <v>0.61498245614035085</v>
      </c>
      <c r="M2002" s="144">
        <f t="shared" ca="1" si="233"/>
        <v>76.540350877192978</v>
      </c>
      <c r="N2002" s="144">
        <f t="shared" ca="1" si="233"/>
        <v>5.491929824561403</v>
      </c>
      <c r="O2002" s="144">
        <f t="shared" ca="1" si="233"/>
        <v>29.159649122807018</v>
      </c>
      <c r="P2002" s="144">
        <f t="shared" ca="1" si="233"/>
        <v>1</v>
      </c>
      <c r="Q2002" s="144">
        <f t="shared" ca="1" si="233"/>
        <v>0.70175438596491224</v>
      </c>
    </row>
    <row r="2003" spans="1:17" x14ac:dyDescent="0.25">
      <c r="A2003" s="145">
        <v>40767</v>
      </c>
      <c r="B2003" s="144">
        <v>1.425</v>
      </c>
      <c r="C2003" s="144">
        <v>41.552500000000002</v>
      </c>
      <c r="D2003" s="144">
        <v>7.8259999999999996</v>
      </c>
      <c r="E2003" s="144">
        <v>109.07</v>
      </c>
      <c r="F2003" s="144">
        <v>0.87634999999999996</v>
      </c>
      <c r="G2003" s="144">
        <v>1.0984</v>
      </c>
      <c r="I2003" s="144">
        <v>1</v>
      </c>
      <c r="J2003" s="145">
        <f t="shared" si="232"/>
        <v>40767</v>
      </c>
      <c r="K2003" s="144">
        <f t="shared" ca="1" si="233"/>
        <v>0.77080701754385961</v>
      </c>
      <c r="L2003" s="144">
        <f t="shared" ca="1" si="233"/>
        <v>0.61498245614035085</v>
      </c>
      <c r="M2003" s="144">
        <f t="shared" ca="1" si="233"/>
        <v>76.540350877192978</v>
      </c>
      <c r="N2003" s="144">
        <f t="shared" ca="1" si="233"/>
        <v>5.491929824561403</v>
      </c>
      <c r="O2003" s="144">
        <f t="shared" ca="1" si="233"/>
        <v>29.159649122807018</v>
      </c>
      <c r="P2003" s="144">
        <f t="shared" ca="1" si="233"/>
        <v>1</v>
      </c>
      <c r="Q2003" s="144">
        <f t="shared" ca="1" si="233"/>
        <v>0.70175438596491224</v>
      </c>
    </row>
    <row r="2004" spans="1:17" x14ac:dyDescent="0.25">
      <c r="A2004" s="145">
        <v>40766</v>
      </c>
      <c r="B2004" s="144">
        <v>1.4142999999999999</v>
      </c>
      <c r="C2004" s="144">
        <v>42.024999999999999</v>
      </c>
      <c r="D2004" s="144">
        <v>7.8205</v>
      </c>
      <c r="E2004" s="144">
        <v>108.29</v>
      </c>
      <c r="F2004" s="144">
        <v>0.87570000000000003</v>
      </c>
      <c r="G2004" s="144">
        <v>1.0499000000000001</v>
      </c>
      <c r="I2004" s="144">
        <v>1</v>
      </c>
      <c r="J2004" s="145">
        <f t="shared" si="232"/>
        <v>40766</v>
      </c>
      <c r="K2004" s="144">
        <f t="shared" ca="1" si="233"/>
        <v>0.74234603690871814</v>
      </c>
      <c r="L2004" s="144">
        <f t="shared" ca="1" si="233"/>
        <v>0.61917556388319317</v>
      </c>
      <c r="M2004" s="144">
        <f t="shared" ca="1" si="233"/>
        <v>76.567913455419657</v>
      </c>
      <c r="N2004" s="144">
        <f t="shared" ca="1" si="233"/>
        <v>5.5295906101958572</v>
      </c>
      <c r="O2004" s="144">
        <f t="shared" ca="1" si="233"/>
        <v>29.714346319734144</v>
      </c>
      <c r="P2004" s="144">
        <f t="shared" ca="1" si="233"/>
        <v>1</v>
      </c>
      <c r="Q2004" s="144">
        <f t="shared" ca="1" si="233"/>
        <v>0.70706356501449485</v>
      </c>
    </row>
    <row r="2005" spans="1:17" x14ac:dyDescent="0.25">
      <c r="A2005" s="145">
        <v>40765</v>
      </c>
      <c r="B2005" s="144">
        <v>1.4367000000000001</v>
      </c>
      <c r="C2005" s="144">
        <v>42.106000000000002</v>
      </c>
      <c r="D2005" s="144">
        <v>7.8105000000000002</v>
      </c>
      <c r="E2005" s="144">
        <v>109.84</v>
      </c>
      <c r="F2005" s="144">
        <v>0.88429999999999997</v>
      </c>
      <c r="G2005" s="144">
        <v>1.0450999999999999</v>
      </c>
      <c r="I2005" s="144">
        <v>1</v>
      </c>
      <c r="J2005" s="145">
        <f t="shared" si="232"/>
        <v>40765</v>
      </c>
      <c r="K2005" s="144">
        <f t="shared" ref="K2005:Q2014" ca="1" si="234">OFFSET($A2005,0,K$3)/OFFSET($A2005,0,$P$3)</f>
        <v>0.72743091807614657</v>
      </c>
      <c r="L2005" s="144">
        <f t="shared" ca="1" si="234"/>
        <v>0.61550776084081571</v>
      </c>
      <c r="M2005" s="144">
        <f t="shared" ca="1" si="234"/>
        <v>76.452982529407663</v>
      </c>
      <c r="N2005" s="144">
        <f t="shared" ca="1" si="234"/>
        <v>5.4364167884735854</v>
      </c>
      <c r="O2005" s="144">
        <f t="shared" ca="1" si="234"/>
        <v>29.307440662629638</v>
      </c>
      <c r="P2005" s="144">
        <f t="shared" ca="1" si="234"/>
        <v>1</v>
      </c>
      <c r="Q2005" s="144">
        <f t="shared" ca="1" si="234"/>
        <v>0.69603953504559057</v>
      </c>
    </row>
    <row r="2006" spans="1:17" x14ac:dyDescent="0.25">
      <c r="A2006" s="145">
        <v>40764</v>
      </c>
      <c r="B2006" s="144">
        <v>1.4267000000000001</v>
      </c>
      <c r="C2006" s="144">
        <v>42.378</v>
      </c>
      <c r="D2006" s="144">
        <v>7.8295000000000003</v>
      </c>
      <c r="E2006" s="144">
        <v>110.24</v>
      </c>
      <c r="F2006" s="144">
        <v>0.87309999999999999</v>
      </c>
      <c r="G2006" s="144">
        <v>1.0593999999999999</v>
      </c>
      <c r="I2006" s="144">
        <v>1</v>
      </c>
      <c r="J2006" s="145">
        <f t="shared" si="232"/>
        <v>40764</v>
      </c>
      <c r="K2006" s="144">
        <f t="shared" ca="1" si="234"/>
        <v>0.74255274409476402</v>
      </c>
      <c r="L2006" s="144">
        <f t="shared" ca="1" si="234"/>
        <v>0.61197168290460502</v>
      </c>
      <c r="M2006" s="144">
        <f t="shared" ca="1" si="234"/>
        <v>77.269222681713032</v>
      </c>
      <c r="N2006" s="144">
        <f t="shared" ca="1" si="234"/>
        <v>5.4878390691806267</v>
      </c>
      <c r="O2006" s="144">
        <f t="shared" ca="1" si="234"/>
        <v>29.703511600196254</v>
      </c>
      <c r="P2006" s="144">
        <f t="shared" ca="1" si="234"/>
        <v>1</v>
      </c>
      <c r="Q2006" s="144">
        <f t="shared" ca="1" si="234"/>
        <v>0.70091820284572781</v>
      </c>
    </row>
    <row r="2007" spans="1:17" x14ac:dyDescent="0.25">
      <c r="A2007" s="145">
        <v>40763</v>
      </c>
      <c r="B2007" s="144">
        <v>1.4225000000000001</v>
      </c>
      <c r="C2007" s="144">
        <v>40.770400000000002</v>
      </c>
      <c r="D2007" s="144">
        <v>7.7679999999999998</v>
      </c>
      <c r="E2007" s="144">
        <v>110.79</v>
      </c>
      <c r="F2007" s="144">
        <v>0.86909999999999998</v>
      </c>
      <c r="G2007" s="144">
        <v>1.0849</v>
      </c>
      <c r="I2007" s="144">
        <v>1</v>
      </c>
      <c r="J2007" s="145">
        <f t="shared" si="232"/>
        <v>40763</v>
      </c>
      <c r="K2007" s="144">
        <f t="shared" ca="1" si="234"/>
        <v>0.76267135325131807</v>
      </c>
      <c r="L2007" s="144">
        <f t="shared" ca="1" si="234"/>
        <v>0.61096660808435843</v>
      </c>
      <c r="M2007" s="144">
        <f t="shared" ca="1" si="234"/>
        <v>77.884007029876983</v>
      </c>
      <c r="N2007" s="144">
        <f t="shared" ca="1" si="234"/>
        <v>5.4608084358523721</v>
      </c>
      <c r="O2007" s="144">
        <f t="shared" ca="1" si="234"/>
        <v>28.661089630931457</v>
      </c>
      <c r="P2007" s="144">
        <f t="shared" ca="1" si="234"/>
        <v>1</v>
      </c>
      <c r="Q2007" s="144">
        <f t="shared" ca="1" si="234"/>
        <v>0.70298769771528991</v>
      </c>
    </row>
    <row r="2008" spans="1:17" x14ac:dyDescent="0.25">
      <c r="A2008" s="145">
        <v>40762</v>
      </c>
      <c r="B2008" s="144">
        <v>1.4155</v>
      </c>
      <c r="C2008" s="144">
        <v>40.064500000000002</v>
      </c>
      <c r="D2008" s="144">
        <v>7.7839999999999998</v>
      </c>
      <c r="E2008" s="144">
        <v>111.25</v>
      </c>
      <c r="F2008" s="144">
        <v>0.86904999999999999</v>
      </c>
      <c r="G2008" s="144">
        <v>1.0847</v>
      </c>
      <c r="I2008" s="144">
        <v>1</v>
      </c>
      <c r="J2008" s="145">
        <f t="shared" si="232"/>
        <v>40762</v>
      </c>
      <c r="K2008" s="144">
        <f t="shared" ca="1" si="234"/>
        <v>0.7663016601907453</v>
      </c>
      <c r="L2008" s="144">
        <f t="shared" ca="1" si="234"/>
        <v>0.61395266690215466</v>
      </c>
      <c r="M2008" s="144">
        <f t="shared" ca="1" si="234"/>
        <v>78.59413634758036</v>
      </c>
      <c r="N2008" s="144">
        <f t="shared" ca="1" si="234"/>
        <v>5.499116919816319</v>
      </c>
      <c r="O2008" s="144">
        <f t="shared" ca="1" si="234"/>
        <v>28.304132815259628</v>
      </c>
      <c r="P2008" s="144">
        <f t="shared" ca="1" si="234"/>
        <v>1</v>
      </c>
      <c r="Q2008" s="144">
        <f t="shared" ca="1" si="234"/>
        <v>0.70646414694454263</v>
      </c>
    </row>
    <row r="2009" spans="1:17" x14ac:dyDescent="0.25">
      <c r="A2009" s="145">
        <v>40761</v>
      </c>
      <c r="B2009" s="144">
        <v>1.4155</v>
      </c>
      <c r="C2009" s="144">
        <v>40.064500000000002</v>
      </c>
      <c r="D2009" s="144">
        <v>7.7839999999999998</v>
      </c>
      <c r="E2009" s="144">
        <v>111.25</v>
      </c>
      <c r="F2009" s="144">
        <v>0.86904999999999999</v>
      </c>
      <c r="G2009" s="144">
        <v>1.0847</v>
      </c>
      <c r="I2009" s="144">
        <v>1</v>
      </c>
      <c r="J2009" s="145">
        <f t="shared" si="232"/>
        <v>40761</v>
      </c>
      <c r="K2009" s="144">
        <f t="shared" ca="1" si="234"/>
        <v>0.7663016601907453</v>
      </c>
      <c r="L2009" s="144">
        <f t="shared" ca="1" si="234"/>
        <v>0.61395266690215466</v>
      </c>
      <c r="M2009" s="144">
        <f t="shared" ca="1" si="234"/>
        <v>78.59413634758036</v>
      </c>
      <c r="N2009" s="144">
        <f t="shared" ca="1" si="234"/>
        <v>5.499116919816319</v>
      </c>
      <c r="O2009" s="144">
        <f t="shared" ca="1" si="234"/>
        <v>28.304132815259628</v>
      </c>
      <c r="P2009" s="144">
        <f t="shared" ca="1" si="234"/>
        <v>1</v>
      </c>
      <c r="Q2009" s="144">
        <f t="shared" ca="1" si="234"/>
        <v>0.70646414694454263</v>
      </c>
    </row>
    <row r="2010" spans="1:17" x14ac:dyDescent="0.25">
      <c r="A2010" s="145">
        <v>40760</v>
      </c>
      <c r="B2010" s="144">
        <v>1.4155</v>
      </c>
      <c r="C2010" s="144">
        <v>40.064500000000002</v>
      </c>
      <c r="D2010" s="144">
        <v>7.7839999999999998</v>
      </c>
      <c r="E2010" s="144">
        <v>111.25</v>
      </c>
      <c r="F2010" s="144">
        <v>0.86904999999999999</v>
      </c>
      <c r="G2010" s="144">
        <v>1.0847</v>
      </c>
      <c r="I2010" s="144">
        <v>1</v>
      </c>
      <c r="J2010" s="145">
        <f t="shared" si="232"/>
        <v>40760</v>
      </c>
      <c r="K2010" s="144">
        <f t="shared" ca="1" si="234"/>
        <v>0.7663016601907453</v>
      </c>
      <c r="L2010" s="144">
        <f t="shared" ca="1" si="234"/>
        <v>0.61395266690215466</v>
      </c>
      <c r="M2010" s="144">
        <f t="shared" ca="1" si="234"/>
        <v>78.59413634758036</v>
      </c>
      <c r="N2010" s="144">
        <f t="shared" ca="1" si="234"/>
        <v>5.499116919816319</v>
      </c>
      <c r="O2010" s="144">
        <f t="shared" ca="1" si="234"/>
        <v>28.304132815259628</v>
      </c>
      <c r="P2010" s="144">
        <f t="shared" ca="1" si="234"/>
        <v>1</v>
      </c>
      <c r="Q2010" s="144">
        <f t="shared" ca="1" si="234"/>
        <v>0.70646414694454263</v>
      </c>
    </row>
    <row r="2011" spans="1:17" x14ac:dyDescent="0.25">
      <c r="A2011" s="145">
        <v>40759</v>
      </c>
      <c r="B2011" s="144">
        <v>1.4229000000000001</v>
      </c>
      <c r="C2011" s="144">
        <v>39.807499999999997</v>
      </c>
      <c r="D2011" s="144">
        <v>7.7404999999999999</v>
      </c>
      <c r="E2011" s="144">
        <v>113.24</v>
      </c>
      <c r="F2011" s="144">
        <v>0.87144999999999995</v>
      </c>
      <c r="G2011" s="144">
        <v>1.1012</v>
      </c>
      <c r="I2011" s="144">
        <v>1</v>
      </c>
      <c r="J2011" s="145">
        <f t="shared" si="232"/>
        <v>40759</v>
      </c>
      <c r="K2011" s="144">
        <f t="shared" ca="1" si="234"/>
        <v>0.77391243235645502</v>
      </c>
      <c r="L2011" s="144">
        <f t="shared" ca="1" si="234"/>
        <v>0.61244641225665886</v>
      </c>
      <c r="M2011" s="144">
        <f t="shared" ca="1" si="234"/>
        <v>79.583948274650353</v>
      </c>
      <c r="N2011" s="144">
        <f t="shared" ca="1" si="234"/>
        <v>5.4399465879541777</v>
      </c>
      <c r="O2011" s="144">
        <f t="shared" ca="1" si="234"/>
        <v>27.976315974418437</v>
      </c>
      <c r="P2011" s="144">
        <f t="shared" ca="1" si="234"/>
        <v>1</v>
      </c>
      <c r="Q2011" s="144">
        <f t="shared" ca="1" si="234"/>
        <v>0.7027900766041183</v>
      </c>
    </row>
    <row r="2012" spans="1:17" x14ac:dyDescent="0.25">
      <c r="A2012" s="145">
        <v>40758</v>
      </c>
      <c r="B2012" s="144">
        <v>1.43</v>
      </c>
      <c r="C2012" s="144">
        <v>39.796199999999999</v>
      </c>
      <c r="D2012" s="144">
        <v>7.6820000000000004</v>
      </c>
      <c r="E2012" s="144">
        <v>110.18</v>
      </c>
      <c r="F2012" s="144">
        <v>0.87255000000000005</v>
      </c>
      <c r="G2012" s="144">
        <v>1.1022000000000001</v>
      </c>
      <c r="I2012" s="144">
        <v>1</v>
      </c>
      <c r="J2012" s="145">
        <f t="shared" si="232"/>
        <v>40758</v>
      </c>
      <c r="K2012" s="144">
        <f t="shared" ca="1" si="234"/>
        <v>0.77076923076923087</v>
      </c>
      <c r="L2012" s="144">
        <f t="shared" ca="1" si="234"/>
        <v>0.61017482517482524</v>
      </c>
      <c r="M2012" s="144">
        <f t="shared" ca="1" si="234"/>
        <v>77.048951048951054</v>
      </c>
      <c r="N2012" s="144">
        <f t="shared" ca="1" si="234"/>
        <v>5.3720279720279729</v>
      </c>
      <c r="O2012" s="144">
        <f t="shared" ca="1" si="234"/>
        <v>27.82951048951049</v>
      </c>
      <c r="P2012" s="144">
        <f t="shared" ca="1" si="234"/>
        <v>1</v>
      </c>
      <c r="Q2012" s="144">
        <f t="shared" ca="1" si="234"/>
        <v>0.69930069930069938</v>
      </c>
    </row>
    <row r="2013" spans="1:17" x14ac:dyDescent="0.25">
      <c r="A2013" s="145">
        <v>40757</v>
      </c>
      <c r="B2013" s="144">
        <v>1.417</v>
      </c>
      <c r="C2013" s="144">
        <v>39.475299999999997</v>
      </c>
      <c r="D2013" s="144">
        <v>7.6459999999999999</v>
      </c>
      <c r="E2013" s="144">
        <v>109.61</v>
      </c>
      <c r="F2013" s="144">
        <v>0.87180000000000002</v>
      </c>
      <c r="G2013" s="144">
        <v>1.1049</v>
      </c>
      <c r="I2013" s="144">
        <v>1</v>
      </c>
      <c r="J2013" s="145">
        <f t="shared" si="232"/>
        <v>40757</v>
      </c>
      <c r="K2013" s="144">
        <f t="shared" ca="1" si="234"/>
        <v>0.77974594213126325</v>
      </c>
      <c r="L2013" s="144">
        <f t="shared" ca="1" si="234"/>
        <v>0.61524347212420605</v>
      </c>
      <c r="M2013" s="144">
        <f t="shared" ca="1" si="234"/>
        <v>77.353563867325335</v>
      </c>
      <c r="N2013" s="144">
        <f t="shared" ca="1" si="234"/>
        <v>5.3959068454481294</v>
      </c>
      <c r="O2013" s="144">
        <f t="shared" ca="1" si="234"/>
        <v>27.858362738179249</v>
      </c>
      <c r="P2013" s="144">
        <f t="shared" ca="1" si="234"/>
        <v>1</v>
      </c>
      <c r="Q2013" s="144">
        <f t="shared" ca="1" si="234"/>
        <v>0.7057163020465772</v>
      </c>
    </row>
    <row r="2014" spans="1:17" x14ac:dyDescent="0.25">
      <c r="A2014" s="145">
        <v>40756</v>
      </c>
      <c r="B2014" s="144">
        <v>1.4415</v>
      </c>
      <c r="C2014" s="144">
        <v>39.738999999999997</v>
      </c>
      <c r="D2014" s="144">
        <v>7.6935000000000002</v>
      </c>
      <c r="E2014" s="144">
        <v>110.84</v>
      </c>
      <c r="F2014" s="144">
        <v>0.87955000000000005</v>
      </c>
      <c r="G2014" s="144">
        <v>1.127</v>
      </c>
      <c r="I2014" s="144">
        <v>1</v>
      </c>
      <c r="J2014" s="145">
        <f t="shared" si="232"/>
        <v>40756</v>
      </c>
      <c r="K2014" s="144">
        <f t="shared" ca="1" si="234"/>
        <v>0.78182448838015961</v>
      </c>
      <c r="L2014" s="144">
        <f t="shared" ca="1" si="234"/>
        <v>0.61016302462712457</v>
      </c>
      <c r="M2014" s="144">
        <f t="shared" ca="1" si="234"/>
        <v>76.892126257370791</v>
      </c>
      <c r="N2014" s="144">
        <f t="shared" ca="1" si="234"/>
        <v>5.3371488033298649</v>
      </c>
      <c r="O2014" s="144">
        <f t="shared" ca="1" si="234"/>
        <v>27.567811307665625</v>
      </c>
      <c r="P2014" s="144">
        <f t="shared" ca="1" si="234"/>
        <v>1</v>
      </c>
      <c r="Q2014" s="144">
        <f t="shared" ca="1" si="234"/>
        <v>0.69372181755116202</v>
      </c>
    </row>
    <row r="2015" spans="1:17" x14ac:dyDescent="0.25">
      <c r="A2015" s="145">
        <v>40755</v>
      </c>
      <c r="B2015" s="144">
        <v>1.4259999999999999</v>
      </c>
      <c r="C2015" s="144">
        <v>39.520000000000003</v>
      </c>
      <c r="D2015" s="144">
        <v>7.7370000000000001</v>
      </c>
      <c r="E2015" s="144">
        <v>110.59</v>
      </c>
      <c r="F2015" s="144">
        <v>0.87485000000000002</v>
      </c>
      <c r="G2015" s="144">
        <v>1.1417999999999999</v>
      </c>
      <c r="I2015" s="144">
        <v>1</v>
      </c>
      <c r="J2015" s="145">
        <f t="shared" si="232"/>
        <v>40755</v>
      </c>
      <c r="K2015" s="144">
        <f t="shared" ref="K2015:Q2024" ca="1" si="235">OFFSET($A2015,0,K$3)/OFFSET($A2015,0,$P$3)</f>
        <v>0.80070126227208971</v>
      </c>
      <c r="L2015" s="144">
        <f t="shared" ca="1" si="235"/>
        <v>0.61349929873772791</v>
      </c>
      <c r="M2015" s="144">
        <f t="shared" ca="1" si="235"/>
        <v>77.552594670406734</v>
      </c>
      <c r="N2015" s="144">
        <f t="shared" ca="1" si="235"/>
        <v>5.4256661991584858</v>
      </c>
      <c r="O2015" s="144">
        <f t="shared" ca="1" si="235"/>
        <v>27.713884992987381</v>
      </c>
      <c r="P2015" s="144">
        <f t="shared" ca="1" si="235"/>
        <v>1</v>
      </c>
      <c r="Q2015" s="144">
        <f t="shared" ca="1" si="235"/>
        <v>0.70126227208976155</v>
      </c>
    </row>
    <row r="2016" spans="1:17" x14ac:dyDescent="0.25">
      <c r="A2016" s="145">
        <v>40754</v>
      </c>
      <c r="B2016" s="144">
        <v>1.4259999999999999</v>
      </c>
      <c r="C2016" s="144">
        <v>39.520000000000003</v>
      </c>
      <c r="D2016" s="144">
        <v>7.7370000000000001</v>
      </c>
      <c r="E2016" s="144">
        <v>110.59</v>
      </c>
      <c r="F2016" s="144">
        <v>0.87485000000000002</v>
      </c>
      <c r="G2016" s="144">
        <v>1.1417999999999999</v>
      </c>
      <c r="I2016" s="144">
        <v>1</v>
      </c>
      <c r="J2016" s="145">
        <f t="shared" si="232"/>
        <v>40754</v>
      </c>
      <c r="K2016" s="144">
        <f t="shared" ca="1" si="235"/>
        <v>0.80070126227208971</v>
      </c>
      <c r="L2016" s="144">
        <f t="shared" ca="1" si="235"/>
        <v>0.61349929873772791</v>
      </c>
      <c r="M2016" s="144">
        <f t="shared" ca="1" si="235"/>
        <v>77.552594670406734</v>
      </c>
      <c r="N2016" s="144">
        <f t="shared" ca="1" si="235"/>
        <v>5.4256661991584858</v>
      </c>
      <c r="O2016" s="144">
        <f t="shared" ca="1" si="235"/>
        <v>27.713884992987381</v>
      </c>
      <c r="P2016" s="144">
        <f t="shared" ca="1" si="235"/>
        <v>1</v>
      </c>
      <c r="Q2016" s="144">
        <f t="shared" ca="1" si="235"/>
        <v>0.70126227208976155</v>
      </c>
    </row>
    <row r="2017" spans="1:17" x14ac:dyDescent="0.25">
      <c r="A2017" s="145">
        <v>40753</v>
      </c>
      <c r="B2017" s="144">
        <v>1.4259999999999999</v>
      </c>
      <c r="C2017" s="144">
        <v>39.520000000000003</v>
      </c>
      <c r="D2017" s="144">
        <v>7.7370000000000001</v>
      </c>
      <c r="E2017" s="144">
        <v>110.59</v>
      </c>
      <c r="F2017" s="144">
        <v>0.87485000000000002</v>
      </c>
      <c r="G2017" s="144">
        <v>1.1417999999999999</v>
      </c>
      <c r="I2017" s="144">
        <v>1</v>
      </c>
      <c r="J2017" s="145">
        <f t="shared" si="232"/>
        <v>40753</v>
      </c>
      <c r="K2017" s="144">
        <f t="shared" ca="1" si="235"/>
        <v>0.80070126227208971</v>
      </c>
      <c r="L2017" s="144">
        <f t="shared" ca="1" si="235"/>
        <v>0.61349929873772791</v>
      </c>
      <c r="M2017" s="144">
        <f t="shared" ca="1" si="235"/>
        <v>77.552594670406734</v>
      </c>
      <c r="N2017" s="144">
        <f t="shared" ca="1" si="235"/>
        <v>5.4256661991584858</v>
      </c>
      <c r="O2017" s="144">
        <f t="shared" ca="1" si="235"/>
        <v>27.713884992987381</v>
      </c>
      <c r="P2017" s="144">
        <f t="shared" ca="1" si="235"/>
        <v>1</v>
      </c>
      <c r="Q2017" s="144">
        <f t="shared" ca="1" si="235"/>
        <v>0.70126227208976155</v>
      </c>
    </row>
    <row r="2018" spans="1:17" x14ac:dyDescent="0.25">
      <c r="A2018" s="145">
        <v>40752</v>
      </c>
      <c r="B2018" s="144">
        <v>1.4259999999999999</v>
      </c>
      <c r="C2018" s="144">
        <v>39.405000000000001</v>
      </c>
      <c r="D2018" s="144">
        <v>7.7244999999999999</v>
      </c>
      <c r="E2018" s="144">
        <v>110.86</v>
      </c>
      <c r="F2018" s="144">
        <v>0.87390000000000001</v>
      </c>
      <c r="G2018" s="144">
        <v>1.1436999999999999</v>
      </c>
      <c r="I2018" s="144">
        <v>1</v>
      </c>
      <c r="J2018" s="145">
        <f t="shared" si="232"/>
        <v>40752</v>
      </c>
      <c r="K2018" s="144">
        <f t="shared" ca="1" si="235"/>
        <v>0.80203366058906034</v>
      </c>
      <c r="L2018" s="144">
        <f t="shared" ca="1" si="235"/>
        <v>0.6128330995792427</v>
      </c>
      <c r="M2018" s="144">
        <f t="shared" ca="1" si="235"/>
        <v>77.741935483870975</v>
      </c>
      <c r="N2018" s="144">
        <f t="shared" ca="1" si="235"/>
        <v>5.4169004207573632</v>
      </c>
      <c r="O2018" s="144">
        <f t="shared" ca="1" si="235"/>
        <v>27.633239831697058</v>
      </c>
      <c r="P2018" s="144">
        <f t="shared" ca="1" si="235"/>
        <v>1</v>
      </c>
      <c r="Q2018" s="144">
        <f t="shared" ca="1" si="235"/>
        <v>0.70126227208976155</v>
      </c>
    </row>
    <row r="2019" spans="1:17" x14ac:dyDescent="0.25">
      <c r="A2019" s="145">
        <v>40751</v>
      </c>
      <c r="B2019" s="144">
        <v>1.4446000000000001</v>
      </c>
      <c r="C2019" s="144">
        <v>39.674999999999997</v>
      </c>
      <c r="D2019" s="144">
        <v>7.7614999999999998</v>
      </c>
      <c r="E2019" s="144">
        <v>112.46</v>
      </c>
      <c r="F2019" s="144">
        <v>0.8831</v>
      </c>
      <c r="G2019" s="144">
        <v>1.1586000000000001</v>
      </c>
      <c r="I2019" s="144">
        <v>1</v>
      </c>
      <c r="J2019" s="145">
        <f t="shared" si="232"/>
        <v>40751</v>
      </c>
      <c r="K2019" s="144">
        <f t="shared" ca="1" si="235"/>
        <v>0.80202132078083899</v>
      </c>
      <c r="L2019" s="144">
        <f t="shared" ca="1" si="235"/>
        <v>0.61131108957496882</v>
      </c>
      <c r="M2019" s="144">
        <f t="shared" ca="1" si="235"/>
        <v>77.848539388065888</v>
      </c>
      <c r="N2019" s="144">
        <f t="shared" ca="1" si="235"/>
        <v>5.3727675481102031</v>
      </c>
      <c r="O2019" s="144">
        <f t="shared" ca="1" si="235"/>
        <v>27.464349993077665</v>
      </c>
      <c r="P2019" s="144">
        <f t="shared" ca="1" si="235"/>
        <v>1</v>
      </c>
      <c r="Q2019" s="144">
        <f t="shared" ca="1" si="235"/>
        <v>0.69223314412294057</v>
      </c>
    </row>
    <row r="2020" spans="1:17" x14ac:dyDescent="0.25">
      <c r="A2020" s="145">
        <v>40750</v>
      </c>
      <c r="B2020" s="144">
        <v>1.4471000000000001</v>
      </c>
      <c r="C2020" s="144">
        <v>39.898000000000003</v>
      </c>
      <c r="D2020" s="144">
        <v>7.7575000000000003</v>
      </c>
      <c r="E2020" s="144">
        <v>113.02</v>
      </c>
      <c r="F2020" s="144">
        <v>0.88234999999999997</v>
      </c>
      <c r="G2020" s="144">
        <v>1.163</v>
      </c>
      <c r="I2020" s="144">
        <v>1</v>
      </c>
      <c r="J2020" s="145">
        <f t="shared" si="232"/>
        <v>40750</v>
      </c>
      <c r="K2020" s="144">
        <f t="shared" ca="1" si="235"/>
        <v>0.80367631815354845</v>
      </c>
      <c r="L2020" s="144">
        <f t="shared" ca="1" si="235"/>
        <v>0.6097367148089281</v>
      </c>
      <c r="M2020" s="144">
        <f t="shared" ca="1" si="235"/>
        <v>78.101029645497889</v>
      </c>
      <c r="N2020" s="144">
        <f t="shared" ca="1" si="235"/>
        <v>5.3607214428857715</v>
      </c>
      <c r="O2020" s="144">
        <f t="shared" ca="1" si="235"/>
        <v>27.57100407711976</v>
      </c>
      <c r="P2020" s="144">
        <f t="shared" ca="1" si="235"/>
        <v>1</v>
      </c>
      <c r="Q2020" s="144">
        <f t="shared" ca="1" si="235"/>
        <v>0.69103724690760826</v>
      </c>
    </row>
    <row r="2021" spans="1:17" x14ac:dyDescent="0.25">
      <c r="A2021" s="145">
        <v>40749</v>
      </c>
      <c r="B2021" s="144">
        <v>1.4379999999999999</v>
      </c>
      <c r="C2021" s="144">
        <v>39.8354</v>
      </c>
      <c r="D2021" s="144">
        <v>7.7714999999999996</v>
      </c>
      <c r="E2021" s="144">
        <v>112.46</v>
      </c>
      <c r="F2021" s="144">
        <v>0.88249999999999995</v>
      </c>
      <c r="G2021" s="144">
        <v>1.1563000000000001</v>
      </c>
      <c r="I2021" s="144">
        <v>1</v>
      </c>
      <c r="J2021" s="145">
        <f t="shared" si="232"/>
        <v>40749</v>
      </c>
      <c r="K2021" s="144">
        <f t="shared" ca="1" si="235"/>
        <v>0.80410292072322676</v>
      </c>
      <c r="L2021" s="144">
        <f t="shared" ca="1" si="235"/>
        <v>0.61369958275382475</v>
      </c>
      <c r="M2021" s="144">
        <f t="shared" ca="1" si="235"/>
        <v>78.205841446453405</v>
      </c>
      <c r="N2021" s="144">
        <f t="shared" ca="1" si="235"/>
        <v>5.4043810848400557</v>
      </c>
      <c r="O2021" s="144">
        <f t="shared" ca="1" si="235"/>
        <v>27.701947148817805</v>
      </c>
      <c r="P2021" s="144">
        <f t="shared" ca="1" si="235"/>
        <v>1</v>
      </c>
      <c r="Q2021" s="144">
        <f t="shared" ca="1" si="235"/>
        <v>0.69541029207232274</v>
      </c>
    </row>
    <row r="2022" spans="1:17" x14ac:dyDescent="0.25">
      <c r="A2022" s="145">
        <v>40748</v>
      </c>
      <c r="B2022" s="144">
        <v>1.4391</v>
      </c>
      <c r="C2022" s="144">
        <v>39.896999999999998</v>
      </c>
      <c r="D2022" s="144">
        <v>7.7675000000000001</v>
      </c>
      <c r="E2022" s="144">
        <v>112.83</v>
      </c>
      <c r="F2022" s="144">
        <v>0.88270000000000004</v>
      </c>
      <c r="G2022" s="144">
        <v>1.1789000000000001</v>
      </c>
      <c r="I2022" s="144">
        <v>1</v>
      </c>
      <c r="J2022" s="145">
        <f t="shared" si="232"/>
        <v>40748</v>
      </c>
      <c r="K2022" s="144">
        <f t="shared" ca="1" si="235"/>
        <v>0.81919255089986798</v>
      </c>
      <c r="L2022" s="144">
        <f t="shared" ca="1" si="235"/>
        <v>0.61336946702800366</v>
      </c>
      <c r="M2022" s="144">
        <f t="shared" ca="1" si="235"/>
        <v>78.403168647071084</v>
      </c>
      <c r="N2022" s="144">
        <f t="shared" ca="1" si="235"/>
        <v>5.3974706413730802</v>
      </c>
      <c r="O2022" s="144">
        <f t="shared" ca="1" si="235"/>
        <v>27.723577235772357</v>
      </c>
      <c r="P2022" s="144">
        <f t="shared" ca="1" si="235"/>
        <v>1</v>
      </c>
      <c r="Q2022" s="144">
        <f t="shared" ca="1" si="235"/>
        <v>0.69487874365923141</v>
      </c>
    </row>
    <row r="2023" spans="1:17" x14ac:dyDescent="0.25">
      <c r="A2023" s="145">
        <v>40747</v>
      </c>
      <c r="B2023" s="144">
        <v>1.4391</v>
      </c>
      <c r="C2023" s="144">
        <v>39.896999999999998</v>
      </c>
      <c r="D2023" s="144">
        <v>7.7675000000000001</v>
      </c>
      <c r="E2023" s="144">
        <v>112.83</v>
      </c>
      <c r="F2023" s="144">
        <v>0.88270000000000004</v>
      </c>
      <c r="G2023" s="144">
        <v>1.1789000000000001</v>
      </c>
      <c r="I2023" s="144">
        <v>1</v>
      </c>
      <c r="J2023" s="145">
        <f t="shared" si="232"/>
        <v>40747</v>
      </c>
      <c r="K2023" s="144">
        <f t="shared" ca="1" si="235"/>
        <v>0.81919255089986798</v>
      </c>
      <c r="L2023" s="144">
        <f t="shared" ca="1" si="235"/>
        <v>0.61336946702800366</v>
      </c>
      <c r="M2023" s="144">
        <f t="shared" ca="1" si="235"/>
        <v>78.403168647071084</v>
      </c>
      <c r="N2023" s="144">
        <f t="shared" ca="1" si="235"/>
        <v>5.3974706413730802</v>
      </c>
      <c r="O2023" s="144">
        <f t="shared" ca="1" si="235"/>
        <v>27.723577235772357</v>
      </c>
      <c r="P2023" s="144">
        <f t="shared" ca="1" si="235"/>
        <v>1</v>
      </c>
      <c r="Q2023" s="144">
        <f t="shared" ca="1" si="235"/>
        <v>0.69487874365923141</v>
      </c>
    </row>
    <row r="2024" spans="1:17" x14ac:dyDescent="0.25">
      <c r="A2024" s="145">
        <v>40746</v>
      </c>
      <c r="B2024" s="144">
        <v>1.4391</v>
      </c>
      <c r="C2024" s="144">
        <v>39.896999999999998</v>
      </c>
      <c r="D2024" s="144">
        <v>7.7675000000000001</v>
      </c>
      <c r="E2024" s="144">
        <v>112.83</v>
      </c>
      <c r="F2024" s="144">
        <v>0.88270000000000004</v>
      </c>
      <c r="G2024" s="144">
        <v>1.1789000000000001</v>
      </c>
      <c r="I2024" s="144">
        <v>1</v>
      </c>
      <c r="J2024" s="145">
        <f t="shared" si="232"/>
        <v>40746</v>
      </c>
      <c r="K2024" s="144">
        <f t="shared" ca="1" si="235"/>
        <v>0.81919255089986798</v>
      </c>
      <c r="L2024" s="144">
        <f t="shared" ca="1" si="235"/>
        <v>0.61336946702800366</v>
      </c>
      <c r="M2024" s="144">
        <f t="shared" ca="1" si="235"/>
        <v>78.403168647071084</v>
      </c>
      <c r="N2024" s="144">
        <f t="shared" ca="1" si="235"/>
        <v>5.3974706413730802</v>
      </c>
      <c r="O2024" s="144">
        <f t="shared" ca="1" si="235"/>
        <v>27.723577235772357</v>
      </c>
      <c r="P2024" s="144">
        <f t="shared" ca="1" si="235"/>
        <v>1</v>
      </c>
      <c r="Q2024" s="144">
        <f t="shared" ca="1" si="235"/>
        <v>0.69487874365923141</v>
      </c>
    </row>
    <row r="2025" spans="1:17" x14ac:dyDescent="0.25">
      <c r="A2025" s="145">
        <v>40745</v>
      </c>
      <c r="B2025" s="144">
        <v>1.4221999999999999</v>
      </c>
      <c r="C2025" s="144">
        <v>39.700000000000003</v>
      </c>
      <c r="D2025" s="144">
        <v>7.7750000000000004</v>
      </c>
      <c r="E2025" s="144">
        <v>112.09</v>
      </c>
      <c r="F2025" s="144">
        <v>0.87870000000000004</v>
      </c>
      <c r="G2025" s="144">
        <v>1.169</v>
      </c>
      <c r="I2025" s="144">
        <v>1</v>
      </c>
      <c r="J2025" s="145">
        <f t="shared" si="232"/>
        <v>40745</v>
      </c>
      <c r="K2025" s="144">
        <f t="shared" ref="K2025:Q2034" ca="1" si="236">OFFSET($A2025,0,K$3)/OFFSET($A2025,0,$P$3)</f>
        <v>0.82196596821825352</v>
      </c>
      <c r="L2025" s="144">
        <f t="shared" ca="1" si="236"/>
        <v>0.61784559133736472</v>
      </c>
      <c r="M2025" s="144">
        <f t="shared" ca="1" si="236"/>
        <v>78.814512726761365</v>
      </c>
      <c r="N2025" s="144">
        <f t="shared" ca="1" si="236"/>
        <v>5.4668822950358607</v>
      </c>
      <c r="O2025" s="144">
        <f t="shared" ca="1" si="236"/>
        <v>27.914498664041631</v>
      </c>
      <c r="P2025" s="144">
        <f t="shared" ca="1" si="236"/>
        <v>1</v>
      </c>
      <c r="Q2025" s="144">
        <f t="shared" ca="1" si="236"/>
        <v>0.70313598649978915</v>
      </c>
    </row>
    <row r="2026" spans="1:17" x14ac:dyDescent="0.25">
      <c r="A2026" s="145">
        <v>40744</v>
      </c>
      <c r="B2026" s="144">
        <v>1.4207000000000001</v>
      </c>
      <c r="C2026" s="144">
        <v>39.726700000000001</v>
      </c>
      <c r="D2026" s="144">
        <v>7.8040000000000003</v>
      </c>
      <c r="E2026" s="144">
        <v>112.05</v>
      </c>
      <c r="F2026" s="144">
        <v>0.88065000000000004</v>
      </c>
      <c r="G2026" s="144">
        <v>1.1652</v>
      </c>
      <c r="I2026" s="144">
        <v>1</v>
      </c>
      <c r="J2026" s="145">
        <f t="shared" si="232"/>
        <v>40744</v>
      </c>
      <c r="K2026" s="144">
        <f t="shared" ca="1" si="236"/>
        <v>0.82015907651157871</v>
      </c>
      <c r="L2026" s="144">
        <f t="shared" ca="1" si="236"/>
        <v>0.61987048637995357</v>
      </c>
      <c r="M2026" s="144">
        <f t="shared" ca="1" si="236"/>
        <v>78.869571338072774</v>
      </c>
      <c r="N2026" s="144">
        <f t="shared" ca="1" si="236"/>
        <v>5.4930667980572956</v>
      </c>
      <c r="O2026" s="144">
        <f t="shared" ca="1" si="236"/>
        <v>27.962764834236644</v>
      </c>
      <c r="P2026" s="144">
        <f t="shared" ca="1" si="236"/>
        <v>1</v>
      </c>
      <c r="Q2026" s="144">
        <f t="shared" ca="1" si="236"/>
        <v>0.70387836981769547</v>
      </c>
    </row>
    <row r="2027" spans="1:17" x14ac:dyDescent="0.25">
      <c r="A2027" s="145">
        <v>40743</v>
      </c>
      <c r="B2027" s="144">
        <v>1.4159999999999999</v>
      </c>
      <c r="C2027" s="144">
        <v>39.744999999999997</v>
      </c>
      <c r="D2027" s="144">
        <v>7.8620000000000001</v>
      </c>
      <c r="E2027" s="144">
        <v>111.77</v>
      </c>
      <c r="F2027" s="144">
        <v>0.87890000000000001</v>
      </c>
      <c r="G2027" s="144">
        <v>1.1607000000000001</v>
      </c>
      <c r="I2027" s="144">
        <v>1</v>
      </c>
      <c r="J2027" s="145">
        <f t="shared" si="232"/>
        <v>40743</v>
      </c>
      <c r="K2027" s="144">
        <f t="shared" ca="1" si="236"/>
        <v>0.81970338983050861</v>
      </c>
      <c r="L2027" s="144">
        <f t="shared" ca="1" si="236"/>
        <v>0.62069209039548023</v>
      </c>
      <c r="M2027" s="144">
        <f t="shared" ca="1" si="236"/>
        <v>78.933615819209038</v>
      </c>
      <c r="N2027" s="144">
        <f t="shared" ca="1" si="236"/>
        <v>5.5522598870056497</v>
      </c>
      <c r="O2027" s="144">
        <f t="shared" ca="1" si="236"/>
        <v>28.068502824858758</v>
      </c>
      <c r="P2027" s="144">
        <f t="shared" ca="1" si="236"/>
        <v>1</v>
      </c>
      <c r="Q2027" s="144">
        <f t="shared" ca="1" si="236"/>
        <v>0.70621468926553677</v>
      </c>
    </row>
    <row r="2028" spans="1:17" x14ac:dyDescent="0.25">
      <c r="A2028" s="145">
        <v>40742</v>
      </c>
      <c r="B2028" s="144">
        <v>1.4045000000000001</v>
      </c>
      <c r="C2028" s="144">
        <v>39.612499999999997</v>
      </c>
      <c r="D2028" s="144">
        <v>7.867</v>
      </c>
      <c r="E2028" s="144">
        <v>111.1</v>
      </c>
      <c r="F2028" s="144">
        <v>0.87314999999999998</v>
      </c>
      <c r="G2028" s="144">
        <v>1.1485000000000001</v>
      </c>
      <c r="I2028" s="144">
        <v>1</v>
      </c>
      <c r="J2028" s="145">
        <f t="shared" si="232"/>
        <v>40742</v>
      </c>
      <c r="K2028" s="144">
        <f t="shared" ca="1" si="236"/>
        <v>0.81772872908508365</v>
      </c>
      <c r="L2028" s="144">
        <f t="shared" ca="1" si="236"/>
        <v>0.62168031327874684</v>
      </c>
      <c r="M2028" s="144">
        <f t="shared" ca="1" si="236"/>
        <v>79.102883588465644</v>
      </c>
      <c r="N2028" s="144">
        <f t="shared" ca="1" si="236"/>
        <v>5.6012815948736199</v>
      </c>
      <c r="O2028" s="144">
        <f t="shared" ca="1" si="236"/>
        <v>28.203987184051261</v>
      </c>
      <c r="P2028" s="144">
        <f t="shared" ca="1" si="236"/>
        <v>1</v>
      </c>
      <c r="Q2028" s="144">
        <f t="shared" ca="1" si="236"/>
        <v>0.71199715201139191</v>
      </c>
    </row>
    <row r="2029" spans="1:17" x14ac:dyDescent="0.25">
      <c r="A2029" s="145">
        <v>40741</v>
      </c>
      <c r="B2029" s="144">
        <v>1.4146000000000001</v>
      </c>
      <c r="C2029" s="144">
        <v>39.753500000000003</v>
      </c>
      <c r="D2029" s="144">
        <v>7.8665000000000003</v>
      </c>
      <c r="E2029" s="144">
        <v>111.97</v>
      </c>
      <c r="F2029" s="144">
        <v>0.87749999999999995</v>
      </c>
      <c r="G2029" s="144">
        <v>1.1577</v>
      </c>
      <c r="I2029" s="144">
        <v>1</v>
      </c>
      <c r="J2029" s="145">
        <f t="shared" si="232"/>
        <v>40741</v>
      </c>
      <c r="K2029" s="144">
        <f t="shared" ca="1" si="236"/>
        <v>0.81839389226636494</v>
      </c>
      <c r="L2029" s="144">
        <f t="shared" ca="1" si="236"/>
        <v>0.62031669729958994</v>
      </c>
      <c r="M2029" s="144">
        <f t="shared" ca="1" si="236"/>
        <v>79.153117489042828</v>
      </c>
      <c r="N2029" s="144">
        <f t="shared" ca="1" si="236"/>
        <v>5.5609359536264664</v>
      </c>
      <c r="O2029" s="144">
        <f t="shared" ca="1" si="236"/>
        <v>28.102290400113105</v>
      </c>
      <c r="P2029" s="144">
        <f t="shared" ca="1" si="236"/>
        <v>1</v>
      </c>
      <c r="Q2029" s="144">
        <f t="shared" ca="1" si="236"/>
        <v>0.70691361515622786</v>
      </c>
    </row>
    <row r="2030" spans="1:17" x14ac:dyDescent="0.25">
      <c r="A2030" s="145">
        <v>40740</v>
      </c>
      <c r="B2030" s="144">
        <v>1.4146000000000001</v>
      </c>
      <c r="C2030" s="144">
        <v>39.753500000000003</v>
      </c>
      <c r="D2030" s="144">
        <v>7.8665000000000003</v>
      </c>
      <c r="E2030" s="144">
        <v>111.97</v>
      </c>
      <c r="F2030" s="144">
        <v>0.87749999999999995</v>
      </c>
      <c r="G2030" s="144">
        <v>1.1577</v>
      </c>
      <c r="I2030" s="144">
        <v>1</v>
      </c>
      <c r="J2030" s="145">
        <f t="shared" si="232"/>
        <v>40740</v>
      </c>
      <c r="K2030" s="144">
        <f t="shared" ca="1" si="236"/>
        <v>0.81839389226636494</v>
      </c>
      <c r="L2030" s="144">
        <f t="shared" ca="1" si="236"/>
        <v>0.62031669729958994</v>
      </c>
      <c r="M2030" s="144">
        <f t="shared" ca="1" si="236"/>
        <v>79.153117489042828</v>
      </c>
      <c r="N2030" s="144">
        <f t="shared" ca="1" si="236"/>
        <v>5.5609359536264664</v>
      </c>
      <c r="O2030" s="144">
        <f t="shared" ca="1" si="236"/>
        <v>28.102290400113105</v>
      </c>
      <c r="P2030" s="144">
        <f t="shared" ca="1" si="236"/>
        <v>1</v>
      </c>
      <c r="Q2030" s="144">
        <f t="shared" ca="1" si="236"/>
        <v>0.70691361515622786</v>
      </c>
    </row>
    <row r="2031" spans="1:17" x14ac:dyDescent="0.25">
      <c r="A2031" s="145">
        <v>40739</v>
      </c>
      <c r="B2031" s="144">
        <v>1.4146000000000001</v>
      </c>
      <c r="C2031" s="144">
        <v>39.753500000000003</v>
      </c>
      <c r="D2031" s="144">
        <v>7.8665000000000003</v>
      </c>
      <c r="E2031" s="144">
        <v>111.97</v>
      </c>
      <c r="F2031" s="144">
        <v>0.87749999999999995</v>
      </c>
      <c r="G2031" s="144">
        <v>1.1577</v>
      </c>
      <c r="I2031" s="144">
        <v>1</v>
      </c>
      <c r="J2031" s="145">
        <f t="shared" si="232"/>
        <v>40739</v>
      </c>
      <c r="K2031" s="144">
        <f t="shared" ca="1" si="236"/>
        <v>0.81839389226636494</v>
      </c>
      <c r="L2031" s="144">
        <f t="shared" ca="1" si="236"/>
        <v>0.62031669729958994</v>
      </c>
      <c r="M2031" s="144">
        <f t="shared" ca="1" si="236"/>
        <v>79.153117489042828</v>
      </c>
      <c r="N2031" s="144">
        <f t="shared" ca="1" si="236"/>
        <v>5.5609359536264664</v>
      </c>
      <c r="O2031" s="144">
        <f t="shared" ca="1" si="236"/>
        <v>28.102290400113105</v>
      </c>
      <c r="P2031" s="144">
        <f t="shared" ca="1" si="236"/>
        <v>1</v>
      </c>
      <c r="Q2031" s="144">
        <f t="shared" ca="1" si="236"/>
        <v>0.70691361515622786</v>
      </c>
    </row>
    <row r="2032" spans="1:17" x14ac:dyDescent="0.25">
      <c r="A2032" s="145">
        <v>40738</v>
      </c>
      <c r="B2032" s="144">
        <v>1.4201999999999999</v>
      </c>
      <c r="C2032" s="144">
        <v>39.860500000000002</v>
      </c>
      <c r="D2032" s="144">
        <v>7.8380000000000001</v>
      </c>
      <c r="E2032" s="144">
        <v>112.24</v>
      </c>
      <c r="F2032" s="144">
        <v>0.88095000000000001</v>
      </c>
      <c r="G2032" s="144">
        <v>1.1575</v>
      </c>
      <c r="I2032" s="144">
        <v>1</v>
      </c>
      <c r="J2032" s="145">
        <f t="shared" si="232"/>
        <v>40738</v>
      </c>
      <c r="K2032" s="144">
        <f t="shared" ca="1" si="236"/>
        <v>0.81502605266863826</v>
      </c>
      <c r="L2032" s="144">
        <f t="shared" ca="1" si="236"/>
        <v>0.6202999577524293</v>
      </c>
      <c r="M2032" s="144">
        <f t="shared" ca="1" si="236"/>
        <v>79.031122377129989</v>
      </c>
      <c r="N2032" s="144">
        <f t="shared" ca="1" si="236"/>
        <v>5.518940994226166</v>
      </c>
      <c r="O2032" s="144">
        <f t="shared" ca="1" si="236"/>
        <v>28.06682157442614</v>
      </c>
      <c r="P2032" s="144">
        <f t="shared" ca="1" si="236"/>
        <v>1</v>
      </c>
      <c r="Q2032" s="144">
        <f t="shared" ca="1" si="236"/>
        <v>0.70412617941135058</v>
      </c>
    </row>
    <row r="2033" spans="1:17" x14ac:dyDescent="0.25">
      <c r="A2033" s="145">
        <v>40737</v>
      </c>
      <c r="B2033" s="144">
        <v>1.4073</v>
      </c>
      <c r="C2033" s="144">
        <v>39.727499999999999</v>
      </c>
      <c r="D2033" s="144">
        <v>7.8354999999999997</v>
      </c>
      <c r="E2033" s="144">
        <v>111.65</v>
      </c>
      <c r="F2033" s="144">
        <v>0.88229999999999997</v>
      </c>
      <c r="G2033" s="144">
        <v>1.1695</v>
      </c>
      <c r="I2033" s="144">
        <v>1</v>
      </c>
      <c r="J2033" s="145">
        <f t="shared" si="232"/>
        <v>40737</v>
      </c>
      <c r="K2033" s="144">
        <f t="shared" ca="1" si="236"/>
        <v>0.83102394656434309</v>
      </c>
      <c r="L2033" s="144">
        <f t="shared" ca="1" si="236"/>
        <v>0.62694521424003413</v>
      </c>
      <c r="M2033" s="144">
        <f t="shared" ca="1" si="236"/>
        <v>79.33631777161942</v>
      </c>
      <c r="N2033" s="144">
        <f t="shared" ca="1" si="236"/>
        <v>5.5677538548994523</v>
      </c>
      <c r="O2033" s="144">
        <f t="shared" ca="1" si="236"/>
        <v>28.229588573864849</v>
      </c>
      <c r="P2033" s="144">
        <f t="shared" ca="1" si="236"/>
        <v>1</v>
      </c>
      <c r="Q2033" s="144">
        <f t="shared" ca="1" si="236"/>
        <v>0.71058054430469697</v>
      </c>
    </row>
    <row r="2034" spans="1:17" x14ac:dyDescent="0.25">
      <c r="A2034" s="145">
        <v>40736</v>
      </c>
      <c r="B2034" s="144">
        <v>1.3975</v>
      </c>
      <c r="C2034" s="144">
        <v>39.588000000000001</v>
      </c>
      <c r="D2034" s="144">
        <v>7.7720000000000002</v>
      </c>
      <c r="E2034" s="144">
        <v>111.35</v>
      </c>
      <c r="F2034" s="144">
        <v>0.88265000000000005</v>
      </c>
      <c r="G2034" s="144">
        <v>1.165</v>
      </c>
      <c r="I2034" s="144">
        <v>1</v>
      </c>
      <c r="J2034" s="145">
        <f t="shared" si="232"/>
        <v>40736</v>
      </c>
      <c r="K2034" s="144">
        <f t="shared" ca="1" si="236"/>
        <v>0.83363148479427551</v>
      </c>
      <c r="L2034" s="144">
        <f t="shared" ca="1" si="236"/>
        <v>0.63159212880143123</v>
      </c>
      <c r="M2034" s="144">
        <f t="shared" ca="1" si="236"/>
        <v>79.67799642218246</v>
      </c>
      <c r="N2034" s="144">
        <f t="shared" ca="1" si="236"/>
        <v>5.5613595706618968</v>
      </c>
      <c r="O2034" s="144">
        <f t="shared" ca="1" si="236"/>
        <v>28.327728085867623</v>
      </c>
      <c r="P2034" s="144">
        <f t="shared" ca="1" si="236"/>
        <v>1</v>
      </c>
      <c r="Q2034" s="144">
        <f t="shared" ca="1" si="236"/>
        <v>0.7155635062611807</v>
      </c>
    </row>
    <row r="2035" spans="1:17" x14ac:dyDescent="0.25">
      <c r="A2035" s="145">
        <v>40735</v>
      </c>
      <c r="B2035" s="144">
        <v>1.4056</v>
      </c>
      <c r="C2035" s="144">
        <v>39.655000000000001</v>
      </c>
      <c r="D2035" s="144">
        <v>7.7439999999999998</v>
      </c>
      <c r="E2035" s="144">
        <v>113.16</v>
      </c>
      <c r="F2035" s="144">
        <v>0.88070000000000004</v>
      </c>
      <c r="G2035" s="144">
        <v>1.1715</v>
      </c>
      <c r="I2035" s="144">
        <v>1</v>
      </c>
      <c r="J2035" s="145">
        <f t="shared" si="232"/>
        <v>40735</v>
      </c>
      <c r="K2035" s="144">
        <f t="shared" ref="K2035:Q2044" ca="1" si="237">OFFSET($A2035,0,K$3)/OFFSET($A2035,0,$P$3)</f>
        <v>0.83345190665907798</v>
      </c>
      <c r="L2035" s="144">
        <f t="shared" ca="1" si="237"/>
        <v>0.6265651678998293</v>
      </c>
      <c r="M2035" s="144">
        <f t="shared" ca="1" si="237"/>
        <v>80.506545247581101</v>
      </c>
      <c r="N2035" s="144">
        <f t="shared" ca="1" si="237"/>
        <v>5.5093910073989756</v>
      </c>
      <c r="O2035" s="144">
        <f t="shared" ca="1" si="237"/>
        <v>28.212151394422314</v>
      </c>
      <c r="P2035" s="144">
        <f t="shared" ca="1" si="237"/>
        <v>1</v>
      </c>
      <c r="Q2035" s="144">
        <f t="shared" ca="1" si="237"/>
        <v>0.71143995446784292</v>
      </c>
    </row>
    <row r="2036" spans="1:17" x14ac:dyDescent="0.25">
      <c r="A2036" s="145">
        <v>40734</v>
      </c>
      <c r="B2036" s="144">
        <v>1.4241999999999999</v>
      </c>
      <c r="C2036" s="144">
        <v>39.822600000000001</v>
      </c>
      <c r="D2036" s="144">
        <v>7.7450000000000001</v>
      </c>
      <c r="E2036" s="144">
        <v>115.98</v>
      </c>
      <c r="F2036" s="144">
        <v>0.89319999999999999</v>
      </c>
      <c r="G2036" s="144">
        <v>1.2101999999999999</v>
      </c>
      <c r="I2036" s="144">
        <v>1</v>
      </c>
      <c r="J2036" s="145">
        <f t="shared" si="232"/>
        <v>40734</v>
      </c>
      <c r="K2036" s="144">
        <f t="shared" ca="1" si="237"/>
        <v>0.84974020502738379</v>
      </c>
      <c r="L2036" s="144">
        <f t="shared" ca="1" si="237"/>
        <v>0.62715910686701315</v>
      </c>
      <c r="M2036" s="144">
        <f t="shared" ca="1" si="237"/>
        <v>81.435191686560884</v>
      </c>
      <c r="N2036" s="144">
        <f t="shared" ca="1" si="237"/>
        <v>5.4381407105743582</v>
      </c>
      <c r="O2036" s="144">
        <f t="shared" ca="1" si="237"/>
        <v>27.961381828394892</v>
      </c>
      <c r="P2036" s="144">
        <f t="shared" ca="1" si="237"/>
        <v>1</v>
      </c>
      <c r="Q2036" s="144">
        <f t="shared" ca="1" si="237"/>
        <v>0.70214857463839353</v>
      </c>
    </row>
    <row r="2037" spans="1:17" x14ac:dyDescent="0.25">
      <c r="A2037" s="145">
        <v>40733</v>
      </c>
      <c r="B2037" s="144">
        <v>1.4241999999999999</v>
      </c>
      <c r="C2037" s="144">
        <v>39.822600000000001</v>
      </c>
      <c r="D2037" s="144">
        <v>7.7450000000000001</v>
      </c>
      <c r="E2037" s="144">
        <v>115.98</v>
      </c>
      <c r="F2037" s="144">
        <v>0.89319999999999999</v>
      </c>
      <c r="G2037" s="144">
        <v>1.2101999999999999</v>
      </c>
      <c r="I2037" s="144">
        <v>1</v>
      </c>
      <c r="J2037" s="145">
        <f t="shared" si="232"/>
        <v>40733</v>
      </c>
      <c r="K2037" s="144">
        <f t="shared" ca="1" si="237"/>
        <v>0.84974020502738379</v>
      </c>
      <c r="L2037" s="144">
        <f t="shared" ca="1" si="237"/>
        <v>0.62715910686701315</v>
      </c>
      <c r="M2037" s="144">
        <f t="shared" ca="1" si="237"/>
        <v>81.435191686560884</v>
      </c>
      <c r="N2037" s="144">
        <f t="shared" ca="1" si="237"/>
        <v>5.4381407105743582</v>
      </c>
      <c r="O2037" s="144">
        <f t="shared" ca="1" si="237"/>
        <v>27.961381828394892</v>
      </c>
      <c r="P2037" s="144">
        <f t="shared" ca="1" si="237"/>
        <v>1</v>
      </c>
      <c r="Q2037" s="144">
        <f t="shared" ca="1" si="237"/>
        <v>0.70214857463839353</v>
      </c>
    </row>
    <row r="2038" spans="1:17" x14ac:dyDescent="0.25">
      <c r="A2038" s="145">
        <v>40732</v>
      </c>
      <c r="B2038" s="144">
        <v>1.4241999999999999</v>
      </c>
      <c r="C2038" s="144">
        <v>39.822600000000001</v>
      </c>
      <c r="D2038" s="144">
        <v>7.7450000000000001</v>
      </c>
      <c r="E2038" s="144">
        <v>115.98</v>
      </c>
      <c r="F2038" s="144">
        <v>0.89319999999999999</v>
      </c>
      <c r="G2038" s="144">
        <v>1.2101999999999999</v>
      </c>
      <c r="I2038" s="144">
        <v>1</v>
      </c>
      <c r="J2038" s="145">
        <f t="shared" si="232"/>
        <v>40732</v>
      </c>
      <c r="K2038" s="144">
        <f t="shared" ca="1" si="237"/>
        <v>0.84974020502738379</v>
      </c>
      <c r="L2038" s="144">
        <f t="shared" ca="1" si="237"/>
        <v>0.62715910686701315</v>
      </c>
      <c r="M2038" s="144">
        <f t="shared" ca="1" si="237"/>
        <v>81.435191686560884</v>
      </c>
      <c r="N2038" s="144">
        <f t="shared" ca="1" si="237"/>
        <v>5.4381407105743582</v>
      </c>
      <c r="O2038" s="144">
        <f t="shared" ca="1" si="237"/>
        <v>27.961381828394892</v>
      </c>
      <c r="P2038" s="144">
        <f t="shared" ca="1" si="237"/>
        <v>1</v>
      </c>
      <c r="Q2038" s="144">
        <f t="shared" ca="1" si="237"/>
        <v>0.70214857463839353</v>
      </c>
    </row>
    <row r="2039" spans="1:17" x14ac:dyDescent="0.25">
      <c r="A2039" s="145">
        <v>40731</v>
      </c>
      <c r="B2039" s="144">
        <v>1.4247000000000001</v>
      </c>
      <c r="C2039" s="144">
        <v>39.97</v>
      </c>
      <c r="D2039" s="144">
        <v>7.742</v>
      </c>
      <c r="E2039" s="144">
        <v>115.64</v>
      </c>
      <c r="F2039" s="144">
        <v>0.8921</v>
      </c>
      <c r="G2039" s="144">
        <v>1.2050000000000001</v>
      </c>
      <c r="I2039" s="144">
        <v>1</v>
      </c>
      <c r="J2039" s="145">
        <f t="shared" si="232"/>
        <v>40731</v>
      </c>
      <c r="K2039" s="144">
        <f t="shared" ca="1" si="237"/>
        <v>0.84579209658173649</v>
      </c>
      <c r="L2039" s="144">
        <f t="shared" ca="1" si="237"/>
        <v>0.62616691233242083</v>
      </c>
      <c r="M2039" s="144">
        <f t="shared" ca="1" si="237"/>
        <v>81.167965185653117</v>
      </c>
      <c r="N2039" s="144">
        <f t="shared" ca="1" si="237"/>
        <v>5.4341264827683018</v>
      </c>
      <c r="O2039" s="144">
        <f t="shared" ca="1" si="237"/>
        <v>28.055029128939424</v>
      </c>
      <c r="P2039" s="144">
        <f t="shared" ca="1" si="237"/>
        <v>1</v>
      </c>
      <c r="Q2039" s="144">
        <f t="shared" ca="1" si="237"/>
        <v>0.70190215483961527</v>
      </c>
    </row>
    <row r="2040" spans="1:17" x14ac:dyDescent="0.25">
      <c r="A2040" s="145">
        <v>40730</v>
      </c>
      <c r="B2040" s="144">
        <v>1.4318</v>
      </c>
      <c r="C2040" s="144">
        <v>40.06</v>
      </c>
      <c r="D2040" s="144">
        <v>7.7664999999999997</v>
      </c>
      <c r="E2040" s="144">
        <v>116.03</v>
      </c>
      <c r="F2040" s="144">
        <v>0.89485000000000003</v>
      </c>
      <c r="G2040" s="144">
        <v>1.2059</v>
      </c>
      <c r="I2040" s="144">
        <v>1</v>
      </c>
      <c r="J2040" s="145">
        <f t="shared" si="232"/>
        <v>40730</v>
      </c>
      <c r="K2040" s="144">
        <f t="shared" ca="1" si="237"/>
        <v>0.84222656795641848</v>
      </c>
      <c r="L2040" s="144">
        <f t="shared" ca="1" si="237"/>
        <v>0.62498253946081861</v>
      </c>
      <c r="M2040" s="144">
        <f t="shared" ca="1" si="237"/>
        <v>81.037854448945382</v>
      </c>
      <c r="N2040" s="144">
        <f t="shared" ca="1" si="237"/>
        <v>5.4242911021092333</v>
      </c>
      <c r="O2040" s="144">
        <f t="shared" ca="1" si="237"/>
        <v>27.978767984355358</v>
      </c>
      <c r="P2040" s="144">
        <f t="shared" ca="1" si="237"/>
        <v>1</v>
      </c>
      <c r="Q2040" s="144">
        <f t="shared" ca="1" si="237"/>
        <v>0.69842156725799698</v>
      </c>
    </row>
    <row r="2041" spans="1:17" x14ac:dyDescent="0.25">
      <c r="A2041" s="145">
        <v>40729</v>
      </c>
      <c r="B2041" s="144">
        <v>1.4460999999999999</v>
      </c>
      <c r="C2041" s="144">
        <v>40.313600000000001</v>
      </c>
      <c r="D2041" s="144">
        <v>7.7525000000000004</v>
      </c>
      <c r="E2041" s="144">
        <v>117.23</v>
      </c>
      <c r="F2041" s="144">
        <v>0.89839999999999998</v>
      </c>
      <c r="G2041" s="144">
        <v>1.2213000000000001</v>
      </c>
      <c r="I2041" s="144">
        <v>1</v>
      </c>
      <c r="J2041" s="145">
        <f t="shared" si="232"/>
        <v>40729</v>
      </c>
      <c r="K2041" s="144">
        <f t="shared" ca="1" si="237"/>
        <v>0.8445474033607635</v>
      </c>
      <c r="L2041" s="144">
        <f t="shared" ca="1" si="237"/>
        <v>0.62125717446926221</v>
      </c>
      <c r="M2041" s="144">
        <f t="shared" ca="1" si="237"/>
        <v>81.066316299011135</v>
      </c>
      <c r="N2041" s="144">
        <f t="shared" ca="1" si="237"/>
        <v>5.3609708872138864</v>
      </c>
      <c r="O2041" s="144">
        <f t="shared" ca="1" si="237"/>
        <v>27.877463522577969</v>
      </c>
      <c r="P2041" s="144">
        <f t="shared" ca="1" si="237"/>
        <v>1</v>
      </c>
      <c r="Q2041" s="144">
        <f t="shared" ca="1" si="237"/>
        <v>0.69151510960514495</v>
      </c>
    </row>
    <row r="2042" spans="1:17" x14ac:dyDescent="0.25">
      <c r="A2042" s="145">
        <v>40728</v>
      </c>
      <c r="B2042" s="144">
        <v>1.45</v>
      </c>
      <c r="C2042" s="144">
        <v>40.365000000000002</v>
      </c>
      <c r="D2042" s="144">
        <v>7.7605000000000004</v>
      </c>
      <c r="E2042" s="144">
        <v>117.11</v>
      </c>
      <c r="F2042" s="144">
        <v>0.90149999999999997</v>
      </c>
      <c r="G2042" s="144">
        <v>1.2323999999999999</v>
      </c>
      <c r="I2042" s="144">
        <v>1</v>
      </c>
      <c r="J2042" s="145">
        <f t="shared" si="232"/>
        <v>40728</v>
      </c>
      <c r="K2042" s="144">
        <f t="shared" ca="1" si="237"/>
        <v>0.84993103448275864</v>
      </c>
      <c r="L2042" s="144">
        <f t="shared" ca="1" si="237"/>
        <v>0.62172413793103443</v>
      </c>
      <c r="M2042" s="144">
        <f t="shared" ca="1" si="237"/>
        <v>80.765517241379314</v>
      </c>
      <c r="N2042" s="144">
        <f t="shared" ca="1" si="237"/>
        <v>5.3520689655172422</v>
      </c>
      <c r="O2042" s="144">
        <f t="shared" ca="1" si="237"/>
        <v>27.837931034482761</v>
      </c>
      <c r="P2042" s="144">
        <f t="shared" ca="1" si="237"/>
        <v>1</v>
      </c>
      <c r="Q2042" s="144">
        <f t="shared" ca="1" si="237"/>
        <v>0.68965517241379315</v>
      </c>
    </row>
    <row r="2043" spans="1:17" x14ac:dyDescent="0.25">
      <c r="A2043" s="145">
        <v>40727</v>
      </c>
      <c r="B2043" s="144">
        <v>1.4488000000000001</v>
      </c>
      <c r="C2043" s="144">
        <v>40.390900000000002</v>
      </c>
      <c r="D2043" s="144">
        <v>7.79</v>
      </c>
      <c r="E2043" s="144">
        <v>116.92</v>
      </c>
      <c r="F2043" s="144">
        <v>0.90500000000000003</v>
      </c>
      <c r="G2043" s="144">
        <v>1.2266999999999999</v>
      </c>
      <c r="I2043" s="144">
        <v>1</v>
      </c>
      <c r="J2043" s="145">
        <f t="shared" si="232"/>
        <v>40727</v>
      </c>
      <c r="K2043" s="144">
        <f t="shared" ca="1" si="237"/>
        <v>0.84670071783544987</v>
      </c>
      <c r="L2043" s="144">
        <f t="shared" ca="1" si="237"/>
        <v>0.62465488680287129</v>
      </c>
      <c r="M2043" s="144">
        <f t="shared" ca="1" si="237"/>
        <v>80.701270016565431</v>
      </c>
      <c r="N2043" s="144">
        <f t="shared" ca="1" si="237"/>
        <v>5.3768636112644943</v>
      </c>
      <c r="O2043" s="144">
        <f t="shared" ca="1" si="237"/>
        <v>27.878865267807839</v>
      </c>
      <c r="P2043" s="144">
        <f t="shared" ca="1" si="237"/>
        <v>1</v>
      </c>
      <c r="Q2043" s="144">
        <f t="shared" ca="1" si="237"/>
        <v>0.69022639425731636</v>
      </c>
    </row>
    <row r="2044" spans="1:17" x14ac:dyDescent="0.25">
      <c r="A2044" s="145">
        <v>40726</v>
      </c>
      <c r="B2044" s="144">
        <v>1.4488000000000001</v>
      </c>
      <c r="C2044" s="144">
        <v>40.390900000000002</v>
      </c>
      <c r="D2044" s="144">
        <v>7.79</v>
      </c>
      <c r="E2044" s="144">
        <v>116.92</v>
      </c>
      <c r="F2044" s="144">
        <v>0.90500000000000003</v>
      </c>
      <c r="G2044" s="144">
        <v>1.2266999999999999</v>
      </c>
      <c r="I2044" s="144">
        <v>1</v>
      </c>
      <c r="J2044" s="145">
        <f t="shared" si="232"/>
        <v>40726</v>
      </c>
      <c r="K2044" s="144">
        <f t="shared" ca="1" si="237"/>
        <v>0.84670071783544987</v>
      </c>
      <c r="L2044" s="144">
        <f t="shared" ca="1" si="237"/>
        <v>0.62465488680287129</v>
      </c>
      <c r="M2044" s="144">
        <f t="shared" ca="1" si="237"/>
        <v>80.701270016565431</v>
      </c>
      <c r="N2044" s="144">
        <f t="shared" ca="1" si="237"/>
        <v>5.3768636112644943</v>
      </c>
      <c r="O2044" s="144">
        <f t="shared" ca="1" si="237"/>
        <v>27.878865267807839</v>
      </c>
      <c r="P2044" s="144">
        <f t="shared" ca="1" si="237"/>
        <v>1</v>
      </c>
      <c r="Q2044" s="144">
        <f t="shared" ca="1" si="237"/>
        <v>0.69022639425731636</v>
      </c>
    </row>
    <row r="2045" spans="1:17" x14ac:dyDescent="0.25">
      <c r="A2045" s="145">
        <v>40725</v>
      </c>
      <c r="B2045" s="144">
        <v>1.4488000000000001</v>
      </c>
      <c r="C2045" s="144">
        <v>40.390900000000002</v>
      </c>
      <c r="D2045" s="144">
        <v>7.79</v>
      </c>
      <c r="E2045" s="144">
        <v>116.92</v>
      </c>
      <c r="F2045" s="144">
        <v>0.90500000000000003</v>
      </c>
      <c r="G2045" s="144">
        <v>1.2266999999999999</v>
      </c>
      <c r="I2045" s="144">
        <v>1</v>
      </c>
      <c r="J2045" s="145">
        <f t="shared" si="232"/>
        <v>40725</v>
      </c>
      <c r="K2045" s="144">
        <f t="shared" ref="K2045:Q2054" ca="1" si="238">OFFSET($A2045,0,K$3)/OFFSET($A2045,0,$P$3)</f>
        <v>0.84670071783544987</v>
      </c>
      <c r="L2045" s="144">
        <f t="shared" ca="1" si="238"/>
        <v>0.62465488680287129</v>
      </c>
      <c r="M2045" s="144">
        <f t="shared" ca="1" si="238"/>
        <v>80.701270016565431</v>
      </c>
      <c r="N2045" s="144">
        <f t="shared" ca="1" si="238"/>
        <v>5.3768636112644943</v>
      </c>
      <c r="O2045" s="144">
        <f t="shared" ca="1" si="238"/>
        <v>27.878865267807839</v>
      </c>
      <c r="P2045" s="144">
        <f t="shared" ca="1" si="238"/>
        <v>1</v>
      </c>
      <c r="Q2045" s="144">
        <f t="shared" ca="1" si="238"/>
        <v>0.69022639425731636</v>
      </c>
    </row>
    <row r="2046" spans="1:17" x14ac:dyDescent="0.25">
      <c r="A2046" s="145">
        <v>40724</v>
      </c>
      <c r="B2046" s="144">
        <v>1.4453</v>
      </c>
      <c r="C2046" s="144">
        <v>40.4</v>
      </c>
      <c r="D2046" s="144">
        <v>7.7874999999999996</v>
      </c>
      <c r="E2046" s="144">
        <v>116.25</v>
      </c>
      <c r="F2046" s="144">
        <v>0.90254999999999996</v>
      </c>
      <c r="G2046" s="144">
        <v>1.2071000000000001</v>
      </c>
      <c r="I2046" s="144">
        <v>1</v>
      </c>
      <c r="J2046" s="145">
        <f t="shared" si="232"/>
        <v>40724</v>
      </c>
      <c r="K2046" s="144">
        <f t="shared" ca="1" si="238"/>
        <v>0.83518992596692732</v>
      </c>
      <c r="L2046" s="144">
        <f t="shared" ca="1" si="238"/>
        <v>0.62447242786964641</v>
      </c>
      <c r="M2046" s="144">
        <f t="shared" ca="1" si="238"/>
        <v>80.433128070296817</v>
      </c>
      <c r="N2046" s="144">
        <f t="shared" ca="1" si="238"/>
        <v>5.388154708365045</v>
      </c>
      <c r="O2046" s="144">
        <f t="shared" ca="1" si="238"/>
        <v>27.952674185290249</v>
      </c>
      <c r="P2046" s="144">
        <f t="shared" ca="1" si="238"/>
        <v>1</v>
      </c>
      <c r="Q2046" s="144">
        <f t="shared" ca="1" si="238"/>
        <v>0.69189787587352103</v>
      </c>
    </row>
    <row r="2047" spans="1:17" x14ac:dyDescent="0.25">
      <c r="A2047" s="145">
        <v>40723</v>
      </c>
      <c r="B2047" s="144">
        <v>1.4424999999999999</v>
      </c>
      <c r="C2047" s="144">
        <v>40.378</v>
      </c>
      <c r="D2047" s="144">
        <v>7.8055000000000003</v>
      </c>
      <c r="E2047" s="144">
        <v>116.93</v>
      </c>
      <c r="F2047" s="144">
        <v>0.89980000000000004</v>
      </c>
      <c r="G2047" s="144">
        <v>1.2036</v>
      </c>
      <c r="I2047" s="144">
        <v>1</v>
      </c>
      <c r="J2047" s="145">
        <f t="shared" si="232"/>
        <v>40723</v>
      </c>
      <c r="K2047" s="144">
        <f t="shared" ca="1" si="238"/>
        <v>0.83438474870017343</v>
      </c>
      <c r="L2047" s="144">
        <f t="shared" ca="1" si="238"/>
        <v>0.62377816291161181</v>
      </c>
      <c r="M2047" s="144">
        <f t="shared" ca="1" si="238"/>
        <v>81.060658578856163</v>
      </c>
      <c r="N2047" s="144">
        <f t="shared" ca="1" si="238"/>
        <v>5.4110918544194115</v>
      </c>
      <c r="O2047" s="144">
        <f t="shared" ca="1" si="238"/>
        <v>27.991681109185443</v>
      </c>
      <c r="P2047" s="144">
        <f t="shared" ca="1" si="238"/>
        <v>1</v>
      </c>
      <c r="Q2047" s="144">
        <f t="shared" ca="1" si="238"/>
        <v>0.69324090121317161</v>
      </c>
    </row>
    <row r="2048" spans="1:17" x14ac:dyDescent="0.25">
      <c r="A2048" s="145">
        <v>40722</v>
      </c>
      <c r="B2048" s="144">
        <v>1.4260999999999999</v>
      </c>
      <c r="C2048" s="144">
        <v>40.2485</v>
      </c>
      <c r="D2048" s="144">
        <v>7.8019999999999996</v>
      </c>
      <c r="E2048" s="144">
        <v>115.31</v>
      </c>
      <c r="F2048" s="144">
        <v>0.89419999999999999</v>
      </c>
      <c r="G2048" s="144">
        <v>1.1883999999999999</v>
      </c>
      <c r="I2048" s="144">
        <v>1</v>
      </c>
      <c r="J2048" s="145">
        <f t="shared" si="232"/>
        <v>40722</v>
      </c>
      <c r="K2048" s="144">
        <f t="shared" ca="1" si="238"/>
        <v>0.8333216464483556</v>
      </c>
      <c r="L2048" s="144">
        <f t="shared" ca="1" si="238"/>
        <v>0.62702475282238279</v>
      </c>
      <c r="M2048" s="144">
        <f t="shared" ca="1" si="238"/>
        <v>80.856882406563358</v>
      </c>
      <c r="N2048" s="144">
        <f t="shared" ca="1" si="238"/>
        <v>5.4708645957506485</v>
      </c>
      <c r="O2048" s="144">
        <f t="shared" ca="1" si="238"/>
        <v>28.222775401444501</v>
      </c>
      <c r="P2048" s="144">
        <f t="shared" ca="1" si="238"/>
        <v>1</v>
      </c>
      <c r="Q2048" s="144">
        <f t="shared" ca="1" si="238"/>
        <v>0.70121309866068304</v>
      </c>
    </row>
    <row r="2049" spans="1:17" x14ac:dyDescent="0.25">
      <c r="A2049" s="145">
        <v>40721</v>
      </c>
      <c r="B2049" s="144">
        <v>1.4205000000000001</v>
      </c>
      <c r="C2049" s="144">
        <v>40.244100000000003</v>
      </c>
      <c r="D2049" s="144">
        <v>7.7845000000000004</v>
      </c>
      <c r="E2049" s="144">
        <v>114.74</v>
      </c>
      <c r="F2049" s="144">
        <v>0.88970000000000005</v>
      </c>
      <c r="G2049" s="144">
        <v>1.1849000000000001</v>
      </c>
      <c r="I2049" s="144">
        <v>1</v>
      </c>
      <c r="J2049" s="145">
        <f t="shared" si="232"/>
        <v>40721</v>
      </c>
      <c r="K2049" s="144">
        <f t="shared" ca="1" si="238"/>
        <v>0.83414290742696229</v>
      </c>
      <c r="L2049" s="144">
        <f t="shared" ca="1" si="238"/>
        <v>0.62632875747976069</v>
      </c>
      <c r="M2049" s="144">
        <f t="shared" ca="1" si="238"/>
        <v>80.774375219992947</v>
      </c>
      <c r="N2049" s="144">
        <f t="shared" ca="1" si="238"/>
        <v>5.480112636395635</v>
      </c>
      <c r="O2049" s="144">
        <f t="shared" ca="1" si="238"/>
        <v>28.330939809926083</v>
      </c>
      <c r="P2049" s="144">
        <f t="shared" ca="1" si="238"/>
        <v>1</v>
      </c>
      <c r="Q2049" s="144">
        <f t="shared" ca="1" si="238"/>
        <v>0.70397747272087285</v>
      </c>
    </row>
    <row r="2050" spans="1:17" x14ac:dyDescent="0.25">
      <c r="A2050" s="145">
        <v>40720</v>
      </c>
      <c r="B2050" s="144">
        <v>1.4219999999999999</v>
      </c>
      <c r="C2050" s="144">
        <v>40.130000000000003</v>
      </c>
      <c r="D2050" s="144">
        <v>7.7824999999999998</v>
      </c>
      <c r="E2050" s="144">
        <v>114.06</v>
      </c>
      <c r="F2050" s="144">
        <v>0.88854999999999995</v>
      </c>
      <c r="G2050" s="144">
        <v>1.1901999999999999</v>
      </c>
      <c r="I2050" s="144">
        <v>1</v>
      </c>
      <c r="J2050" s="145">
        <f t="shared" si="232"/>
        <v>40720</v>
      </c>
      <c r="K2050" s="144">
        <f t="shared" ca="1" si="238"/>
        <v>0.83699015471167371</v>
      </c>
      <c r="L2050" s="144">
        <f t="shared" ca="1" si="238"/>
        <v>0.62485935302390994</v>
      </c>
      <c r="M2050" s="144">
        <f t="shared" ca="1" si="238"/>
        <v>80.210970464135031</v>
      </c>
      <c r="N2050" s="144">
        <f t="shared" ca="1" si="238"/>
        <v>5.4729254571026722</v>
      </c>
      <c r="O2050" s="144">
        <f t="shared" ca="1" si="238"/>
        <v>28.220815752461327</v>
      </c>
      <c r="P2050" s="144">
        <f t="shared" ca="1" si="238"/>
        <v>1</v>
      </c>
      <c r="Q2050" s="144">
        <f t="shared" ca="1" si="238"/>
        <v>0.70323488045007032</v>
      </c>
    </row>
    <row r="2051" spans="1:17" x14ac:dyDescent="0.25">
      <c r="A2051" s="145">
        <v>40719</v>
      </c>
      <c r="B2051" s="144">
        <v>1.4219999999999999</v>
      </c>
      <c r="C2051" s="144">
        <v>40.130000000000003</v>
      </c>
      <c r="D2051" s="144">
        <v>7.7824999999999998</v>
      </c>
      <c r="E2051" s="144">
        <v>114.06</v>
      </c>
      <c r="F2051" s="144">
        <v>0.88854999999999995</v>
      </c>
      <c r="G2051" s="144">
        <v>1.1901999999999999</v>
      </c>
      <c r="I2051" s="144">
        <v>1</v>
      </c>
      <c r="J2051" s="145">
        <f t="shared" si="232"/>
        <v>40719</v>
      </c>
      <c r="K2051" s="144">
        <f t="shared" ca="1" si="238"/>
        <v>0.83699015471167371</v>
      </c>
      <c r="L2051" s="144">
        <f t="shared" ca="1" si="238"/>
        <v>0.62485935302390994</v>
      </c>
      <c r="M2051" s="144">
        <f t="shared" ca="1" si="238"/>
        <v>80.210970464135031</v>
      </c>
      <c r="N2051" s="144">
        <f t="shared" ca="1" si="238"/>
        <v>5.4729254571026722</v>
      </c>
      <c r="O2051" s="144">
        <f t="shared" ca="1" si="238"/>
        <v>28.220815752461327</v>
      </c>
      <c r="P2051" s="144">
        <f t="shared" ca="1" si="238"/>
        <v>1</v>
      </c>
      <c r="Q2051" s="144">
        <f t="shared" ca="1" si="238"/>
        <v>0.70323488045007032</v>
      </c>
    </row>
    <row r="2052" spans="1:17" x14ac:dyDescent="0.25">
      <c r="A2052" s="145">
        <v>40718</v>
      </c>
      <c r="B2052" s="144">
        <v>1.4219999999999999</v>
      </c>
      <c r="C2052" s="144">
        <v>40.130000000000003</v>
      </c>
      <c r="D2052" s="144">
        <v>7.7824999999999998</v>
      </c>
      <c r="E2052" s="144">
        <v>114.06</v>
      </c>
      <c r="F2052" s="144">
        <v>0.88854999999999995</v>
      </c>
      <c r="G2052" s="144">
        <v>1.1901999999999999</v>
      </c>
      <c r="I2052" s="144">
        <v>1</v>
      </c>
      <c r="J2052" s="145">
        <f t="shared" si="232"/>
        <v>40718</v>
      </c>
      <c r="K2052" s="144">
        <f t="shared" ca="1" si="238"/>
        <v>0.83699015471167371</v>
      </c>
      <c r="L2052" s="144">
        <f t="shared" ca="1" si="238"/>
        <v>0.62485935302390994</v>
      </c>
      <c r="M2052" s="144">
        <f t="shared" ca="1" si="238"/>
        <v>80.210970464135031</v>
      </c>
      <c r="N2052" s="144">
        <f t="shared" ca="1" si="238"/>
        <v>5.4729254571026722</v>
      </c>
      <c r="O2052" s="144">
        <f t="shared" ca="1" si="238"/>
        <v>28.220815752461327</v>
      </c>
      <c r="P2052" s="144">
        <f t="shared" ca="1" si="238"/>
        <v>1</v>
      </c>
      <c r="Q2052" s="144">
        <f t="shared" ca="1" si="238"/>
        <v>0.70323488045007032</v>
      </c>
    </row>
    <row r="2053" spans="1:17" x14ac:dyDescent="0.25">
      <c r="A2053" s="145">
        <v>40717</v>
      </c>
      <c r="B2053" s="144">
        <v>1.4212</v>
      </c>
      <c r="C2053" s="144">
        <v>39.99</v>
      </c>
      <c r="D2053" s="144">
        <v>7.8029999999999999</v>
      </c>
      <c r="E2053" s="144">
        <v>114.58</v>
      </c>
      <c r="F2053" s="144">
        <v>0.88959999999999995</v>
      </c>
      <c r="G2053" s="144">
        <v>1.1962999999999999</v>
      </c>
      <c r="I2053" s="144">
        <v>1</v>
      </c>
      <c r="J2053" s="145">
        <f t="shared" ref="J2053:J2116" si="239">A2053</f>
        <v>40717</v>
      </c>
      <c r="K2053" s="144">
        <f t="shared" ca="1" si="238"/>
        <v>0.84175344779059946</v>
      </c>
      <c r="L2053" s="144">
        <f t="shared" ca="1" si="238"/>
        <v>0.62594990149169716</v>
      </c>
      <c r="M2053" s="144">
        <f t="shared" ca="1" si="238"/>
        <v>80.622009569377994</v>
      </c>
      <c r="N2053" s="144">
        <f t="shared" ca="1" si="238"/>
        <v>5.4904306220095691</v>
      </c>
      <c r="O2053" s="144">
        <f t="shared" ca="1" si="238"/>
        <v>28.138193076273573</v>
      </c>
      <c r="P2053" s="144">
        <f t="shared" ca="1" si="238"/>
        <v>1</v>
      </c>
      <c r="Q2053" s="144">
        <f t="shared" ca="1" si="238"/>
        <v>0.70363073459048686</v>
      </c>
    </row>
    <row r="2054" spans="1:17" x14ac:dyDescent="0.25">
      <c r="A2054" s="145">
        <v>40716</v>
      </c>
      <c r="B2054" s="144">
        <v>1.4397</v>
      </c>
      <c r="C2054" s="144">
        <v>40.256500000000003</v>
      </c>
      <c r="D2054" s="144">
        <v>7.8665000000000003</v>
      </c>
      <c r="E2054" s="144">
        <v>115.36</v>
      </c>
      <c r="F2054" s="144">
        <v>0.8931</v>
      </c>
      <c r="G2054" s="144">
        <v>1.2109000000000001</v>
      </c>
      <c r="I2054" s="144">
        <v>1</v>
      </c>
      <c r="J2054" s="145">
        <f t="shared" si="239"/>
        <v>40716</v>
      </c>
      <c r="K2054" s="144">
        <f t="shared" ca="1" si="238"/>
        <v>0.84107800236160324</v>
      </c>
      <c r="L2054" s="144">
        <f t="shared" ca="1" si="238"/>
        <v>0.62033757032715153</v>
      </c>
      <c r="M2054" s="144">
        <f t="shared" ca="1" si="238"/>
        <v>80.127804403695208</v>
      </c>
      <c r="N2054" s="144">
        <f t="shared" ca="1" si="238"/>
        <v>5.4639855525456698</v>
      </c>
      <c r="O2054" s="144">
        <f t="shared" ca="1" si="238"/>
        <v>27.961728137806489</v>
      </c>
      <c r="P2054" s="144">
        <f t="shared" ca="1" si="238"/>
        <v>1</v>
      </c>
      <c r="Q2054" s="144">
        <f t="shared" ca="1" si="238"/>
        <v>0.69458915051746895</v>
      </c>
    </row>
    <row r="2055" spans="1:17" x14ac:dyDescent="0.25">
      <c r="A2055" s="145">
        <v>40715</v>
      </c>
      <c r="B2055" s="144">
        <v>1.4373</v>
      </c>
      <c r="C2055" s="144">
        <v>40.195</v>
      </c>
      <c r="D2055" s="144">
        <v>7.9119999999999999</v>
      </c>
      <c r="E2055" s="144">
        <v>115.2</v>
      </c>
      <c r="F2055" s="144">
        <v>0.88670000000000004</v>
      </c>
      <c r="G2055" s="144">
        <v>1.2126999999999999</v>
      </c>
      <c r="I2055" s="144">
        <v>1</v>
      </c>
      <c r="J2055" s="145">
        <f t="shared" si="239"/>
        <v>40715</v>
      </c>
      <c r="K2055" s="144">
        <f t="shared" ref="K2055:Q2064" ca="1" si="240">OFFSET($A2055,0,K$3)/OFFSET($A2055,0,$P$3)</f>
        <v>0.84373478049119865</v>
      </c>
      <c r="L2055" s="144">
        <f t="shared" ca="1" si="240"/>
        <v>0.61692061504209283</v>
      </c>
      <c r="M2055" s="144">
        <f t="shared" ca="1" si="240"/>
        <v>80.150281778334374</v>
      </c>
      <c r="N2055" s="144">
        <f t="shared" ca="1" si="240"/>
        <v>5.5047658804703259</v>
      </c>
      <c r="O2055" s="144">
        <f t="shared" ca="1" si="240"/>
        <v>27.96563000069575</v>
      </c>
      <c r="P2055" s="144">
        <f t="shared" ca="1" si="240"/>
        <v>1</v>
      </c>
      <c r="Q2055" s="144">
        <f t="shared" ca="1" si="240"/>
        <v>0.69574897377026368</v>
      </c>
    </row>
    <row r="2056" spans="1:17" x14ac:dyDescent="0.25">
      <c r="A2056" s="145">
        <v>40714</v>
      </c>
      <c r="B2056" s="144">
        <v>1.4235</v>
      </c>
      <c r="C2056" s="144">
        <v>40.102499999999999</v>
      </c>
      <c r="D2056" s="144">
        <v>7.9264999999999999</v>
      </c>
      <c r="E2056" s="144">
        <v>114.24</v>
      </c>
      <c r="F2056" s="144">
        <v>0.87949999999999995</v>
      </c>
      <c r="G2056" s="144">
        <v>1.2039</v>
      </c>
      <c r="I2056" s="144">
        <v>1</v>
      </c>
      <c r="J2056" s="145">
        <f t="shared" si="239"/>
        <v>40714</v>
      </c>
      <c r="K2056" s="144">
        <f t="shared" ca="1" si="240"/>
        <v>0.8457323498419389</v>
      </c>
      <c r="L2056" s="144">
        <f t="shared" ca="1" si="240"/>
        <v>0.61784334387074114</v>
      </c>
      <c r="M2056" s="144">
        <f t="shared" ca="1" si="240"/>
        <v>80.252897787144363</v>
      </c>
      <c r="N2056" s="144">
        <f t="shared" ca="1" si="240"/>
        <v>5.5683175272216365</v>
      </c>
      <c r="O2056" s="144">
        <f t="shared" ca="1" si="240"/>
        <v>28.171759747102211</v>
      </c>
      <c r="P2056" s="144">
        <f t="shared" ca="1" si="240"/>
        <v>1</v>
      </c>
      <c r="Q2056" s="144">
        <f t="shared" ca="1" si="240"/>
        <v>0.70249385317878466</v>
      </c>
    </row>
    <row r="2057" spans="1:17" x14ac:dyDescent="0.25">
      <c r="A2057" s="145">
        <v>40713</v>
      </c>
      <c r="B2057" s="144">
        <v>1.427</v>
      </c>
      <c r="C2057" s="144">
        <v>40.060499999999998</v>
      </c>
      <c r="D2057" s="144">
        <v>7.8695000000000004</v>
      </c>
      <c r="E2057" s="144">
        <v>114.71</v>
      </c>
      <c r="F2057" s="144">
        <v>0.88260000000000005</v>
      </c>
      <c r="G2057" s="144">
        <v>1.2102999999999999</v>
      </c>
      <c r="I2057" s="144">
        <v>1</v>
      </c>
      <c r="J2057" s="145">
        <f t="shared" si="239"/>
        <v>40713</v>
      </c>
      <c r="K2057" s="144">
        <f t="shared" ca="1" si="240"/>
        <v>0.84814295725297817</v>
      </c>
      <c r="L2057" s="144">
        <f t="shared" ca="1" si="240"/>
        <v>0.61850035038542395</v>
      </c>
      <c r="M2057" s="144">
        <f t="shared" ca="1" si="240"/>
        <v>80.385423966362993</v>
      </c>
      <c r="N2057" s="144">
        <f t="shared" ca="1" si="240"/>
        <v>5.5147161878065871</v>
      </c>
      <c r="O2057" s="144">
        <f t="shared" ca="1" si="240"/>
        <v>28.073230553608969</v>
      </c>
      <c r="P2057" s="144">
        <f t="shared" ca="1" si="240"/>
        <v>1</v>
      </c>
      <c r="Q2057" s="144">
        <f t="shared" ca="1" si="240"/>
        <v>0.70077084793272593</v>
      </c>
    </row>
    <row r="2058" spans="1:17" x14ac:dyDescent="0.25">
      <c r="A2058" s="145">
        <v>40712</v>
      </c>
      <c r="B2058" s="144">
        <v>1.427</v>
      </c>
      <c r="C2058" s="144">
        <v>40.060499999999998</v>
      </c>
      <c r="D2058" s="144">
        <v>7.8695000000000004</v>
      </c>
      <c r="E2058" s="144">
        <v>114.71</v>
      </c>
      <c r="F2058" s="144">
        <v>0.88260000000000005</v>
      </c>
      <c r="G2058" s="144">
        <v>1.2102999999999999</v>
      </c>
      <c r="I2058" s="144">
        <v>1</v>
      </c>
      <c r="J2058" s="145">
        <f t="shared" si="239"/>
        <v>40712</v>
      </c>
      <c r="K2058" s="144">
        <f t="shared" ca="1" si="240"/>
        <v>0.84814295725297817</v>
      </c>
      <c r="L2058" s="144">
        <f t="shared" ca="1" si="240"/>
        <v>0.61850035038542395</v>
      </c>
      <c r="M2058" s="144">
        <f t="shared" ca="1" si="240"/>
        <v>80.385423966362993</v>
      </c>
      <c r="N2058" s="144">
        <f t="shared" ca="1" si="240"/>
        <v>5.5147161878065871</v>
      </c>
      <c r="O2058" s="144">
        <f t="shared" ca="1" si="240"/>
        <v>28.073230553608969</v>
      </c>
      <c r="P2058" s="144">
        <f t="shared" ca="1" si="240"/>
        <v>1</v>
      </c>
      <c r="Q2058" s="144">
        <f t="shared" ca="1" si="240"/>
        <v>0.70077084793272593</v>
      </c>
    </row>
    <row r="2059" spans="1:17" x14ac:dyDescent="0.25">
      <c r="A2059" s="145">
        <v>40711</v>
      </c>
      <c r="B2059" s="144">
        <v>1.427</v>
      </c>
      <c r="C2059" s="144">
        <v>40.060499999999998</v>
      </c>
      <c r="D2059" s="144">
        <v>7.8695000000000004</v>
      </c>
      <c r="E2059" s="144">
        <v>114.71</v>
      </c>
      <c r="F2059" s="144">
        <v>0.88260000000000005</v>
      </c>
      <c r="G2059" s="144">
        <v>1.2102999999999999</v>
      </c>
      <c r="I2059" s="144">
        <v>1</v>
      </c>
      <c r="J2059" s="145">
        <f t="shared" si="239"/>
        <v>40711</v>
      </c>
      <c r="K2059" s="144">
        <f t="shared" ca="1" si="240"/>
        <v>0.84814295725297817</v>
      </c>
      <c r="L2059" s="144">
        <f t="shared" ca="1" si="240"/>
        <v>0.61850035038542395</v>
      </c>
      <c r="M2059" s="144">
        <f t="shared" ca="1" si="240"/>
        <v>80.385423966362993</v>
      </c>
      <c r="N2059" s="144">
        <f t="shared" ca="1" si="240"/>
        <v>5.5147161878065871</v>
      </c>
      <c r="O2059" s="144">
        <f t="shared" ca="1" si="240"/>
        <v>28.073230553608969</v>
      </c>
      <c r="P2059" s="144">
        <f t="shared" ca="1" si="240"/>
        <v>1</v>
      </c>
      <c r="Q2059" s="144">
        <f t="shared" ca="1" si="240"/>
        <v>0.70077084793272593</v>
      </c>
    </row>
    <row r="2060" spans="1:17" x14ac:dyDescent="0.25">
      <c r="A2060" s="145">
        <v>40710</v>
      </c>
      <c r="B2060" s="144">
        <v>1.4088000000000001</v>
      </c>
      <c r="C2060" s="144">
        <v>39.795499999999997</v>
      </c>
      <c r="D2060" s="144">
        <v>7.8784999999999998</v>
      </c>
      <c r="E2060" s="144">
        <v>113.63</v>
      </c>
      <c r="F2060" s="144">
        <v>0.87529999999999997</v>
      </c>
      <c r="G2060" s="144">
        <v>1.1958</v>
      </c>
      <c r="I2060" s="144">
        <v>1</v>
      </c>
      <c r="J2060" s="145">
        <f t="shared" si="239"/>
        <v>40710</v>
      </c>
      <c r="K2060" s="144">
        <f t="shared" ca="1" si="240"/>
        <v>0.84880749574105618</v>
      </c>
      <c r="L2060" s="144">
        <f t="shared" ca="1" si="240"/>
        <v>0.62130891538898347</v>
      </c>
      <c r="M2060" s="144">
        <f t="shared" ca="1" si="240"/>
        <v>80.657296990346381</v>
      </c>
      <c r="N2060" s="144">
        <f t="shared" ca="1" si="240"/>
        <v>5.5923480976717768</v>
      </c>
      <c r="O2060" s="144">
        <f t="shared" ca="1" si="240"/>
        <v>28.24779954571266</v>
      </c>
      <c r="P2060" s="144">
        <f t="shared" ca="1" si="240"/>
        <v>1</v>
      </c>
      <c r="Q2060" s="144">
        <f t="shared" ca="1" si="240"/>
        <v>0.70982396365701306</v>
      </c>
    </row>
    <row r="2061" spans="1:17" x14ac:dyDescent="0.25">
      <c r="A2061" s="145">
        <v>40709</v>
      </c>
      <c r="B2061" s="144">
        <v>1.4292</v>
      </c>
      <c r="C2061" s="144">
        <v>39.947000000000003</v>
      </c>
      <c r="D2061" s="144">
        <v>7.82</v>
      </c>
      <c r="E2061" s="144">
        <v>115.54</v>
      </c>
      <c r="F2061" s="144">
        <v>0.87970000000000004</v>
      </c>
      <c r="G2061" s="144">
        <v>1.2163999999999999</v>
      </c>
      <c r="I2061" s="144">
        <v>1</v>
      </c>
      <c r="J2061" s="145">
        <f t="shared" si="239"/>
        <v>40709</v>
      </c>
      <c r="K2061" s="144">
        <f t="shared" ca="1" si="240"/>
        <v>0.85110551357402731</v>
      </c>
      <c r="L2061" s="144">
        <f t="shared" ca="1" si="240"/>
        <v>0.61551917156451164</v>
      </c>
      <c r="M2061" s="144">
        <f t="shared" ca="1" si="240"/>
        <v>80.842429331094323</v>
      </c>
      <c r="N2061" s="144">
        <f t="shared" ca="1" si="240"/>
        <v>5.471592499300308</v>
      </c>
      <c r="O2061" s="144">
        <f t="shared" ca="1" si="240"/>
        <v>27.950601735236496</v>
      </c>
      <c r="P2061" s="144">
        <f t="shared" ca="1" si="240"/>
        <v>1</v>
      </c>
      <c r="Q2061" s="144">
        <f t="shared" ca="1" si="240"/>
        <v>0.69969213546039744</v>
      </c>
    </row>
    <row r="2062" spans="1:17" x14ac:dyDescent="0.25">
      <c r="A2062" s="145">
        <v>40708</v>
      </c>
      <c r="B2062" s="144">
        <v>1.4448000000000001</v>
      </c>
      <c r="C2062" s="144">
        <v>40.288800000000002</v>
      </c>
      <c r="D2062" s="144">
        <v>7.7965</v>
      </c>
      <c r="E2062" s="144">
        <v>115.91</v>
      </c>
      <c r="F2062" s="144">
        <v>0.88100000000000001</v>
      </c>
      <c r="G2062" s="144">
        <v>1.2116</v>
      </c>
      <c r="I2062" s="144">
        <v>1</v>
      </c>
      <c r="J2062" s="145">
        <f t="shared" si="239"/>
        <v>40708</v>
      </c>
      <c r="K2062" s="144">
        <f t="shared" ca="1" si="240"/>
        <v>0.83859357696566994</v>
      </c>
      <c r="L2062" s="144">
        <f t="shared" ca="1" si="240"/>
        <v>0.60977297895902549</v>
      </c>
      <c r="M2062" s="144">
        <f t="shared" ca="1" si="240"/>
        <v>80.225636766334432</v>
      </c>
      <c r="N2062" s="144">
        <f t="shared" ca="1" si="240"/>
        <v>5.3962486157253595</v>
      </c>
      <c r="O2062" s="144">
        <f t="shared" ca="1" si="240"/>
        <v>27.885382059800666</v>
      </c>
      <c r="P2062" s="144">
        <f t="shared" ca="1" si="240"/>
        <v>1</v>
      </c>
      <c r="Q2062" s="144">
        <f t="shared" ca="1" si="240"/>
        <v>0.69213732004429673</v>
      </c>
    </row>
    <row r="2063" spans="1:17" x14ac:dyDescent="0.25">
      <c r="A2063" s="145">
        <v>40707</v>
      </c>
      <c r="B2063" s="144">
        <v>1.4354</v>
      </c>
      <c r="C2063" s="144">
        <v>40.200000000000003</v>
      </c>
      <c r="D2063" s="144">
        <v>7.8659999999999997</v>
      </c>
      <c r="E2063" s="144">
        <v>115.39</v>
      </c>
      <c r="F2063" s="144">
        <v>0.88060000000000005</v>
      </c>
      <c r="G2063" s="144">
        <v>1.2022999999999999</v>
      </c>
      <c r="I2063" s="144">
        <v>1</v>
      </c>
      <c r="J2063" s="145">
        <f t="shared" si="239"/>
        <v>40707</v>
      </c>
      <c r="K2063" s="144">
        <f t="shared" ca="1" si="240"/>
        <v>0.83760624216246338</v>
      </c>
      <c r="L2063" s="144">
        <f t="shared" ca="1" si="240"/>
        <v>0.61348752960847153</v>
      </c>
      <c r="M2063" s="144">
        <f t="shared" ca="1" si="240"/>
        <v>80.388741814128466</v>
      </c>
      <c r="N2063" s="144">
        <f t="shared" ca="1" si="240"/>
        <v>5.4800055733593425</v>
      </c>
      <c r="O2063" s="144">
        <f t="shared" ca="1" si="240"/>
        <v>28.006130695276578</v>
      </c>
      <c r="P2063" s="144">
        <f t="shared" ca="1" si="240"/>
        <v>1</v>
      </c>
      <c r="Q2063" s="144">
        <f t="shared" ca="1" si="240"/>
        <v>0.69666991779294973</v>
      </c>
    </row>
    <row r="2064" spans="1:17" x14ac:dyDescent="0.25">
      <c r="A2064" s="145">
        <v>40706</v>
      </c>
      <c r="B2064" s="144">
        <v>1.4486000000000001</v>
      </c>
      <c r="C2064" s="144">
        <v>40.302500000000002</v>
      </c>
      <c r="D2064" s="144">
        <v>7.8555000000000001</v>
      </c>
      <c r="E2064" s="144">
        <v>116</v>
      </c>
      <c r="F2064" s="144">
        <v>0.88839999999999997</v>
      </c>
      <c r="G2064" s="144">
        <v>1.2190000000000001</v>
      </c>
      <c r="I2064" s="144">
        <v>1</v>
      </c>
      <c r="J2064" s="145">
        <f t="shared" si="239"/>
        <v>40706</v>
      </c>
      <c r="K2064" s="144">
        <f t="shared" ca="1" si="240"/>
        <v>0.84150213999723866</v>
      </c>
      <c r="L2064" s="144">
        <f t="shared" ca="1" si="240"/>
        <v>0.61328178931382016</v>
      </c>
      <c r="M2064" s="144">
        <f t="shared" ca="1" si="240"/>
        <v>80.077316029269639</v>
      </c>
      <c r="N2064" s="144">
        <f t="shared" ca="1" si="240"/>
        <v>5.4228220350683412</v>
      </c>
      <c r="O2064" s="144">
        <f t="shared" ca="1" si="240"/>
        <v>27.821689907496893</v>
      </c>
      <c r="P2064" s="144">
        <f t="shared" ca="1" si="240"/>
        <v>1</v>
      </c>
      <c r="Q2064" s="144">
        <f t="shared" ca="1" si="240"/>
        <v>0.69032168990749687</v>
      </c>
    </row>
    <row r="2065" spans="1:17" x14ac:dyDescent="0.25">
      <c r="A2065" s="145">
        <v>40705</v>
      </c>
      <c r="B2065" s="144">
        <v>1.4486000000000001</v>
      </c>
      <c r="C2065" s="144">
        <v>40.302500000000002</v>
      </c>
      <c r="D2065" s="144">
        <v>7.8555000000000001</v>
      </c>
      <c r="E2065" s="144">
        <v>116</v>
      </c>
      <c r="F2065" s="144">
        <v>0.88839999999999997</v>
      </c>
      <c r="G2065" s="144">
        <v>1.2190000000000001</v>
      </c>
      <c r="I2065" s="144">
        <v>1</v>
      </c>
      <c r="J2065" s="145">
        <f t="shared" si="239"/>
        <v>40705</v>
      </c>
      <c r="K2065" s="144">
        <f t="shared" ref="K2065:Q2074" ca="1" si="241">OFFSET($A2065,0,K$3)/OFFSET($A2065,0,$P$3)</f>
        <v>0.84150213999723866</v>
      </c>
      <c r="L2065" s="144">
        <f t="shared" ca="1" si="241"/>
        <v>0.61328178931382016</v>
      </c>
      <c r="M2065" s="144">
        <f t="shared" ca="1" si="241"/>
        <v>80.077316029269639</v>
      </c>
      <c r="N2065" s="144">
        <f t="shared" ca="1" si="241"/>
        <v>5.4228220350683412</v>
      </c>
      <c r="O2065" s="144">
        <f t="shared" ca="1" si="241"/>
        <v>27.821689907496893</v>
      </c>
      <c r="P2065" s="144">
        <f t="shared" ca="1" si="241"/>
        <v>1</v>
      </c>
      <c r="Q2065" s="144">
        <f t="shared" ca="1" si="241"/>
        <v>0.69032168990749687</v>
      </c>
    </row>
    <row r="2066" spans="1:17" x14ac:dyDescent="0.25">
      <c r="A2066" s="145">
        <v>40704</v>
      </c>
      <c r="B2066" s="144">
        <v>1.4486000000000001</v>
      </c>
      <c r="C2066" s="144">
        <v>40.302500000000002</v>
      </c>
      <c r="D2066" s="144">
        <v>7.8555000000000001</v>
      </c>
      <c r="E2066" s="144">
        <v>116</v>
      </c>
      <c r="F2066" s="144">
        <v>0.88839999999999997</v>
      </c>
      <c r="G2066" s="144">
        <v>1.2190000000000001</v>
      </c>
      <c r="I2066" s="144">
        <v>1</v>
      </c>
      <c r="J2066" s="145">
        <f t="shared" si="239"/>
        <v>40704</v>
      </c>
      <c r="K2066" s="144">
        <f t="shared" ca="1" si="241"/>
        <v>0.84150213999723866</v>
      </c>
      <c r="L2066" s="144">
        <f t="shared" ca="1" si="241"/>
        <v>0.61328178931382016</v>
      </c>
      <c r="M2066" s="144">
        <f t="shared" ca="1" si="241"/>
        <v>80.077316029269639</v>
      </c>
      <c r="N2066" s="144">
        <f t="shared" ca="1" si="241"/>
        <v>5.4228220350683412</v>
      </c>
      <c r="O2066" s="144">
        <f t="shared" ca="1" si="241"/>
        <v>27.821689907496893</v>
      </c>
      <c r="P2066" s="144">
        <f t="shared" ca="1" si="241"/>
        <v>1</v>
      </c>
      <c r="Q2066" s="144">
        <f t="shared" ca="1" si="241"/>
        <v>0.69032168990749687</v>
      </c>
    </row>
    <row r="2067" spans="1:17" x14ac:dyDescent="0.25">
      <c r="A2067" s="145">
        <v>40703</v>
      </c>
      <c r="B2067" s="144">
        <v>1.4614</v>
      </c>
      <c r="C2067" s="144">
        <v>40.467500000000001</v>
      </c>
      <c r="D2067" s="144">
        <v>7.8730000000000002</v>
      </c>
      <c r="E2067" s="144">
        <v>116.86</v>
      </c>
      <c r="F2067" s="144">
        <v>0.88939999999999997</v>
      </c>
      <c r="G2067" s="144">
        <v>1.2242</v>
      </c>
      <c r="I2067" s="144">
        <v>1</v>
      </c>
      <c r="J2067" s="145">
        <f t="shared" si="239"/>
        <v>40703</v>
      </c>
      <c r="K2067" s="144">
        <f t="shared" ca="1" si="241"/>
        <v>0.83768988641029141</v>
      </c>
      <c r="L2067" s="144">
        <f t="shared" ca="1" si="241"/>
        <v>0.60859449842616664</v>
      </c>
      <c r="M2067" s="144">
        <f t="shared" ca="1" si="241"/>
        <v>79.964417681675101</v>
      </c>
      <c r="N2067" s="144">
        <f t="shared" ca="1" si="241"/>
        <v>5.3872998494594224</v>
      </c>
      <c r="O2067" s="144">
        <f t="shared" ca="1" si="241"/>
        <v>27.690912823320105</v>
      </c>
      <c r="P2067" s="144">
        <f t="shared" ca="1" si="241"/>
        <v>1</v>
      </c>
      <c r="Q2067" s="144">
        <f t="shared" ca="1" si="241"/>
        <v>0.68427535240180648</v>
      </c>
    </row>
    <row r="2068" spans="1:17" x14ac:dyDescent="0.25">
      <c r="A2068" s="145">
        <v>40702</v>
      </c>
      <c r="B2068" s="144">
        <v>1.4608000000000001</v>
      </c>
      <c r="C2068" s="144">
        <v>40.552500000000002</v>
      </c>
      <c r="D2068" s="144">
        <v>7.8855000000000004</v>
      </c>
      <c r="E2068" s="144">
        <v>116.6</v>
      </c>
      <c r="F2068" s="144">
        <v>0.89290000000000003</v>
      </c>
      <c r="G2068" s="144">
        <v>1.2223999999999999</v>
      </c>
      <c r="I2068" s="144">
        <v>1</v>
      </c>
      <c r="J2068" s="145">
        <f t="shared" si="239"/>
        <v>40702</v>
      </c>
      <c r="K2068" s="144">
        <f t="shared" ca="1" si="241"/>
        <v>0.83680175246440291</v>
      </c>
      <c r="L2068" s="144">
        <f t="shared" ca="1" si="241"/>
        <v>0.61124041621029568</v>
      </c>
      <c r="M2068" s="144">
        <f t="shared" ca="1" si="241"/>
        <v>79.819277108433724</v>
      </c>
      <c r="N2068" s="144">
        <f t="shared" ca="1" si="241"/>
        <v>5.3980695509309964</v>
      </c>
      <c r="O2068" s="144">
        <f t="shared" ca="1" si="241"/>
        <v>27.760473713033953</v>
      </c>
      <c r="P2068" s="144">
        <f t="shared" ca="1" si="241"/>
        <v>1</v>
      </c>
      <c r="Q2068" s="144">
        <f t="shared" ca="1" si="241"/>
        <v>0.68455640744797364</v>
      </c>
    </row>
    <row r="2069" spans="1:17" x14ac:dyDescent="0.25">
      <c r="A2069" s="145">
        <v>40701</v>
      </c>
      <c r="B2069" s="144">
        <v>1.4652000000000001</v>
      </c>
      <c r="C2069" s="144">
        <v>40.664999999999999</v>
      </c>
      <c r="D2069" s="144">
        <v>7.8395000000000001</v>
      </c>
      <c r="E2069" s="144">
        <v>117.55</v>
      </c>
      <c r="F2069" s="144">
        <v>0.89244999999999997</v>
      </c>
      <c r="G2069" s="144">
        <v>1.2237</v>
      </c>
      <c r="I2069" s="144">
        <v>1</v>
      </c>
      <c r="J2069" s="145">
        <f t="shared" si="239"/>
        <v>40701</v>
      </c>
      <c r="K2069" s="144">
        <f t="shared" ca="1" si="241"/>
        <v>0.8351760851760851</v>
      </c>
      <c r="L2069" s="144">
        <f t="shared" ca="1" si="241"/>
        <v>0.60909773409773404</v>
      </c>
      <c r="M2069" s="144">
        <f t="shared" ca="1" si="241"/>
        <v>80.227955227955221</v>
      </c>
      <c r="N2069" s="144">
        <f t="shared" ca="1" si="241"/>
        <v>5.3504641004641007</v>
      </c>
      <c r="O2069" s="144">
        <f t="shared" ca="1" si="241"/>
        <v>27.753890253890251</v>
      </c>
      <c r="P2069" s="144">
        <f t="shared" ca="1" si="241"/>
        <v>1</v>
      </c>
      <c r="Q2069" s="144">
        <f t="shared" ca="1" si="241"/>
        <v>0.68250068250068252</v>
      </c>
    </row>
    <row r="2070" spans="1:17" x14ac:dyDescent="0.25">
      <c r="A2070" s="145">
        <v>40700</v>
      </c>
      <c r="B2070" s="144">
        <v>1.4596</v>
      </c>
      <c r="C2070" s="144">
        <v>40.636499999999998</v>
      </c>
      <c r="D2070" s="144">
        <v>7.8235000000000001</v>
      </c>
      <c r="E2070" s="144">
        <v>117.05</v>
      </c>
      <c r="F2070" s="144">
        <v>0.89029999999999998</v>
      </c>
      <c r="G2070" s="144">
        <v>1.2235</v>
      </c>
      <c r="I2070" s="144">
        <v>1</v>
      </c>
      <c r="J2070" s="145">
        <f t="shared" si="239"/>
        <v>40700</v>
      </c>
      <c r="K2070" s="144">
        <f t="shared" ca="1" si="241"/>
        <v>0.83824335434365582</v>
      </c>
      <c r="L2070" s="144">
        <f t="shared" ca="1" si="241"/>
        <v>0.60996163332419839</v>
      </c>
      <c r="M2070" s="144">
        <f t="shared" ca="1" si="241"/>
        <v>80.193203617429432</v>
      </c>
      <c r="N2070" s="144">
        <f t="shared" ca="1" si="241"/>
        <v>5.3600301452452728</v>
      </c>
      <c r="O2070" s="144">
        <f t="shared" ca="1" si="241"/>
        <v>27.840846807344477</v>
      </c>
      <c r="P2070" s="144">
        <f t="shared" ca="1" si="241"/>
        <v>1</v>
      </c>
      <c r="Q2070" s="144">
        <f t="shared" ca="1" si="241"/>
        <v>0.68511921074266924</v>
      </c>
    </row>
    <row r="2071" spans="1:17" x14ac:dyDescent="0.25">
      <c r="A2071" s="145">
        <v>40699</v>
      </c>
      <c r="B2071" s="144">
        <v>1.4488000000000001</v>
      </c>
      <c r="C2071" s="144">
        <v>40.383800000000001</v>
      </c>
      <c r="D2071" s="144">
        <v>7.7965</v>
      </c>
      <c r="E2071" s="144">
        <v>116.89</v>
      </c>
      <c r="F2071" s="144">
        <v>0.88749999999999996</v>
      </c>
      <c r="G2071" s="144">
        <v>1.2197</v>
      </c>
      <c r="I2071" s="144">
        <v>1</v>
      </c>
      <c r="J2071" s="145">
        <f t="shared" si="239"/>
        <v>40699</v>
      </c>
      <c r="K2071" s="144">
        <f t="shared" ca="1" si="241"/>
        <v>0.84186913307564881</v>
      </c>
      <c r="L2071" s="144">
        <f t="shared" ca="1" si="241"/>
        <v>0.61257592490336821</v>
      </c>
      <c r="M2071" s="144">
        <f t="shared" ca="1" si="241"/>
        <v>80.68056322473771</v>
      </c>
      <c r="N2071" s="144">
        <f t="shared" ca="1" si="241"/>
        <v>5.3813500828271668</v>
      </c>
      <c r="O2071" s="144">
        <f t="shared" ca="1" si="241"/>
        <v>27.873964660408614</v>
      </c>
      <c r="P2071" s="144">
        <f t="shared" ca="1" si="241"/>
        <v>1</v>
      </c>
      <c r="Q2071" s="144">
        <f t="shared" ca="1" si="241"/>
        <v>0.69022639425731636</v>
      </c>
    </row>
    <row r="2072" spans="1:17" x14ac:dyDescent="0.25">
      <c r="A2072" s="145">
        <v>40698</v>
      </c>
      <c r="B2072" s="144">
        <v>1.4488000000000001</v>
      </c>
      <c r="C2072" s="144">
        <v>40.383800000000001</v>
      </c>
      <c r="D2072" s="144">
        <v>7.7965</v>
      </c>
      <c r="E2072" s="144">
        <v>116.89</v>
      </c>
      <c r="F2072" s="144">
        <v>0.88749999999999996</v>
      </c>
      <c r="G2072" s="144">
        <v>1.2197</v>
      </c>
      <c r="I2072" s="144">
        <v>1</v>
      </c>
      <c r="J2072" s="145">
        <f t="shared" si="239"/>
        <v>40698</v>
      </c>
      <c r="K2072" s="144">
        <f t="shared" ca="1" si="241"/>
        <v>0.84186913307564881</v>
      </c>
      <c r="L2072" s="144">
        <f t="shared" ca="1" si="241"/>
        <v>0.61257592490336821</v>
      </c>
      <c r="M2072" s="144">
        <f t="shared" ca="1" si="241"/>
        <v>80.68056322473771</v>
      </c>
      <c r="N2072" s="144">
        <f t="shared" ca="1" si="241"/>
        <v>5.3813500828271668</v>
      </c>
      <c r="O2072" s="144">
        <f t="shared" ca="1" si="241"/>
        <v>27.873964660408614</v>
      </c>
      <c r="P2072" s="144">
        <f t="shared" ca="1" si="241"/>
        <v>1</v>
      </c>
      <c r="Q2072" s="144">
        <f t="shared" ca="1" si="241"/>
        <v>0.69022639425731636</v>
      </c>
    </row>
    <row r="2073" spans="1:17" x14ac:dyDescent="0.25">
      <c r="A2073" s="145">
        <v>40697</v>
      </c>
      <c r="B2073" s="144">
        <v>1.4488000000000001</v>
      </c>
      <c r="C2073" s="144">
        <v>40.383800000000001</v>
      </c>
      <c r="D2073" s="144">
        <v>7.7965</v>
      </c>
      <c r="E2073" s="144">
        <v>116.89</v>
      </c>
      <c r="F2073" s="144">
        <v>0.88749999999999996</v>
      </c>
      <c r="G2073" s="144">
        <v>1.2197</v>
      </c>
      <c r="I2073" s="144">
        <v>1</v>
      </c>
      <c r="J2073" s="145">
        <f t="shared" si="239"/>
        <v>40697</v>
      </c>
      <c r="K2073" s="144">
        <f t="shared" ca="1" si="241"/>
        <v>0.84186913307564881</v>
      </c>
      <c r="L2073" s="144">
        <f t="shared" ca="1" si="241"/>
        <v>0.61257592490336821</v>
      </c>
      <c r="M2073" s="144">
        <f t="shared" ca="1" si="241"/>
        <v>80.68056322473771</v>
      </c>
      <c r="N2073" s="144">
        <f t="shared" ca="1" si="241"/>
        <v>5.3813500828271668</v>
      </c>
      <c r="O2073" s="144">
        <f t="shared" ca="1" si="241"/>
        <v>27.873964660408614</v>
      </c>
      <c r="P2073" s="144">
        <f t="shared" ca="1" si="241"/>
        <v>1</v>
      </c>
      <c r="Q2073" s="144">
        <f t="shared" ca="1" si="241"/>
        <v>0.69022639425731636</v>
      </c>
    </row>
    <row r="2074" spans="1:17" x14ac:dyDescent="0.25">
      <c r="A2074" s="145">
        <v>40696</v>
      </c>
      <c r="B2074" s="144">
        <v>1.446</v>
      </c>
      <c r="C2074" s="144">
        <v>40.395000000000003</v>
      </c>
      <c r="D2074" s="144">
        <v>7.7595999999999998</v>
      </c>
      <c r="E2074" s="144">
        <v>116.6</v>
      </c>
      <c r="F2074" s="144">
        <v>0.88295000000000001</v>
      </c>
      <c r="G2074" s="144">
        <v>1.2166999999999999</v>
      </c>
      <c r="I2074" s="144">
        <v>1</v>
      </c>
      <c r="J2074" s="145">
        <f t="shared" si="239"/>
        <v>40696</v>
      </c>
      <c r="K2074" s="144">
        <f t="shared" ca="1" si="241"/>
        <v>0.84142461964038728</v>
      </c>
      <c r="L2074" s="144">
        <f t="shared" ca="1" si="241"/>
        <v>0.61061549100968193</v>
      </c>
      <c r="M2074" s="144">
        <f t="shared" ca="1" si="241"/>
        <v>80.636237897648684</v>
      </c>
      <c r="N2074" s="144">
        <f t="shared" ca="1" si="241"/>
        <v>5.366251728907331</v>
      </c>
      <c r="O2074" s="144">
        <f t="shared" ca="1" si="241"/>
        <v>27.935684647302907</v>
      </c>
      <c r="P2074" s="144">
        <f t="shared" ca="1" si="241"/>
        <v>1</v>
      </c>
      <c r="Q2074" s="144">
        <f t="shared" ca="1" si="241"/>
        <v>0.69156293222683263</v>
      </c>
    </row>
    <row r="2075" spans="1:17" x14ac:dyDescent="0.25">
      <c r="A2075" s="145">
        <v>40695</v>
      </c>
      <c r="B2075" s="144">
        <v>1.4408000000000001</v>
      </c>
      <c r="C2075" s="144">
        <v>40.234000000000002</v>
      </c>
      <c r="D2075" s="144">
        <v>7.7309999999999999</v>
      </c>
      <c r="E2075" s="144">
        <v>117.11</v>
      </c>
      <c r="F2075" s="144">
        <v>0.87705</v>
      </c>
      <c r="G2075" s="144">
        <v>1.2181999999999999</v>
      </c>
      <c r="I2075" s="144">
        <v>1</v>
      </c>
      <c r="J2075" s="145">
        <f t="shared" si="239"/>
        <v>40695</v>
      </c>
      <c r="K2075" s="144">
        <f t="shared" ref="K2075:Q2084" ca="1" si="242">OFFSET($A2075,0,K$3)/OFFSET($A2075,0,$P$3)</f>
        <v>0.8455024986118822</v>
      </c>
      <c r="L2075" s="144">
        <f t="shared" ca="1" si="242"/>
        <v>0.60872431982232089</v>
      </c>
      <c r="M2075" s="144">
        <f t="shared" ca="1" si="242"/>
        <v>81.281232648528587</v>
      </c>
      <c r="N2075" s="144">
        <f t="shared" ca="1" si="242"/>
        <v>5.3657690172126591</v>
      </c>
      <c r="O2075" s="144">
        <f t="shared" ca="1" si="242"/>
        <v>27.924764019988896</v>
      </c>
      <c r="P2075" s="144">
        <f t="shared" ca="1" si="242"/>
        <v>1</v>
      </c>
      <c r="Q2075" s="144">
        <f t="shared" ca="1" si="242"/>
        <v>0.69405885619100494</v>
      </c>
    </row>
    <row r="2076" spans="1:17" x14ac:dyDescent="0.25">
      <c r="A2076" s="145">
        <v>40694</v>
      </c>
      <c r="B2076" s="144">
        <v>1.4384999999999999</v>
      </c>
      <c r="C2076" s="144">
        <v>40.274999999999999</v>
      </c>
      <c r="D2076" s="144">
        <v>7.7590000000000003</v>
      </c>
      <c r="E2076" s="144">
        <v>117.22</v>
      </c>
      <c r="F2076" s="144">
        <v>0.87204999999999999</v>
      </c>
      <c r="G2076" s="144">
        <v>1.2275</v>
      </c>
      <c r="I2076" s="144">
        <v>1</v>
      </c>
      <c r="J2076" s="145">
        <f t="shared" si="239"/>
        <v>40694</v>
      </c>
      <c r="K2076" s="144">
        <f t="shared" ca="1" si="242"/>
        <v>0.8533194299617658</v>
      </c>
      <c r="L2076" s="144">
        <f t="shared" ca="1" si="242"/>
        <v>0.60622175877650331</v>
      </c>
      <c r="M2076" s="144">
        <f t="shared" ca="1" si="242"/>
        <v>81.48766075773375</v>
      </c>
      <c r="N2076" s="144">
        <f t="shared" ca="1" si="242"/>
        <v>5.3938129996524165</v>
      </c>
      <c r="O2076" s="144">
        <f t="shared" ca="1" si="242"/>
        <v>27.997914494264862</v>
      </c>
      <c r="P2076" s="144">
        <f t="shared" ca="1" si="242"/>
        <v>1</v>
      </c>
      <c r="Q2076" s="144">
        <f t="shared" ca="1" si="242"/>
        <v>0.69516857838025725</v>
      </c>
    </row>
    <row r="2077" spans="1:17" x14ac:dyDescent="0.25">
      <c r="A2077" s="145">
        <v>40693</v>
      </c>
      <c r="B2077" s="144">
        <v>1.4272</v>
      </c>
      <c r="C2077" s="144">
        <v>40.08</v>
      </c>
      <c r="D2077" s="144">
        <v>7.7484999999999999</v>
      </c>
      <c r="E2077" s="144">
        <v>115.36</v>
      </c>
      <c r="F2077" s="144">
        <v>0.86709999999999998</v>
      </c>
      <c r="G2077" s="144">
        <v>1.2146999999999999</v>
      </c>
      <c r="I2077" s="144">
        <v>1</v>
      </c>
      <c r="J2077" s="145">
        <f t="shared" si="239"/>
        <v>40693</v>
      </c>
      <c r="K2077" s="144">
        <f t="shared" ca="1" si="242"/>
        <v>0.85110706278026893</v>
      </c>
      <c r="L2077" s="144">
        <f t="shared" ca="1" si="242"/>
        <v>0.60755325112107617</v>
      </c>
      <c r="M2077" s="144">
        <f t="shared" ca="1" si="242"/>
        <v>80.829596412556057</v>
      </c>
      <c r="N2077" s="144">
        <f t="shared" ca="1" si="242"/>
        <v>5.4291619955156953</v>
      </c>
      <c r="O2077" s="144">
        <f t="shared" ca="1" si="242"/>
        <v>28.082959641255602</v>
      </c>
      <c r="P2077" s="144">
        <f t="shared" ca="1" si="242"/>
        <v>1</v>
      </c>
      <c r="Q2077" s="144">
        <f t="shared" ca="1" si="242"/>
        <v>0.70067264573991028</v>
      </c>
    </row>
    <row r="2078" spans="1:17" x14ac:dyDescent="0.25">
      <c r="A2078" s="145">
        <v>40692</v>
      </c>
      <c r="B2078" s="144">
        <v>1.4265000000000001</v>
      </c>
      <c r="C2078" s="144">
        <v>40.042000000000002</v>
      </c>
      <c r="D2078" s="144">
        <v>7.7690000000000001</v>
      </c>
      <c r="E2078" s="144">
        <v>115.7</v>
      </c>
      <c r="F2078" s="144">
        <v>0.86685000000000001</v>
      </c>
      <c r="G2078" s="144">
        <v>1.2221</v>
      </c>
      <c r="I2078" s="144">
        <v>1</v>
      </c>
      <c r="J2078" s="145">
        <f t="shared" si="239"/>
        <v>40692</v>
      </c>
      <c r="K2078" s="144">
        <f t="shared" ca="1" si="242"/>
        <v>0.85671223273746921</v>
      </c>
      <c r="L2078" s="144">
        <f t="shared" ca="1" si="242"/>
        <v>0.6076761303890641</v>
      </c>
      <c r="M2078" s="144">
        <f t="shared" ca="1" si="242"/>
        <v>81.107606028741671</v>
      </c>
      <c r="N2078" s="144">
        <f t="shared" ca="1" si="242"/>
        <v>5.4461969856291619</v>
      </c>
      <c r="O2078" s="144">
        <f t="shared" ca="1" si="242"/>
        <v>28.070101647388714</v>
      </c>
      <c r="P2078" s="144">
        <f t="shared" ca="1" si="242"/>
        <v>1</v>
      </c>
      <c r="Q2078" s="144">
        <f t="shared" ca="1" si="242"/>
        <v>0.70101647388713628</v>
      </c>
    </row>
    <row r="2079" spans="1:17" x14ac:dyDescent="0.25">
      <c r="A2079" s="145">
        <v>40691</v>
      </c>
      <c r="B2079" s="144">
        <v>1.4265000000000001</v>
      </c>
      <c r="C2079" s="144">
        <v>40.042000000000002</v>
      </c>
      <c r="D2079" s="144">
        <v>7.7690000000000001</v>
      </c>
      <c r="E2079" s="144">
        <v>115.7</v>
      </c>
      <c r="F2079" s="144">
        <v>0.86685000000000001</v>
      </c>
      <c r="G2079" s="144">
        <v>1.2221</v>
      </c>
      <c r="I2079" s="144">
        <v>1</v>
      </c>
      <c r="J2079" s="145">
        <f t="shared" si="239"/>
        <v>40691</v>
      </c>
      <c r="K2079" s="144">
        <f t="shared" ca="1" si="242"/>
        <v>0.85671223273746921</v>
      </c>
      <c r="L2079" s="144">
        <f t="shared" ca="1" si="242"/>
        <v>0.6076761303890641</v>
      </c>
      <c r="M2079" s="144">
        <f t="shared" ca="1" si="242"/>
        <v>81.107606028741671</v>
      </c>
      <c r="N2079" s="144">
        <f t="shared" ca="1" si="242"/>
        <v>5.4461969856291619</v>
      </c>
      <c r="O2079" s="144">
        <f t="shared" ca="1" si="242"/>
        <v>28.070101647388714</v>
      </c>
      <c r="P2079" s="144">
        <f t="shared" ca="1" si="242"/>
        <v>1</v>
      </c>
      <c r="Q2079" s="144">
        <f t="shared" ca="1" si="242"/>
        <v>0.70101647388713628</v>
      </c>
    </row>
    <row r="2080" spans="1:17" x14ac:dyDescent="0.25">
      <c r="A2080" s="145">
        <v>40690</v>
      </c>
      <c r="B2080" s="144">
        <v>1.4265000000000001</v>
      </c>
      <c r="C2080" s="144">
        <v>40.042000000000002</v>
      </c>
      <c r="D2080" s="144">
        <v>7.7690000000000001</v>
      </c>
      <c r="E2080" s="144">
        <v>115.7</v>
      </c>
      <c r="F2080" s="144">
        <v>0.86685000000000001</v>
      </c>
      <c r="G2080" s="144">
        <v>1.2221</v>
      </c>
      <c r="I2080" s="144">
        <v>1</v>
      </c>
      <c r="J2080" s="145">
        <f t="shared" si="239"/>
        <v>40690</v>
      </c>
      <c r="K2080" s="144">
        <f t="shared" ca="1" si="242"/>
        <v>0.85671223273746921</v>
      </c>
      <c r="L2080" s="144">
        <f t="shared" ca="1" si="242"/>
        <v>0.6076761303890641</v>
      </c>
      <c r="M2080" s="144">
        <f t="shared" ca="1" si="242"/>
        <v>81.107606028741671</v>
      </c>
      <c r="N2080" s="144">
        <f t="shared" ca="1" si="242"/>
        <v>5.4461969856291619</v>
      </c>
      <c r="O2080" s="144">
        <f t="shared" ca="1" si="242"/>
        <v>28.070101647388714</v>
      </c>
      <c r="P2080" s="144">
        <f t="shared" ca="1" si="242"/>
        <v>1</v>
      </c>
      <c r="Q2080" s="144">
        <f t="shared" ca="1" si="242"/>
        <v>0.70101647388713628</v>
      </c>
    </row>
    <row r="2081" spans="1:17" x14ac:dyDescent="0.25">
      <c r="A2081" s="145">
        <v>40689</v>
      </c>
      <c r="B2081" s="144">
        <v>1.4168000000000001</v>
      </c>
      <c r="C2081" s="144">
        <v>39.977499999999999</v>
      </c>
      <c r="D2081" s="144">
        <v>7.79</v>
      </c>
      <c r="E2081" s="144">
        <v>115.95</v>
      </c>
      <c r="F2081" s="144">
        <v>0.86850000000000005</v>
      </c>
      <c r="G2081" s="144">
        <v>1.2343</v>
      </c>
      <c r="I2081" s="144">
        <v>1</v>
      </c>
      <c r="J2081" s="145">
        <f t="shared" si="239"/>
        <v>40689</v>
      </c>
      <c r="K2081" s="144">
        <f t="shared" ca="1" si="242"/>
        <v>0.87118859401468085</v>
      </c>
      <c r="L2081" s="144">
        <f t="shared" ca="1" si="242"/>
        <v>0.61300112930547712</v>
      </c>
      <c r="M2081" s="144">
        <f t="shared" ca="1" si="242"/>
        <v>81.839356295878034</v>
      </c>
      <c r="N2081" s="144">
        <f t="shared" ca="1" si="242"/>
        <v>5.4983060417843026</v>
      </c>
      <c r="O2081" s="144">
        <f t="shared" ca="1" si="242"/>
        <v>28.216756070016938</v>
      </c>
      <c r="P2081" s="144">
        <f t="shared" ca="1" si="242"/>
        <v>1</v>
      </c>
      <c r="Q2081" s="144">
        <f t="shared" ca="1" si="242"/>
        <v>0.70581592320722752</v>
      </c>
    </row>
    <row r="2082" spans="1:17" x14ac:dyDescent="0.25">
      <c r="A2082" s="145">
        <v>40688</v>
      </c>
      <c r="B2082" s="144">
        <v>1.4069</v>
      </c>
      <c r="C2082" s="144">
        <v>40.01</v>
      </c>
      <c r="D2082" s="144">
        <v>7.8239999999999998</v>
      </c>
      <c r="E2082" s="144">
        <v>115.47</v>
      </c>
      <c r="F2082" s="144">
        <v>0.86719999999999997</v>
      </c>
      <c r="G2082" s="144">
        <v>1.2323999999999999</v>
      </c>
      <c r="I2082" s="144">
        <v>1</v>
      </c>
      <c r="J2082" s="145">
        <f t="shared" si="239"/>
        <v>40688</v>
      </c>
      <c r="K2082" s="144">
        <f t="shared" ca="1" si="242"/>
        <v>0.87596844125382034</v>
      </c>
      <c r="L2082" s="144">
        <f t="shared" ca="1" si="242"/>
        <v>0.61639064610135752</v>
      </c>
      <c r="M2082" s="144">
        <f t="shared" ca="1" si="242"/>
        <v>82.074063543961898</v>
      </c>
      <c r="N2082" s="144">
        <f t="shared" ca="1" si="242"/>
        <v>5.5611628402871558</v>
      </c>
      <c r="O2082" s="144">
        <f t="shared" ca="1" si="242"/>
        <v>28.438410690169874</v>
      </c>
      <c r="P2082" s="144">
        <f t="shared" ca="1" si="242"/>
        <v>1</v>
      </c>
      <c r="Q2082" s="144">
        <f t="shared" ca="1" si="242"/>
        <v>0.71078257161134406</v>
      </c>
    </row>
    <row r="2083" spans="1:17" x14ac:dyDescent="0.25">
      <c r="A2083" s="145">
        <v>40687</v>
      </c>
      <c r="B2083" s="144">
        <v>1.4089</v>
      </c>
      <c r="C2083" s="144">
        <v>40.01</v>
      </c>
      <c r="D2083" s="144">
        <v>7.8384999999999998</v>
      </c>
      <c r="E2083" s="144">
        <v>115.45</v>
      </c>
      <c r="F2083" s="144">
        <v>0.87285000000000001</v>
      </c>
      <c r="G2083" s="144">
        <v>1.2404999999999999</v>
      </c>
      <c r="I2083" s="144">
        <v>1</v>
      </c>
      <c r="J2083" s="145">
        <f t="shared" si="239"/>
        <v>40687</v>
      </c>
      <c r="K2083" s="144">
        <f t="shared" ca="1" si="242"/>
        <v>0.88047412875292774</v>
      </c>
      <c r="L2083" s="144">
        <f t="shared" ca="1" si="242"/>
        <v>0.61952587124707215</v>
      </c>
      <c r="M2083" s="144">
        <f t="shared" ca="1" si="242"/>
        <v>81.943360068138261</v>
      </c>
      <c r="N2083" s="144">
        <f t="shared" ca="1" si="242"/>
        <v>5.5635602242884516</v>
      </c>
      <c r="O2083" s="144">
        <f t="shared" ca="1" si="242"/>
        <v>28.398041024913052</v>
      </c>
      <c r="P2083" s="144">
        <f t="shared" ca="1" si="242"/>
        <v>1</v>
      </c>
      <c r="Q2083" s="144">
        <f t="shared" ca="1" si="242"/>
        <v>0.70977358222726949</v>
      </c>
    </row>
    <row r="2084" spans="1:17" x14ac:dyDescent="0.25">
      <c r="A2084" s="145">
        <v>40686</v>
      </c>
      <c r="B2084" s="144">
        <v>1.4019999999999999</v>
      </c>
      <c r="C2084" s="144">
        <v>39.924999999999997</v>
      </c>
      <c r="D2084" s="144">
        <v>7.8475000000000001</v>
      </c>
      <c r="E2084" s="144">
        <v>114.68</v>
      </c>
      <c r="F2084" s="144">
        <v>0.86975000000000002</v>
      </c>
      <c r="G2084" s="144">
        <v>1.238</v>
      </c>
      <c r="I2084" s="144">
        <v>1</v>
      </c>
      <c r="J2084" s="145">
        <f t="shared" si="239"/>
        <v>40686</v>
      </c>
      <c r="K2084" s="144">
        <f t="shared" ca="1" si="242"/>
        <v>0.88302425106990023</v>
      </c>
      <c r="L2084" s="144">
        <f t="shared" ca="1" si="242"/>
        <v>0.62036376604850219</v>
      </c>
      <c r="M2084" s="144">
        <f t="shared" ca="1" si="242"/>
        <v>81.797432239657638</v>
      </c>
      <c r="N2084" s="144">
        <f t="shared" ca="1" si="242"/>
        <v>5.5973609129814559</v>
      </c>
      <c r="O2084" s="144">
        <f t="shared" ca="1" si="242"/>
        <v>28.477175463623396</v>
      </c>
      <c r="P2084" s="144">
        <f t="shared" ca="1" si="242"/>
        <v>1</v>
      </c>
      <c r="Q2084" s="144">
        <f t="shared" ca="1" si="242"/>
        <v>0.71326676176890158</v>
      </c>
    </row>
    <row r="2085" spans="1:17" x14ac:dyDescent="0.25">
      <c r="A2085" s="145">
        <v>40685</v>
      </c>
      <c r="B2085" s="144">
        <v>1.4237</v>
      </c>
      <c r="C2085" s="144">
        <v>39.898200000000003</v>
      </c>
      <c r="D2085" s="144">
        <v>7.8280000000000003</v>
      </c>
      <c r="E2085" s="144">
        <v>116.27</v>
      </c>
      <c r="F2085" s="144">
        <v>0.87705</v>
      </c>
      <c r="G2085" s="144">
        <v>1.2477</v>
      </c>
      <c r="I2085" s="144">
        <v>1</v>
      </c>
      <c r="J2085" s="145">
        <f t="shared" si="239"/>
        <v>40685</v>
      </c>
      <c r="K2085" s="144">
        <f t="shared" ref="K2085:Q2094" ca="1" si="243">OFFSET($A2085,0,K$3)/OFFSET($A2085,0,$P$3)</f>
        <v>0.87637845051626051</v>
      </c>
      <c r="L2085" s="144">
        <f t="shared" ca="1" si="243"/>
        <v>0.61603568167451006</v>
      </c>
      <c r="M2085" s="144">
        <f t="shared" ca="1" si="243"/>
        <v>81.66748612769544</v>
      </c>
      <c r="N2085" s="144">
        <f t="shared" ca="1" si="243"/>
        <v>5.4983493713563254</v>
      </c>
      <c r="O2085" s="144">
        <f t="shared" ca="1" si="243"/>
        <v>28.024302872796238</v>
      </c>
      <c r="P2085" s="144">
        <f t="shared" ca="1" si="243"/>
        <v>1</v>
      </c>
      <c r="Q2085" s="144">
        <f t="shared" ca="1" si="243"/>
        <v>0.70239516752124742</v>
      </c>
    </row>
    <row r="2086" spans="1:17" x14ac:dyDescent="0.25">
      <c r="A2086" s="145">
        <v>40684</v>
      </c>
      <c r="B2086" s="144">
        <v>1.4237</v>
      </c>
      <c r="C2086" s="144">
        <v>39.898200000000003</v>
      </c>
      <c r="D2086" s="144">
        <v>7.8280000000000003</v>
      </c>
      <c r="E2086" s="144">
        <v>116.27</v>
      </c>
      <c r="F2086" s="144">
        <v>0.87705</v>
      </c>
      <c r="G2086" s="144">
        <v>1.2477</v>
      </c>
      <c r="I2086" s="144">
        <v>1</v>
      </c>
      <c r="J2086" s="145">
        <f t="shared" si="239"/>
        <v>40684</v>
      </c>
      <c r="K2086" s="144">
        <f t="shared" ca="1" si="243"/>
        <v>0.87637845051626051</v>
      </c>
      <c r="L2086" s="144">
        <f t="shared" ca="1" si="243"/>
        <v>0.61603568167451006</v>
      </c>
      <c r="M2086" s="144">
        <f t="shared" ca="1" si="243"/>
        <v>81.66748612769544</v>
      </c>
      <c r="N2086" s="144">
        <f t="shared" ca="1" si="243"/>
        <v>5.4983493713563254</v>
      </c>
      <c r="O2086" s="144">
        <f t="shared" ca="1" si="243"/>
        <v>28.024302872796238</v>
      </c>
      <c r="P2086" s="144">
        <f t="shared" ca="1" si="243"/>
        <v>1</v>
      </c>
      <c r="Q2086" s="144">
        <f t="shared" ca="1" si="243"/>
        <v>0.70239516752124742</v>
      </c>
    </row>
    <row r="2087" spans="1:17" x14ac:dyDescent="0.25">
      <c r="A2087" s="145">
        <v>40683</v>
      </c>
      <c r="B2087" s="144">
        <v>1.4237</v>
      </c>
      <c r="C2087" s="144">
        <v>39.898200000000003</v>
      </c>
      <c r="D2087" s="144">
        <v>7.8280000000000003</v>
      </c>
      <c r="E2087" s="144">
        <v>116.27</v>
      </c>
      <c r="F2087" s="144">
        <v>0.87705</v>
      </c>
      <c r="G2087" s="144">
        <v>1.2477</v>
      </c>
      <c r="I2087" s="144">
        <v>1</v>
      </c>
      <c r="J2087" s="145">
        <f t="shared" si="239"/>
        <v>40683</v>
      </c>
      <c r="K2087" s="144">
        <f t="shared" ca="1" si="243"/>
        <v>0.87637845051626051</v>
      </c>
      <c r="L2087" s="144">
        <f t="shared" ca="1" si="243"/>
        <v>0.61603568167451006</v>
      </c>
      <c r="M2087" s="144">
        <f t="shared" ca="1" si="243"/>
        <v>81.66748612769544</v>
      </c>
      <c r="N2087" s="144">
        <f t="shared" ca="1" si="243"/>
        <v>5.4983493713563254</v>
      </c>
      <c r="O2087" s="144">
        <f t="shared" ca="1" si="243"/>
        <v>28.024302872796238</v>
      </c>
      <c r="P2087" s="144">
        <f t="shared" ca="1" si="243"/>
        <v>1</v>
      </c>
      <c r="Q2087" s="144">
        <f t="shared" ca="1" si="243"/>
        <v>0.70239516752124742</v>
      </c>
    </row>
    <row r="2088" spans="1:17" x14ac:dyDescent="0.25">
      <c r="A2088" s="145">
        <v>40682</v>
      </c>
      <c r="B2088" s="144">
        <v>1.4265000000000001</v>
      </c>
      <c r="C2088" s="144">
        <v>39.941299999999998</v>
      </c>
      <c r="D2088" s="144">
        <v>7.8724999999999996</v>
      </c>
      <c r="E2088" s="144">
        <v>116.83</v>
      </c>
      <c r="F2088" s="144">
        <v>0.88129999999999997</v>
      </c>
      <c r="G2088" s="144">
        <v>1.2616000000000001</v>
      </c>
      <c r="I2088" s="144">
        <v>1</v>
      </c>
      <c r="J2088" s="145">
        <f t="shared" si="239"/>
        <v>40682</v>
      </c>
      <c r="K2088" s="144">
        <f t="shared" ca="1" si="243"/>
        <v>0.88440238345601119</v>
      </c>
      <c r="L2088" s="144">
        <f t="shared" ca="1" si="243"/>
        <v>0.61780581843673321</v>
      </c>
      <c r="M2088" s="144">
        <f t="shared" ca="1" si="243"/>
        <v>81.899754644234136</v>
      </c>
      <c r="N2088" s="144">
        <f t="shared" ca="1" si="243"/>
        <v>5.51875219067648</v>
      </c>
      <c r="O2088" s="144">
        <f t="shared" ca="1" si="243"/>
        <v>27.999509288468275</v>
      </c>
      <c r="P2088" s="144">
        <f t="shared" ca="1" si="243"/>
        <v>1</v>
      </c>
      <c r="Q2088" s="144">
        <f t="shared" ca="1" si="243"/>
        <v>0.70101647388713628</v>
      </c>
    </row>
    <row r="2089" spans="1:17" x14ac:dyDescent="0.25">
      <c r="A2089" s="145">
        <v>40681</v>
      </c>
      <c r="B2089" s="144">
        <v>1.4227000000000001</v>
      </c>
      <c r="C2089" s="144">
        <v>39.906999999999996</v>
      </c>
      <c r="D2089" s="144">
        <v>7.9359999999999999</v>
      </c>
      <c r="E2089" s="144">
        <v>115.45</v>
      </c>
      <c r="F2089" s="144">
        <v>0.88065000000000004</v>
      </c>
      <c r="G2089" s="144">
        <v>1.2544999999999999</v>
      </c>
      <c r="I2089" s="144">
        <v>1</v>
      </c>
      <c r="J2089" s="145">
        <f t="shared" si="239"/>
        <v>40681</v>
      </c>
      <c r="K2089" s="144">
        <f t="shared" ca="1" si="243"/>
        <v>0.88177409151613118</v>
      </c>
      <c r="L2089" s="144">
        <f t="shared" ca="1" si="243"/>
        <v>0.61899908624446476</v>
      </c>
      <c r="M2089" s="144">
        <f t="shared" ca="1" si="243"/>
        <v>81.148520418921763</v>
      </c>
      <c r="N2089" s="144">
        <f t="shared" ca="1" si="243"/>
        <v>5.5781260982638639</v>
      </c>
      <c r="O2089" s="144">
        <f t="shared" ca="1" si="243"/>
        <v>28.050186265551414</v>
      </c>
      <c r="P2089" s="144">
        <f t="shared" ca="1" si="243"/>
        <v>1</v>
      </c>
      <c r="Q2089" s="144">
        <f t="shared" ca="1" si="243"/>
        <v>0.70288887326913607</v>
      </c>
    </row>
    <row r="2090" spans="1:17" x14ac:dyDescent="0.25">
      <c r="A2090" s="145">
        <v>40680</v>
      </c>
      <c r="B2090" s="144">
        <v>1.4171</v>
      </c>
      <c r="C2090" s="144">
        <v>39.917499999999997</v>
      </c>
      <c r="D2090" s="144">
        <v>7.9385000000000003</v>
      </c>
      <c r="E2090" s="144">
        <v>115.69</v>
      </c>
      <c r="F2090" s="144">
        <v>0.87290000000000001</v>
      </c>
      <c r="G2090" s="144">
        <v>1.2553000000000001</v>
      </c>
      <c r="I2090" s="144">
        <v>1</v>
      </c>
      <c r="J2090" s="145">
        <f t="shared" si="239"/>
        <v>40680</v>
      </c>
      <c r="K2090" s="144">
        <f t="shared" ca="1" si="243"/>
        <v>0.88582315997459604</v>
      </c>
      <c r="L2090" s="144">
        <f t="shared" ca="1" si="243"/>
        <v>0.61597628960553241</v>
      </c>
      <c r="M2090" s="144">
        <f t="shared" ca="1" si="243"/>
        <v>81.638557617669889</v>
      </c>
      <c r="N2090" s="144">
        <f t="shared" ca="1" si="243"/>
        <v>5.601933526215511</v>
      </c>
      <c r="O2090" s="144">
        <f t="shared" ca="1" si="243"/>
        <v>28.168442594030058</v>
      </c>
      <c r="P2090" s="144">
        <f t="shared" ca="1" si="243"/>
        <v>1</v>
      </c>
      <c r="Q2090" s="144">
        <f t="shared" ca="1" si="243"/>
        <v>0.70566650201114955</v>
      </c>
    </row>
    <row r="2091" spans="1:17" x14ac:dyDescent="0.25">
      <c r="A2091" s="145">
        <v>40679</v>
      </c>
      <c r="B2091" s="144">
        <v>1.4142999999999999</v>
      </c>
      <c r="C2091" s="144">
        <v>39.845599999999997</v>
      </c>
      <c r="D2091" s="144">
        <v>7.867</v>
      </c>
      <c r="E2091" s="144">
        <v>114.35</v>
      </c>
      <c r="F2091" s="144">
        <v>0.87250000000000005</v>
      </c>
      <c r="G2091" s="144">
        <v>1.2542</v>
      </c>
      <c r="I2091" s="144">
        <v>1</v>
      </c>
      <c r="J2091" s="145">
        <f t="shared" si="239"/>
        <v>40679</v>
      </c>
      <c r="K2091" s="144">
        <f t="shared" ca="1" si="243"/>
        <v>0.88679912324117949</v>
      </c>
      <c r="L2091" s="144">
        <f t="shared" ca="1" si="243"/>
        <v>0.61691296047514677</v>
      </c>
      <c r="M2091" s="144">
        <f t="shared" ca="1" si="243"/>
        <v>80.852718659407486</v>
      </c>
      <c r="N2091" s="144">
        <f t="shared" ca="1" si="243"/>
        <v>5.5624690659690312</v>
      </c>
      <c r="O2091" s="144">
        <f t="shared" ca="1" si="243"/>
        <v>28.173371986141554</v>
      </c>
      <c r="P2091" s="144">
        <f t="shared" ca="1" si="243"/>
        <v>1</v>
      </c>
      <c r="Q2091" s="144">
        <f t="shared" ca="1" si="243"/>
        <v>0.70706356501449485</v>
      </c>
    </row>
    <row r="2092" spans="1:17" x14ac:dyDescent="0.25">
      <c r="A2092" s="145">
        <v>40678</v>
      </c>
      <c r="B2092" s="144">
        <v>1.4279999999999999</v>
      </c>
      <c r="C2092" s="144">
        <v>39.877899999999997</v>
      </c>
      <c r="D2092" s="144">
        <v>7.8404999999999996</v>
      </c>
      <c r="E2092" s="144">
        <v>115.32</v>
      </c>
      <c r="F2092" s="144">
        <v>0.87795000000000001</v>
      </c>
      <c r="G2092" s="144">
        <v>1.2666999999999999</v>
      </c>
      <c r="I2092" s="144">
        <v>1</v>
      </c>
      <c r="J2092" s="145">
        <f t="shared" si="239"/>
        <v>40678</v>
      </c>
      <c r="K2092" s="144">
        <f t="shared" ca="1" si="243"/>
        <v>0.88704481792717083</v>
      </c>
      <c r="L2092" s="144">
        <f t="shared" ca="1" si="243"/>
        <v>0.61481092436974794</v>
      </c>
      <c r="M2092" s="144">
        <f t="shared" ca="1" si="243"/>
        <v>80.756302521008408</v>
      </c>
      <c r="N2092" s="144">
        <f t="shared" ca="1" si="243"/>
        <v>5.4905462184873945</v>
      </c>
      <c r="O2092" s="144">
        <f t="shared" ca="1" si="243"/>
        <v>27.925700280112043</v>
      </c>
      <c r="P2092" s="144">
        <f t="shared" ca="1" si="243"/>
        <v>1</v>
      </c>
      <c r="Q2092" s="144">
        <f t="shared" ca="1" si="243"/>
        <v>0.70028011204481799</v>
      </c>
    </row>
    <row r="2093" spans="1:17" x14ac:dyDescent="0.25">
      <c r="A2093" s="145">
        <v>40677</v>
      </c>
      <c r="B2093" s="144">
        <v>1.4279999999999999</v>
      </c>
      <c r="C2093" s="144">
        <v>39.877899999999997</v>
      </c>
      <c r="D2093" s="144">
        <v>7.8404999999999996</v>
      </c>
      <c r="E2093" s="144">
        <v>115.32</v>
      </c>
      <c r="F2093" s="144">
        <v>0.87795000000000001</v>
      </c>
      <c r="G2093" s="144">
        <v>1.2666999999999999</v>
      </c>
      <c r="I2093" s="144">
        <v>1</v>
      </c>
      <c r="J2093" s="145">
        <f t="shared" si="239"/>
        <v>40677</v>
      </c>
      <c r="K2093" s="144">
        <f t="shared" ca="1" si="243"/>
        <v>0.88704481792717083</v>
      </c>
      <c r="L2093" s="144">
        <f t="shared" ca="1" si="243"/>
        <v>0.61481092436974794</v>
      </c>
      <c r="M2093" s="144">
        <f t="shared" ca="1" si="243"/>
        <v>80.756302521008408</v>
      </c>
      <c r="N2093" s="144">
        <f t="shared" ca="1" si="243"/>
        <v>5.4905462184873945</v>
      </c>
      <c r="O2093" s="144">
        <f t="shared" ca="1" si="243"/>
        <v>27.925700280112043</v>
      </c>
      <c r="P2093" s="144">
        <f t="shared" ca="1" si="243"/>
        <v>1</v>
      </c>
      <c r="Q2093" s="144">
        <f t="shared" ca="1" si="243"/>
        <v>0.70028011204481799</v>
      </c>
    </row>
    <row r="2094" spans="1:17" x14ac:dyDescent="0.25">
      <c r="A2094" s="145">
        <v>40676</v>
      </c>
      <c r="B2094" s="144">
        <v>1.4279999999999999</v>
      </c>
      <c r="C2094" s="144">
        <v>39.877899999999997</v>
      </c>
      <c r="D2094" s="144">
        <v>7.8404999999999996</v>
      </c>
      <c r="E2094" s="144">
        <v>115.32</v>
      </c>
      <c r="F2094" s="144">
        <v>0.87795000000000001</v>
      </c>
      <c r="G2094" s="144">
        <v>1.2666999999999999</v>
      </c>
      <c r="I2094" s="144">
        <v>1</v>
      </c>
      <c r="J2094" s="145">
        <f t="shared" si="239"/>
        <v>40676</v>
      </c>
      <c r="K2094" s="144">
        <f t="shared" ca="1" si="243"/>
        <v>0.88704481792717083</v>
      </c>
      <c r="L2094" s="144">
        <f t="shared" ca="1" si="243"/>
        <v>0.61481092436974794</v>
      </c>
      <c r="M2094" s="144">
        <f t="shared" ca="1" si="243"/>
        <v>80.756302521008408</v>
      </c>
      <c r="N2094" s="144">
        <f t="shared" ca="1" si="243"/>
        <v>5.4905462184873945</v>
      </c>
      <c r="O2094" s="144">
        <f t="shared" ca="1" si="243"/>
        <v>27.925700280112043</v>
      </c>
      <c r="P2094" s="144">
        <f t="shared" ca="1" si="243"/>
        <v>1</v>
      </c>
      <c r="Q2094" s="144">
        <f t="shared" ca="1" si="243"/>
        <v>0.70028011204481799</v>
      </c>
    </row>
    <row r="2095" spans="1:17" x14ac:dyDescent="0.25">
      <c r="A2095" s="145">
        <v>40675</v>
      </c>
      <c r="B2095" s="144">
        <v>1.4153</v>
      </c>
      <c r="C2095" s="144">
        <v>39.69</v>
      </c>
      <c r="D2095" s="144">
        <v>7.8010000000000002</v>
      </c>
      <c r="E2095" s="144">
        <v>114.54</v>
      </c>
      <c r="F2095" s="144">
        <v>0.87014999999999998</v>
      </c>
      <c r="G2095" s="144">
        <v>1.2584</v>
      </c>
      <c r="I2095" s="144">
        <v>1</v>
      </c>
      <c r="J2095" s="145">
        <f t="shared" si="239"/>
        <v>40675</v>
      </c>
      <c r="K2095" s="144">
        <f t="shared" ref="K2095:Q2104" ca="1" si="244">OFFSET($A2095,0,K$3)/OFFSET($A2095,0,$P$3)</f>
        <v>0.88914011163710871</v>
      </c>
      <c r="L2095" s="144">
        <f t="shared" ca="1" si="244"/>
        <v>0.61481664664735391</v>
      </c>
      <c r="M2095" s="144">
        <f t="shared" ca="1" si="244"/>
        <v>80.929838196848735</v>
      </c>
      <c r="N2095" s="144">
        <f t="shared" ca="1" si="244"/>
        <v>5.5119056030523561</v>
      </c>
      <c r="O2095" s="144">
        <f t="shared" ca="1" si="244"/>
        <v>28.043524341129089</v>
      </c>
      <c r="P2095" s="144">
        <f t="shared" ca="1" si="244"/>
        <v>1</v>
      </c>
      <c r="Q2095" s="144">
        <f t="shared" ca="1" si="244"/>
        <v>0.70656397936833182</v>
      </c>
    </row>
    <row r="2096" spans="1:17" x14ac:dyDescent="0.25">
      <c r="A2096" s="145">
        <v>40674</v>
      </c>
      <c r="B2096" s="144">
        <v>1.4357</v>
      </c>
      <c r="C2096" s="144">
        <v>39.718000000000004</v>
      </c>
      <c r="D2096" s="144">
        <v>7.7889999999999997</v>
      </c>
      <c r="E2096" s="144">
        <v>116.47</v>
      </c>
      <c r="F2096" s="144">
        <v>0.87075000000000002</v>
      </c>
      <c r="G2096" s="144">
        <v>1.2661</v>
      </c>
      <c r="I2096" s="144">
        <v>1</v>
      </c>
      <c r="J2096" s="145">
        <f t="shared" si="239"/>
        <v>40674</v>
      </c>
      <c r="K2096" s="144">
        <f t="shared" ca="1" si="244"/>
        <v>0.88186947133802329</v>
      </c>
      <c r="L2096" s="144">
        <f t="shared" ca="1" si="244"/>
        <v>0.60649857212509584</v>
      </c>
      <c r="M2096" s="144">
        <f t="shared" ca="1" si="244"/>
        <v>81.124190290450656</v>
      </c>
      <c r="N2096" s="144">
        <f t="shared" ca="1" si="244"/>
        <v>5.4252281117225047</v>
      </c>
      <c r="O2096" s="144">
        <f t="shared" ca="1" si="244"/>
        <v>27.664553876157974</v>
      </c>
      <c r="P2096" s="144">
        <f t="shared" ca="1" si="244"/>
        <v>1</v>
      </c>
      <c r="Q2096" s="144">
        <f t="shared" ca="1" si="244"/>
        <v>0.69652434352580628</v>
      </c>
    </row>
    <row r="2097" spans="1:17" x14ac:dyDescent="0.25">
      <c r="A2097" s="145">
        <v>40673</v>
      </c>
      <c r="B2097" s="144">
        <v>1.4358</v>
      </c>
      <c r="C2097" s="144">
        <v>39.83</v>
      </c>
      <c r="D2097" s="144">
        <v>7.8034999999999997</v>
      </c>
      <c r="E2097" s="144">
        <v>115.72</v>
      </c>
      <c r="F2097" s="144">
        <v>0.87790000000000001</v>
      </c>
      <c r="G2097" s="144">
        <v>1.2602</v>
      </c>
      <c r="I2097" s="144">
        <v>1</v>
      </c>
      <c r="J2097" s="145">
        <f t="shared" si="239"/>
        <v>40673</v>
      </c>
      <c r="K2097" s="144">
        <f t="shared" ca="1" si="244"/>
        <v>0.87769884385011843</v>
      </c>
      <c r="L2097" s="144">
        <f t="shared" ca="1" si="244"/>
        <v>0.61143613316617917</v>
      </c>
      <c r="M2097" s="144">
        <f t="shared" ca="1" si="244"/>
        <v>80.596183312439067</v>
      </c>
      <c r="N2097" s="144">
        <f t="shared" ca="1" si="244"/>
        <v>5.434949157264243</v>
      </c>
      <c r="O2097" s="144">
        <f t="shared" ca="1" si="244"/>
        <v>27.740632400055716</v>
      </c>
      <c r="P2097" s="144">
        <f t="shared" ca="1" si="244"/>
        <v>1</v>
      </c>
      <c r="Q2097" s="144">
        <f t="shared" ca="1" si="244"/>
        <v>0.69647583228861965</v>
      </c>
    </row>
    <row r="2098" spans="1:17" x14ac:dyDescent="0.25">
      <c r="A2098" s="145">
        <v>40672</v>
      </c>
      <c r="B2098" s="144">
        <v>1.4397</v>
      </c>
      <c r="C2098" s="144">
        <v>39.96</v>
      </c>
      <c r="D2098" s="144">
        <v>7.8665000000000003</v>
      </c>
      <c r="E2098" s="144">
        <v>116.28</v>
      </c>
      <c r="F2098" s="144">
        <v>0.87924999999999998</v>
      </c>
      <c r="G2098" s="144">
        <v>1.2617</v>
      </c>
      <c r="I2098" s="144">
        <v>1</v>
      </c>
      <c r="J2098" s="145">
        <f t="shared" si="239"/>
        <v>40672</v>
      </c>
      <c r="K2098" s="144">
        <f t="shared" ca="1" si="244"/>
        <v>0.87636313120789056</v>
      </c>
      <c r="L2098" s="144">
        <f t="shared" ca="1" si="244"/>
        <v>0.61071751059248458</v>
      </c>
      <c r="M2098" s="144">
        <f t="shared" ca="1" si="244"/>
        <v>80.766826422171292</v>
      </c>
      <c r="N2098" s="144">
        <f t="shared" ca="1" si="244"/>
        <v>5.4639855525456698</v>
      </c>
      <c r="O2098" s="144">
        <f t="shared" ca="1" si="244"/>
        <v>27.755782454678059</v>
      </c>
      <c r="P2098" s="144">
        <f t="shared" ca="1" si="244"/>
        <v>1</v>
      </c>
      <c r="Q2098" s="144">
        <f t="shared" ca="1" si="244"/>
        <v>0.69458915051746895</v>
      </c>
    </row>
    <row r="2099" spans="1:17" x14ac:dyDescent="0.25">
      <c r="A2099" s="145">
        <v>40671</v>
      </c>
      <c r="B2099" s="144">
        <v>1.4500999999999999</v>
      </c>
      <c r="C2099" s="144">
        <v>40.314700000000002</v>
      </c>
      <c r="D2099" s="144">
        <v>7.9450000000000003</v>
      </c>
      <c r="E2099" s="144">
        <v>116.5</v>
      </c>
      <c r="F2099" s="144">
        <v>0.88390000000000002</v>
      </c>
      <c r="G2099" s="144">
        <v>1.2667999999999999</v>
      </c>
      <c r="I2099" s="144">
        <v>1</v>
      </c>
      <c r="J2099" s="145">
        <f t="shared" si="239"/>
        <v>40671</v>
      </c>
      <c r="K2099" s="144">
        <f t="shared" ca="1" si="244"/>
        <v>0.87359492448796638</v>
      </c>
      <c r="L2099" s="144">
        <f t="shared" ca="1" si="244"/>
        <v>0.6095441693676299</v>
      </c>
      <c r="M2099" s="144">
        <f t="shared" ca="1" si="244"/>
        <v>80.339286945727878</v>
      </c>
      <c r="N2099" s="144">
        <f t="shared" ca="1" si="244"/>
        <v>5.4789324874146619</v>
      </c>
      <c r="O2099" s="144">
        <f t="shared" ca="1" si="244"/>
        <v>27.801324046617477</v>
      </c>
      <c r="P2099" s="144">
        <f t="shared" ca="1" si="244"/>
        <v>1</v>
      </c>
      <c r="Q2099" s="144">
        <f t="shared" ca="1" si="244"/>
        <v>0.68960761326805053</v>
      </c>
    </row>
    <row r="2100" spans="1:17" x14ac:dyDescent="0.25">
      <c r="A2100" s="145">
        <v>40670</v>
      </c>
      <c r="B2100" s="144">
        <v>1.4500999999999999</v>
      </c>
      <c r="C2100" s="144">
        <v>40.314700000000002</v>
      </c>
      <c r="D2100" s="144">
        <v>7.9450000000000003</v>
      </c>
      <c r="E2100" s="144">
        <v>116.5</v>
      </c>
      <c r="F2100" s="144">
        <v>0.88390000000000002</v>
      </c>
      <c r="G2100" s="144">
        <v>1.2667999999999999</v>
      </c>
      <c r="I2100" s="144">
        <v>1</v>
      </c>
      <c r="J2100" s="145">
        <f t="shared" si="239"/>
        <v>40670</v>
      </c>
      <c r="K2100" s="144">
        <f t="shared" ca="1" si="244"/>
        <v>0.87359492448796638</v>
      </c>
      <c r="L2100" s="144">
        <f t="shared" ca="1" si="244"/>
        <v>0.6095441693676299</v>
      </c>
      <c r="M2100" s="144">
        <f t="shared" ca="1" si="244"/>
        <v>80.339286945727878</v>
      </c>
      <c r="N2100" s="144">
        <f t="shared" ca="1" si="244"/>
        <v>5.4789324874146619</v>
      </c>
      <c r="O2100" s="144">
        <f t="shared" ca="1" si="244"/>
        <v>27.801324046617477</v>
      </c>
      <c r="P2100" s="144">
        <f t="shared" ca="1" si="244"/>
        <v>1</v>
      </c>
      <c r="Q2100" s="144">
        <f t="shared" ca="1" si="244"/>
        <v>0.68960761326805053</v>
      </c>
    </row>
    <row r="2101" spans="1:17" x14ac:dyDescent="0.25">
      <c r="A2101" s="145">
        <v>40669</v>
      </c>
      <c r="B2101" s="144">
        <v>1.4500999999999999</v>
      </c>
      <c r="C2101" s="144">
        <v>40.314700000000002</v>
      </c>
      <c r="D2101" s="144">
        <v>7.9450000000000003</v>
      </c>
      <c r="E2101" s="144">
        <v>116.5</v>
      </c>
      <c r="F2101" s="144">
        <v>0.88390000000000002</v>
      </c>
      <c r="G2101" s="144">
        <v>1.2667999999999999</v>
      </c>
      <c r="I2101" s="144">
        <v>1</v>
      </c>
      <c r="J2101" s="145">
        <f t="shared" si="239"/>
        <v>40669</v>
      </c>
      <c r="K2101" s="144">
        <f t="shared" ca="1" si="244"/>
        <v>0.87359492448796638</v>
      </c>
      <c r="L2101" s="144">
        <f t="shared" ca="1" si="244"/>
        <v>0.6095441693676299</v>
      </c>
      <c r="M2101" s="144">
        <f t="shared" ca="1" si="244"/>
        <v>80.339286945727878</v>
      </c>
      <c r="N2101" s="144">
        <f t="shared" ca="1" si="244"/>
        <v>5.4789324874146619</v>
      </c>
      <c r="O2101" s="144">
        <f t="shared" ca="1" si="244"/>
        <v>27.801324046617477</v>
      </c>
      <c r="P2101" s="144">
        <f t="shared" ca="1" si="244"/>
        <v>1</v>
      </c>
      <c r="Q2101" s="144">
        <f t="shared" ca="1" si="244"/>
        <v>0.68960761326805053</v>
      </c>
    </row>
    <row r="2102" spans="1:17" x14ac:dyDescent="0.25">
      <c r="A2102" s="145">
        <v>40668</v>
      </c>
      <c r="B2102" s="144">
        <v>1.4814000000000001</v>
      </c>
      <c r="C2102" s="144">
        <v>40.42</v>
      </c>
      <c r="D2102" s="144">
        <v>7.93</v>
      </c>
      <c r="E2102" s="144">
        <v>118.2</v>
      </c>
      <c r="F2102" s="144">
        <v>0.89864999999999995</v>
      </c>
      <c r="G2102" s="144">
        <v>1.2729999999999999</v>
      </c>
      <c r="I2102" s="144">
        <v>1</v>
      </c>
      <c r="J2102" s="145">
        <f t="shared" si="239"/>
        <v>40668</v>
      </c>
      <c r="K2102" s="144">
        <f t="shared" ca="1" si="244"/>
        <v>0.85932226272444978</v>
      </c>
      <c r="L2102" s="144">
        <f t="shared" ca="1" si="244"/>
        <v>0.60662211421628187</v>
      </c>
      <c r="M2102" s="144">
        <f t="shared" ca="1" si="244"/>
        <v>79.789388416362897</v>
      </c>
      <c r="N2102" s="144">
        <f t="shared" ca="1" si="244"/>
        <v>5.353044417442959</v>
      </c>
      <c r="O2102" s="144">
        <f t="shared" ca="1" si="244"/>
        <v>27.285000675037129</v>
      </c>
      <c r="P2102" s="144">
        <f t="shared" ca="1" si="244"/>
        <v>1</v>
      </c>
      <c r="Q2102" s="144">
        <f t="shared" ca="1" si="244"/>
        <v>0.67503712704198726</v>
      </c>
    </row>
    <row r="2103" spans="1:17" x14ac:dyDescent="0.25">
      <c r="A2103" s="145">
        <v>40667</v>
      </c>
      <c r="B2103" s="144">
        <v>1.4882</v>
      </c>
      <c r="C2103" s="144">
        <v>40.53</v>
      </c>
      <c r="D2103" s="144">
        <v>7.8710000000000004</v>
      </c>
      <c r="E2103" s="144">
        <v>120.62</v>
      </c>
      <c r="F2103" s="144">
        <v>0.89990000000000003</v>
      </c>
      <c r="G2103" s="144">
        <v>1.2826</v>
      </c>
      <c r="I2103" s="144">
        <v>1</v>
      </c>
      <c r="J2103" s="145">
        <f t="shared" si="239"/>
        <v>40667</v>
      </c>
      <c r="K2103" s="144">
        <f t="shared" ca="1" si="244"/>
        <v>0.86184652600456924</v>
      </c>
      <c r="L2103" s="144">
        <f t="shared" ca="1" si="244"/>
        <v>0.60469022980782161</v>
      </c>
      <c r="M2103" s="144">
        <f t="shared" ca="1" si="244"/>
        <v>81.050934014245399</v>
      </c>
      <c r="N2103" s="144">
        <f t="shared" ca="1" si="244"/>
        <v>5.2889396586480313</v>
      </c>
      <c r="O2103" s="144">
        <f t="shared" ca="1" si="244"/>
        <v>27.234242709313264</v>
      </c>
      <c r="P2103" s="144">
        <f t="shared" ca="1" si="244"/>
        <v>1</v>
      </c>
      <c r="Q2103" s="144">
        <f t="shared" ca="1" si="244"/>
        <v>0.67195269453030504</v>
      </c>
    </row>
    <row r="2104" spans="1:17" x14ac:dyDescent="0.25">
      <c r="A2104" s="145">
        <v>40666</v>
      </c>
      <c r="B2104" s="144">
        <v>1.478</v>
      </c>
      <c r="C2104" s="144">
        <v>40.47</v>
      </c>
      <c r="D2104" s="144">
        <v>7.7995000000000001</v>
      </c>
      <c r="E2104" s="144">
        <v>119.36</v>
      </c>
      <c r="F2104" s="144">
        <v>0.89695000000000003</v>
      </c>
      <c r="G2104" s="144">
        <v>1.278</v>
      </c>
      <c r="I2104" s="144">
        <v>1</v>
      </c>
      <c r="J2104" s="145">
        <f t="shared" si="239"/>
        <v>40666</v>
      </c>
      <c r="K2104" s="144">
        <f t="shared" ca="1" si="244"/>
        <v>0.86468200270635998</v>
      </c>
      <c r="L2104" s="144">
        <f t="shared" ca="1" si="244"/>
        <v>0.6068673883626523</v>
      </c>
      <c r="M2104" s="144">
        <f t="shared" ca="1" si="244"/>
        <v>80.757780784844385</v>
      </c>
      <c r="N2104" s="144">
        <f t="shared" ca="1" si="244"/>
        <v>5.277063599458728</v>
      </c>
      <c r="O2104" s="144">
        <f t="shared" ca="1" si="244"/>
        <v>27.381596752368065</v>
      </c>
      <c r="P2104" s="144">
        <f t="shared" ca="1" si="244"/>
        <v>1</v>
      </c>
      <c r="Q2104" s="144">
        <f t="shared" ca="1" si="244"/>
        <v>0.67658998646820023</v>
      </c>
    </row>
    <row r="2105" spans="1:17" x14ac:dyDescent="0.25">
      <c r="A2105" s="145">
        <v>40665</v>
      </c>
      <c r="B2105" s="144">
        <v>1.4837</v>
      </c>
      <c r="C2105" s="144">
        <v>40.619999999999997</v>
      </c>
      <c r="D2105" s="144">
        <v>7.78</v>
      </c>
      <c r="E2105" s="144">
        <v>120.85</v>
      </c>
      <c r="F2105" s="144">
        <v>0.88919999999999999</v>
      </c>
      <c r="G2105" s="144">
        <v>1.2856000000000001</v>
      </c>
      <c r="I2105" s="144">
        <v>1</v>
      </c>
      <c r="J2105" s="145">
        <f t="shared" si="239"/>
        <v>40665</v>
      </c>
      <c r="K2105" s="144">
        <f t="shared" ref="K2105:Q2114" ca="1" si="245">OFFSET($A2105,0,K$3)/OFFSET($A2105,0,$P$3)</f>
        <v>0.86648244254229301</v>
      </c>
      <c r="L2105" s="144">
        <f t="shared" ca="1" si="245"/>
        <v>0.59931252948709302</v>
      </c>
      <c r="M2105" s="144">
        <f t="shared" ca="1" si="245"/>
        <v>81.451775965491677</v>
      </c>
      <c r="N2105" s="144">
        <f t="shared" ca="1" si="245"/>
        <v>5.2436476376626002</v>
      </c>
      <c r="O2105" s="144">
        <f t="shared" ca="1" si="245"/>
        <v>27.37750219046977</v>
      </c>
      <c r="P2105" s="144">
        <f t="shared" ca="1" si="245"/>
        <v>1</v>
      </c>
      <c r="Q2105" s="144">
        <f t="shared" ca="1" si="245"/>
        <v>0.67399069892835473</v>
      </c>
    </row>
    <row r="2106" spans="1:17" x14ac:dyDescent="0.25">
      <c r="A2106" s="145">
        <v>40664</v>
      </c>
      <c r="B2106" s="144">
        <v>1.486</v>
      </c>
      <c r="C2106" s="144">
        <v>40.646299999999997</v>
      </c>
      <c r="D2106" s="144">
        <v>7.782</v>
      </c>
      <c r="E2106" s="144">
        <v>120.67</v>
      </c>
      <c r="F2106" s="144">
        <v>0.89170000000000005</v>
      </c>
      <c r="G2106" s="144">
        <v>1.2867</v>
      </c>
      <c r="I2106" s="144">
        <v>1</v>
      </c>
      <c r="J2106" s="145">
        <f t="shared" si="239"/>
        <v>40664</v>
      </c>
      <c r="K2106" s="144">
        <f t="shared" ca="1" si="245"/>
        <v>0.86588156123822335</v>
      </c>
      <c r="L2106" s="144">
        <f t="shared" ca="1" si="245"/>
        <v>0.60006729475100951</v>
      </c>
      <c r="M2106" s="144">
        <f t="shared" ca="1" si="245"/>
        <v>81.204576043068641</v>
      </c>
      <c r="N2106" s="144">
        <f t="shared" ca="1" si="245"/>
        <v>5.2368775235531633</v>
      </c>
      <c r="O2106" s="144">
        <f t="shared" ca="1" si="245"/>
        <v>27.352826379542392</v>
      </c>
      <c r="P2106" s="144">
        <f t="shared" ca="1" si="245"/>
        <v>1</v>
      </c>
      <c r="Q2106" s="144">
        <f t="shared" ca="1" si="245"/>
        <v>0.67294751009421261</v>
      </c>
    </row>
    <row r="2107" spans="1:17" x14ac:dyDescent="0.25">
      <c r="A2107" s="145">
        <v>40663</v>
      </c>
      <c r="B2107" s="144">
        <v>1.486</v>
      </c>
      <c r="C2107" s="144">
        <v>40.646299999999997</v>
      </c>
      <c r="D2107" s="144">
        <v>7.782</v>
      </c>
      <c r="E2107" s="144">
        <v>120.67</v>
      </c>
      <c r="F2107" s="144">
        <v>0.89170000000000005</v>
      </c>
      <c r="G2107" s="144">
        <v>1.2867</v>
      </c>
      <c r="I2107" s="144">
        <v>1</v>
      </c>
      <c r="J2107" s="145">
        <f t="shared" si="239"/>
        <v>40663</v>
      </c>
      <c r="K2107" s="144">
        <f t="shared" ca="1" si="245"/>
        <v>0.86588156123822335</v>
      </c>
      <c r="L2107" s="144">
        <f t="shared" ca="1" si="245"/>
        <v>0.60006729475100951</v>
      </c>
      <c r="M2107" s="144">
        <f t="shared" ca="1" si="245"/>
        <v>81.204576043068641</v>
      </c>
      <c r="N2107" s="144">
        <f t="shared" ca="1" si="245"/>
        <v>5.2368775235531633</v>
      </c>
      <c r="O2107" s="144">
        <f t="shared" ca="1" si="245"/>
        <v>27.352826379542392</v>
      </c>
      <c r="P2107" s="144">
        <f t="shared" ca="1" si="245"/>
        <v>1</v>
      </c>
      <c r="Q2107" s="144">
        <f t="shared" ca="1" si="245"/>
        <v>0.67294751009421261</v>
      </c>
    </row>
    <row r="2108" spans="1:17" x14ac:dyDescent="0.25">
      <c r="A2108" s="145">
        <v>40662</v>
      </c>
      <c r="B2108" s="144">
        <v>1.486</v>
      </c>
      <c r="C2108" s="144">
        <v>40.646299999999997</v>
      </c>
      <c r="D2108" s="144">
        <v>7.782</v>
      </c>
      <c r="E2108" s="144">
        <v>120.67</v>
      </c>
      <c r="F2108" s="144">
        <v>0.89170000000000005</v>
      </c>
      <c r="G2108" s="144">
        <v>1.2867</v>
      </c>
      <c r="I2108" s="144">
        <v>1</v>
      </c>
      <c r="J2108" s="145">
        <f t="shared" si="239"/>
        <v>40662</v>
      </c>
      <c r="K2108" s="144">
        <f t="shared" ca="1" si="245"/>
        <v>0.86588156123822335</v>
      </c>
      <c r="L2108" s="144">
        <f t="shared" ca="1" si="245"/>
        <v>0.60006729475100951</v>
      </c>
      <c r="M2108" s="144">
        <f t="shared" ca="1" si="245"/>
        <v>81.204576043068641</v>
      </c>
      <c r="N2108" s="144">
        <f t="shared" ca="1" si="245"/>
        <v>5.2368775235531633</v>
      </c>
      <c r="O2108" s="144">
        <f t="shared" ca="1" si="245"/>
        <v>27.352826379542392</v>
      </c>
      <c r="P2108" s="144">
        <f t="shared" ca="1" si="245"/>
        <v>1</v>
      </c>
      <c r="Q2108" s="144">
        <f t="shared" ca="1" si="245"/>
        <v>0.67294751009421261</v>
      </c>
    </row>
    <row r="2109" spans="1:17" x14ac:dyDescent="0.25">
      <c r="A2109" s="145">
        <v>40661</v>
      </c>
      <c r="B2109" s="144">
        <v>1.4794</v>
      </c>
      <c r="C2109" s="144">
        <v>40.734999999999999</v>
      </c>
      <c r="D2109" s="144">
        <v>7.8090000000000002</v>
      </c>
      <c r="E2109" s="144">
        <v>120.97</v>
      </c>
      <c r="F2109" s="144">
        <v>0.88880000000000003</v>
      </c>
      <c r="G2109" s="144">
        <v>1.2954000000000001</v>
      </c>
      <c r="I2109" s="144">
        <v>1</v>
      </c>
      <c r="J2109" s="145">
        <f t="shared" si="239"/>
        <v>40661</v>
      </c>
      <c r="K2109" s="144">
        <f t="shared" ca="1" si="245"/>
        <v>0.87562525348114106</v>
      </c>
      <c r="L2109" s="144">
        <f t="shared" ca="1" si="245"/>
        <v>0.60078410166283625</v>
      </c>
      <c r="M2109" s="144">
        <f t="shared" ca="1" si="245"/>
        <v>81.769636339056376</v>
      </c>
      <c r="N2109" s="144">
        <f t="shared" ca="1" si="245"/>
        <v>5.2784912802487494</v>
      </c>
      <c r="O2109" s="144">
        <f t="shared" ca="1" si="245"/>
        <v>27.534811410031093</v>
      </c>
      <c r="P2109" s="144">
        <f t="shared" ca="1" si="245"/>
        <v>1</v>
      </c>
      <c r="Q2109" s="144">
        <f t="shared" ca="1" si="245"/>
        <v>0.67594970934162502</v>
      </c>
    </row>
    <row r="2110" spans="1:17" x14ac:dyDescent="0.25">
      <c r="A2110" s="145">
        <v>40660</v>
      </c>
      <c r="B2110" s="144">
        <v>1.4668000000000001</v>
      </c>
      <c r="C2110" s="144">
        <v>40.65</v>
      </c>
      <c r="D2110" s="144">
        <v>7.7885</v>
      </c>
      <c r="E2110" s="144">
        <v>120.66</v>
      </c>
      <c r="F2110" s="144">
        <v>0.88639999999999997</v>
      </c>
      <c r="G2110" s="144">
        <v>1.2886</v>
      </c>
      <c r="I2110" s="144">
        <v>1</v>
      </c>
      <c r="J2110" s="145">
        <f t="shared" si="239"/>
        <v>40660</v>
      </c>
      <c r="K2110" s="144">
        <f t="shared" ca="1" si="245"/>
        <v>0.87851104445050443</v>
      </c>
      <c r="L2110" s="144">
        <f t="shared" ca="1" si="245"/>
        <v>0.60430869920916275</v>
      </c>
      <c r="M2110" s="144">
        <f t="shared" ca="1" si="245"/>
        <v>82.260703572402505</v>
      </c>
      <c r="N2110" s="144">
        <f t="shared" ca="1" si="245"/>
        <v>5.3098581947095713</v>
      </c>
      <c r="O2110" s="144">
        <f t="shared" ca="1" si="245"/>
        <v>27.713389691846192</v>
      </c>
      <c r="P2110" s="144">
        <f t="shared" ca="1" si="245"/>
        <v>1</v>
      </c>
      <c r="Q2110" s="144">
        <f t="shared" ca="1" si="245"/>
        <v>0.6817562039814562</v>
      </c>
    </row>
    <row r="2111" spans="1:17" x14ac:dyDescent="0.25">
      <c r="A2111" s="145">
        <v>40659</v>
      </c>
      <c r="B2111" s="144">
        <v>1.4617</v>
      </c>
      <c r="C2111" s="144">
        <v>40.674999999999997</v>
      </c>
      <c r="D2111" s="144">
        <v>7.78</v>
      </c>
      <c r="E2111" s="144">
        <v>119.43</v>
      </c>
      <c r="F2111" s="144">
        <v>0.88714999999999999</v>
      </c>
      <c r="G2111" s="144">
        <v>1.2829999999999999</v>
      </c>
      <c r="I2111" s="144">
        <v>1</v>
      </c>
      <c r="J2111" s="145">
        <f t="shared" si="239"/>
        <v>40659</v>
      </c>
      <c r="K2111" s="144">
        <f t="shared" ca="1" si="245"/>
        <v>0.87774509133201062</v>
      </c>
      <c r="L2111" s="144">
        <f t="shared" ca="1" si="245"/>
        <v>0.60693028665252791</v>
      </c>
      <c r="M2111" s="144">
        <f t="shared" ca="1" si="245"/>
        <v>81.706232469042902</v>
      </c>
      <c r="N2111" s="144">
        <f t="shared" ca="1" si="245"/>
        <v>5.3225696107272356</v>
      </c>
      <c r="O2111" s="144">
        <f t="shared" ca="1" si="245"/>
        <v>27.827187521379216</v>
      </c>
      <c r="P2111" s="144">
        <f t="shared" ca="1" si="245"/>
        <v>1</v>
      </c>
      <c r="Q2111" s="144">
        <f t="shared" ca="1" si="245"/>
        <v>0.68413491140452898</v>
      </c>
    </row>
    <row r="2112" spans="1:17" x14ac:dyDescent="0.25">
      <c r="A2112" s="145">
        <v>40658</v>
      </c>
      <c r="B2112" s="144">
        <v>1.4583999999999999</v>
      </c>
      <c r="C2112" s="144">
        <v>40.7395</v>
      </c>
      <c r="D2112" s="144">
        <v>7.7842000000000002</v>
      </c>
      <c r="E2112" s="144">
        <v>119.52</v>
      </c>
      <c r="F2112" s="144">
        <v>0.88129999999999997</v>
      </c>
      <c r="G2112" s="144">
        <v>1.2850999999999999</v>
      </c>
      <c r="I2112" s="144">
        <v>1</v>
      </c>
      <c r="J2112" s="145">
        <f t="shared" si="239"/>
        <v>40658</v>
      </c>
      <c r="K2112" s="144">
        <f t="shared" ca="1" si="245"/>
        <v>0.881171146461876</v>
      </c>
      <c r="L2112" s="144">
        <f t="shared" ca="1" si="245"/>
        <v>0.60429237520570489</v>
      </c>
      <c r="M2112" s="144">
        <f t="shared" ca="1" si="245"/>
        <v>81.952825013713664</v>
      </c>
      <c r="N2112" s="144">
        <f t="shared" ca="1" si="245"/>
        <v>5.3374931431705983</v>
      </c>
      <c r="O2112" s="144">
        <f t="shared" ca="1" si="245"/>
        <v>27.934380142622054</v>
      </c>
      <c r="P2112" s="144">
        <f t="shared" ca="1" si="245"/>
        <v>1</v>
      </c>
      <c r="Q2112" s="144">
        <f t="shared" ca="1" si="245"/>
        <v>0.68568294020844767</v>
      </c>
    </row>
    <row r="2113" spans="1:17" x14ac:dyDescent="0.25">
      <c r="A2113" s="145">
        <v>40657</v>
      </c>
      <c r="B2113" s="144">
        <v>1.4583999999999999</v>
      </c>
      <c r="C2113" s="144">
        <v>40.7395</v>
      </c>
      <c r="D2113" s="144">
        <v>7.7842000000000002</v>
      </c>
      <c r="E2113" s="144">
        <v>119.52</v>
      </c>
      <c r="F2113" s="144">
        <v>0.88129999999999997</v>
      </c>
      <c r="G2113" s="144">
        <v>1.2850999999999999</v>
      </c>
      <c r="I2113" s="144">
        <v>1</v>
      </c>
      <c r="J2113" s="145">
        <f t="shared" si="239"/>
        <v>40657</v>
      </c>
      <c r="K2113" s="144">
        <f t="shared" ca="1" si="245"/>
        <v>0.881171146461876</v>
      </c>
      <c r="L2113" s="144">
        <f t="shared" ca="1" si="245"/>
        <v>0.60429237520570489</v>
      </c>
      <c r="M2113" s="144">
        <f t="shared" ca="1" si="245"/>
        <v>81.952825013713664</v>
      </c>
      <c r="N2113" s="144">
        <f t="shared" ca="1" si="245"/>
        <v>5.3374931431705983</v>
      </c>
      <c r="O2113" s="144">
        <f t="shared" ca="1" si="245"/>
        <v>27.934380142622054</v>
      </c>
      <c r="P2113" s="144">
        <f t="shared" ca="1" si="245"/>
        <v>1</v>
      </c>
      <c r="Q2113" s="144">
        <f t="shared" ca="1" si="245"/>
        <v>0.68568294020844767</v>
      </c>
    </row>
    <row r="2114" spans="1:17" x14ac:dyDescent="0.25">
      <c r="A2114" s="145">
        <v>40656</v>
      </c>
      <c r="B2114" s="144">
        <v>1.4583999999999999</v>
      </c>
      <c r="C2114" s="144">
        <v>40.7395</v>
      </c>
      <c r="D2114" s="144">
        <v>7.7842000000000002</v>
      </c>
      <c r="E2114" s="144">
        <v>119.52</v>
      </c>
      <c r="F2114" s="144">
        <v>0.88129999999999997</v>
      </c>
      <c r="G2114" s="144">
        <v>1.2850999999999999</v>
      </c>
      <c r="I2114" s="144">
        <v>1</v>
      </c>
      <c r="J2114" s="145">
        <f t="shared" si="239"/>
        <v>40656</v>
      </c>
      <c r="K2114" s="144">
        <f t="shared" ca="1" si="245"/>
        <v>0.881171146461876</v>
      </c>
      <c r="L2114" s="144">
        <f t="shared" ca="1" si="245"/>
        <v>0.60429237520570489</v>
      </c>
      <c r="M2114" s="144">
        <f t="shared" ca="1" si="245"/>
        <v>81.952825013713664</v>
      </c>
      <c r="N2114" s="144">
        <f t="shared" ca="1" si="245"/>
        <v>5.3374931431705983</v>
      </c>
      <c r="O2114" s="144">
        <f t="shared" ca="1" si="245"/>
        <v>27.934380142622054</v>
      </c>
      <c r="P2114" s="144">
        <f t="shared" ca="1" si="245"/>
        <v>1</v>
      </c>
      <c r="Q2114" s="144">
        <f t="shared" ca="1" si="245"/>
        <v>0.68568294020844767</v>
      </c>
    </row>
    <row r="2115" spans="1:17" x14ac:dyDescent="0.25">
      <c r="A2115" s="145">
        <v>40655</v>
      </c>
      <c r="B2115" s="144">
        <v>1.4583999999999999</v>
      </c>
      <c r="C2115" s="144">
        <v>40.7395</v>
      </c>
      <c r="D2115" s="144">
        <v>7.7842000000000002</v>
      </c>
      <c r="E2115" s="144">
        <v>119.52</v>
      </c>
      <c r="F2115" s="144">
        <v>0.88129999999999997</v>
      </c>
      <c r="G2115" s="144">
        <v>1.2850999999999999</v>
      </c>
      <c r="I2115" s="144">
        <v>1</v>
      </c>
      <c r="J2115" s="145">
        <f t="shared" si="239"/>
        <v>40655</v>
      </c>
      <c r="K2115" s="144">
        <f t="shared" ref="K2115:Q2124" ca="1" si="246">OFFSET($A2115,0,K$3)/OFFSET($A2115,0,$P$3)</f>
        <v>0.881171146461876</v>
      </c>
      <c r="L2115" s="144">
        <f t="shared" ca="1" si="246"/>
        <v>0.60429237520570489</v>
      </c>
      <c r="M2115" s="144">
        <f t="shared" ca="1" si="246"/>
        <v>81.952825013713664</v>
      </c>
      <c r="N2115" s="144">
        <f t="shared" ca="1" si="246"/>
        <v>5.3374931431705983</v>
      </c>
      <c r="O2115" s="144">
        <f t="shared" ca="1" si="246"/>
        <v>27.934380142622054</v>
      </c>
      <c r="P2115" s="144">
        <f t="shared" ca="1" si="246"/>
        <v>1</v>
      </c>
      <c r="Q2115" s="144">
        <f t="shared" ca="1" si="246"/>
        <v>0.68568294020844767</v>
      </c>
    </row>
    <row r="2116" spans="1:17" x14ac:dyDescent="0.25">
      <c r="A2116" s="145">
        <v>40654</v>
      </c>
      <c r="B2116" s="144">
        <v>1.4583999999999999</v>
      </c>
      <c r="C2116" s="144">
        <v>40.7395</v>
      </c>
      <c r="D2116" s="144">
        <v>7.7842000000000002</v>
      </c>
      <c r="E2116" s="144">
        <v>119.52</v>
      </c>
      <c r="F2116" s="144">
        <v>0.88129999999999997</v>
      </c>
      <c r="G2116" s="144">
        <v>1.2850999999999999</v>
      </c>
      <c r="I2116" s="144">
        <v>1</v>
      </c>
      <c r="J2116" s="145">
        <f t="shared" si="239"/>
        <v>40654</v>
      </c>
      <c r="K2116" s="144">
        <f t="shared" ca="1" si="246"/>
        <v>0.881171146461876</v>
      </c>
      <c r="L2116" s="144">
        <f t="shared" ca="1" si="246"/>
        <v>0.60429237520570489</v>
      </c>
      <c r="M2116" s="144">
        <f t="shared" ca="1" si="246"/>
        <v>81.952825013713664</v>
      </c>
      <c r="N2116" s="144">
        <f t="shared" ca="1" si="246"/>
        <v>5.3374931431705983</v>
      </c>
      <c r="O2116" s="144">
        <f t="shared" ca="1" si="246"/>
        <v>27.934380142622054</v>
      </c>
      <c r="P2116" s="144">
        <f t="shared" ca="1" si="246"/>
        <v>1</v>
      </c>
      <c r="Q2116" s="144">
        <f t="shared" ca="1" si="246"/>
        <v>0.68568294020844767</v>
      </c>
    </row>
    <row r="2117" spans="1:17" x14ac:dyDescent="0.25">
      <c r="A2117" s="145">
        <v>40653</v>
      </c>
      <c r="B2117" s="144">
        <v>1.4515</v>
      </c>
      <c r="C2117" s="144">
        <v>40.837499999999999</v>
      </c>
      <c r="D2117" s="144">
        <v>7.7895000000000003</v>
      </c>
      <c r="E2117" s="144">
        <v>120.13</v>
      </c>
      <c r="F2117" s="144">
        <v>0.88670000000000004</v>
      </c>
      <c r="G2117" s="144">
        <v>1.2944</v>
      </c>
      <c r="I2117" s="144">
        <v>1</v>
      </c>
      <c r="J2117" s="145">
        <f t="shared" ref="J2117:J2180" si="247">A2117</f>
        <v>40653</v>
      </c>
      <c r="K2117" s="144">
        <f t="shared" ca="1" si="246"/>
        <v>0.89176713744402336</v>
      </c>
      <c r="L2117" s="144">
        <f t="shared" ca="1" si="246"/>
        <v>0.610885291078195</v>
      </c>
      <c r="M2117" s="144">
        <f t="shared" ca="1" si="246"/>
        <v>82.762659317946941</v>
      </c>
      <c r="N2117" s="144">
        <f t="shared" ca="1" si="246"/>
        <v>5.3665173957974508</v>
      </c>
      <c r="O2117" s="144">
        <f t="shared" ca="1" si="246"/>
        <v>28.134688253530829</v>
      </c>
      <c r="P2117" s="144">
        <f t="shared" ca="1" si="246"/>
        <v>1</v>
      </c>
      <c r="Q2117" s="144">
        <f t="shared" ca="1" si="246"/>
        <v>0.68894247330347913</v>
      </c>
    </row>
    <row r="2118" spans="1:17" x14ac:dyDescent="0.25">
      <c r="A2118" s="145">
        <v>40652</v>
      </c>
      <c r="B2118" s="144">
        <v>1.4301999999999999</v>
      </c>
      <c r="C2118" s="144">
        <v>40.486899999999999</v>
      </c>
      <c r="D2118" s="144">
        <v>7.7634999999999996</v>
      </c>
      <c r="E2118" s="144">
        <v>118.23</v>
      </c>
      <c r="F2118" s="144">
        <v>0.878</v>
      </c>
      <c r="G2118" s="144">
        <v>1.2842</v>
      </c>
      <c r="I2118" s="144">
        <v>1</v>
      </c>
      <c r="J2118" s="145">
        <f t="shared" si="247"/>
        <v>40652</v>
      </c>
      <c r="K2118" s="144">
        <f t="shared" ca="1" si="246"/>
        <v>0.89791637533212143</v>
      </c>
      <c r="L2118" s="144">
        <f t="shared" ca="1" si="246"/>
        <v>0.61390015382463992</v>
      </c>
      <c r="M2118" s="144">
        <f t="shared" ca="1" si="246"/>
        <v>82.666759893721164</v>
      </c>
      <c r="N2118" s="144">
        <f t="shared" ca="1" si="246"/>
        <v>5.4282617815690113</v>
      </c>
      <c r="O2118" s="144">
        <f t="shared" ca="1" si="246"/>
        <v>28.308558243602295</v>
      </c>
      <c r="P2118" s="144">
        <f t="shared" ca="1" si="246"/>
        <v>1</v>
      </c>
      <c r="Q2118" s="144">
        <f t="shared" ca="1" si="246"/>
        <v>0.69920290868410018</v>
      </c>
    </row>
    <row r="2119" spans="1:17" x14ac:dyDescent="0.25">
      <c r="A2119" s="145">
        <v>40651</v>
      </c>
      <c r="B2119" s="144">
        <v>1.4275</v>
      </c>
      <c r="C2119" s="144">
        <v>40.395000000000003</v>
      </c>
      <c r="D2119" s="144">
        <v>7.7880000000000003</v>
      </c>
      <c r="E2119" s="144">
        <v>118.25</v>
      </c>
      <c r="F2119" s="144">
        <v>0.87749999999999995</v>
      </c>
      <c r="G2119" s="144">
        <v>1.2821</v>
      </c>
      <c r="I2119" s="144">
        <v>1</v>
      </c>
      <c r="J2119" s="145">
        <f t="shared" si="247"/>
        <v>40651</v>
      </c>
      <c r="K2119" s="144">
        <f t="shared" ca="1" si="246"/>
        <v>0.89814360770577939</v>
      </c>
      <c r="L2119" s="144">
        <f t="shared" ca="1" si="246"/>
        <v>0.61471103327495613</v>
      </c>
      <c r="M2119" s="144">
        <f t="shared" ca="1" si="246"/>
        <v>82.83712784588441</v>
      </c>
      <c r="N2119" s="144">
        <f t="shared" ca="1" si="246"/>
        <v>5.45569176882662</v>
      </c>
      <c r="O2119" s="144">
        <f t="shared" ca="1" si="246"/>
        <v>28.297723292469353</v>
      </c>
      <c r="P2119" s="144">
        <f t="shared" ca="1" si="246"/>
        <v>1</v>
      </c>
      <c r="Q2119" s="144">
        <f t="shared" ca="1" si="246"/>
        <v>0.70052539404553416</v>
      </c>
    </row>
    <row r="2120" spans="1:17" x14ac:dyDescent="0.25">
      <c r="A2120" s="145">
        <v>40650</v>
      </c>
      <c r="B2120" s="144">
        <v>1.4450000000000001</v>
      </c>
      <c r="C2120" s="144">
        <v>40.65</v>
      </c>
      <c r="D2120" s="144">
        <v>7.8079999999999998</v>
      </c>
      <c r="E2120" s="144">
        <v>120.37</v>
      </c>
      <c r="F2120" s="144">
        <v>0.88380000000000003</v>
      </c>
      <c r="G2120" s="144">
        <v>1.2897000000000001</v>
      </c>
      <c r="I2120" s="144">
        <v>1</v>
      </c>
      <c r="J2120" s="145">
        <f t="shared" si="247"/>
        <v>40650</v>
      </c>
      <c r="K2120" s="144">
        <f t="shared" ca="1" si="246"/>
        <v>0.89252595155709347</v>
      </c>
      <c r="L2120" s="144">
        <f t="shared" ca="1" si="246"/>
        <v>0.61162629757785469</v>
      </c>
      <c r="M2120" s="144">
        <f t="shared" ca="1" si="246"/>
        <v>83.301038062283737</v>
      </c>
      <c r="N2120" s="144">
        <f t="shared" ca="1" si="246"/>
        <v>5.403460207612456</v>
      </c>
      <c r="O2120" s="144">
        <f t="shared" ca="1" si="246"/>
        <v>28.131487889273355</v>
      </c>
      <c r="P2120" s="144">
        <f t="shared" ca="1" si="246"/>
        <v>1</v>
      </c>
      <c r="Q2120" s="144">
        <f t="shared" ca="1" si="246"/>
        <v>0.69204152249134943</v>
      </c>
    </row>
    <row r="2121" spans="1:17" x14ac:dyDescent="0.25">
      <c r="A2121" s="145">
        <v>40649</v>
      </c>
      <c r="B2121" s="144">
        <v>1.4450000000000001</v>
      </c>
      <c r="C2121" s="144">
        <v>40.65</v>
      </c>
      <c r="D2121" s="144">
        <v>7.8079999999999998</v>
      </c>
      <c r="E2121" s="144">
        <v>120.37</v>
      </c>
      <c r="F2121" s="144">
        <v>0.88380000000000003</v>
      </c>
      <c r="G2121" s="144">
        <v>1.2897000000000001</v>
      </c>
      <c r="I2121" s="144">
        <v>1</v>
      </c>
      <c r="J2121" s="145">
        <f t="shared" si="247"/>
        <v>40649</v>
      </c>
      <c r="K2121" s="144">
        <f t="shared" ca="1" si="246"/>
        <v>0.89252595155709347</v>
      </c>
      <c r="L2121" s="144">
        <f t="shared" ca="1" si="246"/>
        <v>0.61162629757785469</v>
      </c>
      <c r="M2121" s="144">
        <f t="shared" ca="1" si="246"/>
        <v>83.301038062283737</v>
      </c>
      <c r="N2121" s="144">
        <f t="shared" ca="1" si="246"/>
        <v>5.403460207612456</v>
      </c>
      <c r="O2121" s="144">
        <f t="shared" ca="1" si="246"/>
        <v>28.131487889273355</v>
      </c>
      <c r="P2121" s="144">
        <f t="shared" ca="1" si="246"/>
        <v>1</v>
      </c>
      <c r="Q2121" s="144">
        <f t="shared" ca="1" si="246"/>
        <v>0.69204152249134943</v>
      </c>
    </row>
    <row r="2122" spans="1:17" x14ac:dyDescent="0.25">
      <c r="A2122" s="145">
        <v>40648</v>
      </c>
      <c r="B2122" s="144">
        <v>1.4450000000000001</v>
      </c>
      <c r="C2122" s="144">
        <v>40.65</v>
      </c>
      <c r="D2122" s="144">
        <v>7.8079999999999998</v>
      </c>
      <c r="E2122" s="144">
        <v>120.37</v>
      </c>
      <c r="F2122" s="144">
        <v>0.88380000000000003</v>
      </c>
      <c r="G2122" s="144">
        <v>1.2897000000000001</v>
      </c>
      <c r="I2122" s="144">
        <v>1</v>
      </c>
      <c r="J2122" s="145">
        <f t="shared" si="247"/>
        <v>40648</v>
      </c>
      <c r="K2122" s="144">
        <f t="shared" ca="1" si="246"/>
        <v>0.89252595155709347</v>
      </c>
      <c r="L2122" s="144">
        <f t="shared" ca="1" si="246"/>
        <v>0.61162629757785469</v>
      </c>
      <c r="M2122" s="144">
        <f t="shared" ca="1" si="246"/>
        <v>83.301038062283737</v>
      </c>
      <c r="N2122" s="144">
        <f t="shared" ca="1" si="246"/>
        <v>5.403460207612456</v>
      </c>
      <c r="O2122" s="144">
        <f t="shared" ca="1" si="246"/>
        <v>28.131487889273355</v>
      </c>
      <c r="P2122" s="144">
        <f t="shared" ca="1" si="246"/>
        <v>1</v>
      </c>
      <c r="Q2122" s="144">
        <f t="shared" ca="1" si="246"/>
        <v>0.69204152249134943</v>
      </c>
    </row>
    <row r="2123" spans="1:17" x14ac:dyDescent="0.25">
      <c r="A2123" s="145">
        <v>40647</v>
      </c>
      <c r="B2123" s="144">
        <v>1.4400999999999999</v>
      </c>
      <c r="C2123" s="144">
        <v>40.732500000000002</v>
      </c>
      <c r="D2123" s="144">
        <v>7.8579999999999997</v>
      </c>
      <c r="E2123" s="144">
        <v>119.85</v>
      </c>
      <c r="F2123" s="144">
        <v>0.88249999999999995</v>
      </c>
      <c r="G2123" s="144">
        <v>1.2879</v>
      </c>
      <c r="I2123" s="144">
        <v>1</v>
      </c>
      <c r="J2123" s="145">
        <f t="shared" si="247"/>
        <v>40647</v>
      </c>
      <c r="K2123" s="144">
        <f t="shared" ca="1" si="246"/>
        <v>0.8943128949378516</v>
      </c>
      <c r="L2123" s="144">
        <f t="shared" ca="1" si="246"/>
        <v>0.6128046663426151</v>
      </c>
      <c r="M2123" s="144">
        <f t="shared" ca="1" si="246"/>
        <v>83.22338726477328</v>
      </c>
      <c r="N2123" s="144">
        <f t="shared" ca="1" si="246"/>
        <v>5.4565655162835913</v>
      </c>
      <c r="O2123" s="144">
        <f t="shared" ca="1" si="246"/>
        <v>28.284494132351924</v>
      </c>
      <c r="P2123" s="144">
        <f t="shared" ca="1" si="246"/>
        <v>1</v>
      </c>
      <c r="Q2123" s="144">
        <f t="shared" ca="1" si="246"/>
        <v>0.69439622248454969</v>
      </c>
    </row>
    <row r="2124" spans="1:17" x14ac:dyDescent="0.25">
      <c r="A2124" s="145">
        <v>40646</v>
      </c>
      <c r="B2124" s="144">
        <v>1.4493</v>
      </c>
      <c r="C2124" s="144">
        <v>40.790500000000002</v>
      </c>
      <c r="D2124" s="144">
        <v>7.8620000000000001</v>
      </c>
      <c r="E2124" s="144">
        <v>121.84</v>
      </c>
      <c r="F2124" s="144">
        <v>0.88980000000000004</v>
      </c>
      <c r="G2124" s="144">
        <v>1.2995000000000001</v>
      </c>
      <c r="I2124" s="144">
        <v>1</v>
      </c>
      <c r="J2124" s="145">
        <f t="shared" si="247"/>
        <v>40646</v>
      </c>
      <c r="K2124" s="144">
        <f t="shared" ca="1" si="246"/>
        <v>0.89663975712412891</v>
      </c>
      <c r="L2124" s="144">
        <f t="shared" ca="1" si="246"/>
        <v>0.613951562823432</v>
      </c>
      <c r="M2124" s="144">
        <f t="shared" ca="1" si="246"/>
        <v>84.068170841095707</v>
      </c>
      <c r="N2124" s="144">
        <f t="shared" ca="1" si="246"/>
        <v>5.4246877803077345</v>
      </c>
      <c r="O2124" s="144">
        <f t="shared" ca="1" si="246"/>
        <v>28.144966535568894</v>
      </c>
      <c r="P2124" s="144">
        <f t="shared" ca="1" si="246"/>
        <v>1</v>
      </c>
      <c r="Q2124" s="144">
        <f t="shared" ca="1" si="246"/>
        <v>0.68998827019940656</v>
      </c>
    </row>
    <row r="2125" spans="1:17" x14ac:dyDescent="0.25">
      <c r="A2125" s="145">
        <v>40645</v>
      </c>
      <c r="B2125" s="144">
        <v>1.4470000000000001</v>
      </c>
      <c r="C2125" s="144">
        <v>40.662500000000001</v>
      </c>
      <c r="D2125" s="144">
        <v>7.8769999999999998</v>
      </c>
      <c r="E2125" s="144">
        <v>121.87</v>
      </c>
      <c r="F2125" s="144">
        <v>0.88844999999999996</v>
      </c>
      <c r="G2125" s="144">
        <v>1.3017000000000001</v>
      </c>
      <c r="I2125" s="144">
        <v>1</v>
      </c>
      <c r="J2125" s="145">
        <f t="shared" si="247"/>
        <v>40645</v>
      </c>
      <c r="K2125" s="144">
        <f t="shared" ref="K2125:Q2134" ca="1" si="248">OFFSET($A2125,0,K$3)/OFFSET($A2125,0,$P$3)</f>
        <v>0.89958534899792675</v>
      </c>
      <c r="L2125" s="144">
        <f t="shared" ca="1" si="248"/>
        <v>0.61399447131997231</v>
      </c>
      <c r="M2125" s="144">
        <f t="shared" ca="1" si="248"/>
        <v>84.222529371112643</v>
      </c>
      <c r="N2125" s="144">
        <f t="shared" ca="1" si="248"/>
        <v>5.4436765722183829</v>
      </c>
      <c r="O2125" s="144">
        <f t="shared" ca="1" si="248"/>
        <v>28.101243953006218</v>
      </c>
      <c r="P2125" s="144">
        <f t="shared" ca="1" si="248"/>
        <v>1</v>
      </c>
      <c r="Q2125" s="144">
        <f t="shared" ca="1" si="248"/>
        <v>0.69108500345542501</v>
      </c>
    </row>
    <row r="2126" spans="1:17" x14ac:dyDescent="0.25">
      <c r="A2126" s="145">
        <v>40644</v>
      </c>
      <c r="B2126" s="144">
        <v>1.4434</v>
      </c>
      <c r="C2126" s="144">
        <v>40.4985</v>
      </c>
      <c r="D2126" s="144">
        <v>7.8125</v>
      </c>
      <c r="E2126" s="144">
        <v>122.26</v>
      </c>
      <c r="F2126" s="144">
        <v>0.88360000000000005</v>
      </c>
      <c r="G2126" s="144">
        <v>1.3129</v>
      </c>
      <c r="I2126" s="144">
        <v>1</v>
      </c>
      <c r="J2126" s="145">
        <f t="shared" si="247"/>
        <v>40644</v>
      </c>
      <c r="K2126" s="144">
        <f t="shared" ca="1" si="248"/>
        <v>0.90958847166412637</v>
      </c>
      <c r="L2126" s="144">
        <f t="shared" ca="1" si="248"/>
        <v>0.61216571982818346</v>
      </c>
      <c r="M2126" s="144">
        <f t="shared" ca="1" si="248"/>
        <v>84.702785090757942</v>
      </c>
      <c r="N2126" s="144">
        <f t="shared" ca="1" si="248"/>
        <v>5.4125675488430094</v>
      </c>
      <c r="O2126" s="144">
        <f t="shared" ca="1" si="248"/>
        <v>28.057710960232782</v>
      </c>
      <c r="P2126" s="144">
        <f t="shared" ca="1" si="248"/>
        <v>1</v>
      </c>
      <c r="Q2126" s="144">
        <f t="shared" ca="1" si="248"/>
        <v>0.69280864625190519</v>
      </c>
    </row>
    <row r="2127" spans="1:17" x14ac:dyDescent="0.25">
      <c r="A2127" s="145">
        <v>40643</v>
      </c>
      <c r="B2127" s="144">
        <v>1.4400999999999999</v>
      </c>
      <c r="C2127" s="144">
        <v>40.416499999999999</v>
      </c>
      <c r="D2127" s="144">
        <v>7.8019999999999996</v>
      </c>
      <c r="E2127" s="144">
        <v>122.8</v>
      </c>
      <c r="F2127" s="144">
        <v>0.88095000000000001</v>
      </c>
      <c r="G2127" s="144">
        <v>1.3163</v>
      </c>
      <c r="I2127" s="144">
        <v>1</v>
      </c>
      <c r="J2127" s="145">
        <f t="shared" si="247"/>
        <v>40643</v>
      </c>
      <c r="K2127" s="144">
        <f t="shared" ca="1" si="248"/>
        <v>0.91403374765641277</v>
      </c>
      <c r="L2127" s="144">
        <f t="shared" ca="1" si="248"/>
        <v>0.61172835219776411</v>
      </c>
      <c r="M2127" s="144">
        <f t="shared" ca="1" si="248"/>
        <v>85.271856121102701</v>
      </c>
      <c r="N2127" s="144">
        <f t="shared" ca="1" si="248"/>
        <v>5.4176793278244562</v>
      </c>
      <c r="O2127" s="144">
        <f t="shared" ca="1" si="248"/>
        <v>28.065064926046801</v>
      </c>
      <c r="P2127" s="144">
        <f t="shared" ca="1" si="248"/>
        <v>1</v>
      </c>
      <c r="Q2127" s="144">
        <f t="shared" ca="1" si="248"/>
        <v>0.69439622248454969</v>
      </c>
    </row>
    <row r="2128" spans="1:17" x14ac:dyDescent="0.25">
      <c r="A2128" s="145">
        <v>40642</v>
      </c>
      <c r="B2128" s="144">
        <v>1.4400999999999999</v>
      </c>
      <c r="C2128" s="144">
        <v>40.416499999999999</v>
      </c>
      <c r="D2128" s="144">
        <v>7.8019999999999996</v>
      </c>
      <c r="E2128" s="144">
        <v>122.8</v>
      </c>
      <c r="F2128" s="144">
        <v>0.88095000000000001</v>
      </c>
      <c r="G2128" s="144">
        <v>1.3163</v>
      </c>
      <c r="I2128" s="144">
        <v>1</v>
      </c>
      <c r="J2128" s="145">
        <f t="shared" si="247"/>
        <v>40642</v>
      </c>
      <c r="K2128" s="144">
        <f t="shared" ca="1" si="248"/>
        <v>0.91403374765641277</v>
      </c>
      <c r="L2128" s="144">
        <f t="shared" ca="1" si="248"/>
        <v>0.61172835219776411</v>
      </c>
      <c r="M2128" s="144">
        <f t="shared" ca="1" si="248"/>
        <v>85.271856121102701</v>
      </c>
      <c r="N2128" s="144">
        <f t="shared" ca="1" si="248"/>
        <v>5.4176793278244562</v>
      </c>
      <c r="O2128" s="144">
        <f t="shared" ca="1" si="248"/>
        <v>28.065064926046801</v>
      </c>
      <c r="P2128" s="144">
        <f t="shared" ca="1" si="248"/>
        <v>1</v>
      </c>
      <c r="Q2128" s="144">
        <f t="shared" ca="1" si="248"/>
        <v>0.69439622248454969</v>
      </c>
    </row>
    <row r="2129" spans="1:17" x14ac:dyDescent="0.25">
      <c r="A2129" s="145">
        <v>40641</v>
      </c>
      <c r="B2129" s="144">
        <v>1.4400999999999999</v>
      </c>
      <c r="C2129" s="144">
        <v>40.416499999999999</v>
      </c>
      <c r="D2129" s="144">
        <v>7.8019999999999996</v>
      </c>
      <c r="E2129" s="144">
        <v>122.8</v>
      </c>
      <c r="F2129" s="144">
        <v>0.88095000000000001</v>
      </c>
      <c r="G2129" s="144">
        <v>1.3163</v>
      </c>
      <c r="I2129" s="144">
        <v>1</v>
      </c>
      <c r="J2129" s="145">
        <f t="shared" si="247"/>
        <v>40641</v>
      </c>
      <c r="K2129" s="144">
        <f t="shared" ca="1" si="248"/>
        <v>0.91403374765641277</v>
      </c>
      <c r="L2129" s="144">
        <f t="shared" ca="1" si="248"/>
        <v>0.61172835219776411</v>
      </c>
      <c r="M2129" s="144">
        <f t="shared" ca="1" si="248"/>
        <v>85.271856121102701</v>
      </c>
      <c r="N2129" s="144">
        <f t="shared" ca="1" si="248"/>
        <v>5.4176793278244562</v>
      </c>
      <c r="O2129" s="144">
        <f t="shared" ca="1" si="248"/>
        <v>28.065064926046801</v>
      </c>
      <c r="P2129" s="144">
        <f t="shared" ca="1" si="248"/>
        <v>1</v>
      </c>
      <c r="Q2129" s="144">
        <f t="shared" ca="1" si="248"/>
        <v>0.69439622248454969</v>
      </c>
    </row>
    <row r="2130" spans="1:17" x14ac:dyDescent="0.25">
      <c r="A2130" s="145">
        <v>40640</v>
      </c>
      <c r="B2130" s="144">
        <v>1.4282999999999999</v>
      </c>
      <c r="C2130" s="144">
        <v>40.384</v>
      </c>
      <c r="D2130" s="144">
        <v>7.8174999999999999</v>
      </c>
      <c r="E2130" s="144">
        <v>121.7</v>
      </c>
      <c r="F2130" s="144">
        <v>0.87590000000000001</v>
      </c>
      <c r="G2130" s="144">
        <v>1.3118000000000001</v>
      </c>
      <c r="I2130" s="144">
        <v>1</v>
      </c>
      <c r="J2130" s="145">
        <f t="shared" si="247"/>
        <v>40640</v>
      </c>
      <c r="K2130" s="144">
        <f t="shared" ca="1" si="248"/>
        <v>0.91843450255548564</v>
      </c>
      <c r="L2130" s="144">
        <f t="shared" ca="1" si="248"/>
        <v>0.61324651683819931</v>
      </c>
      <c r="M2130" s="144">
        <f t="shared" ca="1" si="248"/>
        <v>85.206189175943436</v>
      </c>
      <c r="N2130" s="144">
        <f t="shared" ca="1" si="248"/>
        <v>5.4732899250857665</v>
      </c>
      <c r="O2130" s="144">
        <f t="shared" ca="1" si="248"/>
        <v>28.274172092697615</v>
      </c>
      <c r="P2130" s="144">
        <f t="shared" ca="1" si="248"/>
        <v>1</v>
      </c>
      <c r="Q2130" s="144">
        <f t="shared" ca="1" si="248"/>
        <v>0.70013302527480226</v>
      </c>
    </row>
    <row r="2131" spans="1:17" x14ac:dyDescent="0.25">
      <c r="A2131" s="145">
        <v>40639</v>
      </c>
      <c r="B2131" s="144">
        <v>1.43</v>
      </c>
      <c r="C2131" s="144">
        <v>40.33</v>
      </c>
      <c r="D2131" s="144">
        <v>7.7850000000000001</v>
      </c>
      <c r="E2131" s="144">
        <v>121.82</v>
      </c>
      <c r="F2131" s="144">
        <v>0.87749999999999995</v>
      </c>
      <c r="G2131" s="144">
        <v>1.3097000000000001</v>
      </c>
      <c r="I2131" s="144">
        <v>1</v>
      </c>
      <c r="J2131" s="145">
        <f t="shared" si="247"/>
        <v>40639</v>
      </c>
      <c r="K2131" s="144">
        <f t="shared" ca="1" si="248"/>
        <v>0.91587412587412598</v>
      </c>
      <c r="L2131" s="144">
        <f t="shared" ca="1" si="248"/>
        <v>0.61363636363636365</v>
      </c>
      <c r="M2131" s="144">
        <f t="shared" ca="1" si="248"/>
        <v>85.188811188811187</v>
      </c>
      <c r="N2131" s="144">
        <f t="shared" ca="1" si="248"/>
        <v>5.4440559440559442</v>
      </c>
      <c r="O2131" s="144">
        <f t="shared" ca="1" si="248"/>
        <v>28.202797202797203</v>
      </c>
      <c r="P2131" s="144">
        <f t="shared" ca="1" si="248"/>
        <v>1</v>
      </c>
      <c r="Q2131" s="144">
        <f t="shared" ca="1" si="248"/>
        <v>0.69930069930069938</v>
      </c>
    </row>
    <row r="2132" spans="1:17" x14ac:dyDescent="0.25">
      <c r="A2132" s="145">
        <v>40638</v>
      </c>
      <c r="B2132" s="144">
        <v>1.4166000000000001</v>
      </c>
      <c r="C2132" s="144">
        <v>40.164999999999999</v>
      </c>
      <c r="D2132" s="144">
        <v>7.7910000000000004</v>
      </c>
      <c r="E2132" s="144">
        <v>119.4</v>
      </c>
      <c r="F2132" s="144">
        <v>0.87285000000000001</v>
      </c>
      <c r="G2132" s="144">
        <v>1.3090999999999999</v>
      </c>
      <c r="I2132" s="144">
        <v>1</v>
      </c>
      <c r="J2132" s="145">
        <f t="shared" si="247"/>
        <v>40638</v>
      </c>
      <c r="K2132" s="144">
        <f t="shared" ca="1" si="248"/>
        <v>0.92411407595651551</v>
      </c>
      <c r="L2132" s="144">
        <f t="shared" ca="1" si="248"/>
        <v>0.61615840745446837</v>
      </c>
      <c r="M2132" s="144">
        <f t="shared" ca="1" si="248"/>
        <v>84.286319356204999</v>
      </c>
      <c r="N2132" s="144">
        <f t="shared" ca="1" si="248"/>
        <v>5.4997882253282508</v>
      </c>
      <c r="O2132" s="144">
        <f t="shared" ca="1" si="248"/>
        <v>28.353098969363263</v>
      </c>
      <c r="P2132" s="144">
        <f t="shared" ca="1" si="248"/>
        <v>1</v>
      </c>
      <c r="Q2132" s="144">
        <f t="shared" ca="1" si="248"/>
        <v>0.70591557249752923</v>
      </c>
    </row>
    <row r="2133" spans="1:17" x14ac:dyDescent="0.25">
      <c r="A2133" s="145">
        <v>40637</v>
      </c>
      <c r="B2133" s="144">
        <v>1.4239999999999999</v>
      </c>
      <c r="C2133" s="144">
        <v>40.244500000000002</v>
      </c>
      <c r="D2133" s="144">
        <v>7.8205</v>
      </c>
      <c r="E2133" s="144">
        <v>119.56</v>
      </c>
      <c r="F2133" s="144">
        <v>0.88095000000000001</v>
      </c>
      <c r="G2133" s="144">
        <v>1.3129999999999999</v>
      </c>
      <c r="I2133" s="144">
        <v>1</v>
      </c>
      <c r="J2133" s="145">
        <f t="shared" si="247"/>
        <v>40637</v>
      </c>
      <c r="K2133" s="144">
        <f t="shared" ca="1" si="248"/>
        <v>0.9220505617977528</v>
      </c>
      <c r="L2133" s="144">
        <f t="shared" ca="1" si="248"/>
        <v>0.61864466292134834</v>
      </c>
      <c r="M2133" s="144">
        <f t="shared" ca="1" si="248"/>
        <v>83.960674157303373</v>
      </c>
      <c r="N2133" s="144">
        <f t="shared" ca="1" si="248"/>
        <v>5.4919241573033712</v>
      </c>
      <c r="O2133" s="144">
        <f t="shared" ca="1" si="248"/>
        <v>28.261587078651687</v>
      </c>
      <c r="P2133" s="144">
        <f t="shared" ca="1" si="248"/>
        <v>1</v>
      </c>
      <c r="Q2133" s="144">
        <f t="shared" ca="1" si="248"/>
        <v>0.702247191011236</v>
      </c>
    </row>
    <row r="2134" spans="1:17" x14ac:dyDescent="0.25">
      <c r="A2134" s="145">
        <v>40636</v>
      </c>
      <c r="B2134" s="144">
        <v>1.4140999999999999</v>
      </c>
      <c r="C2134" s="144">
        <v>40.15</v>
      </c>
      <c r="D2134" s="144">
        <v>7.8055000000000003</v>
      </c>
      <c r="E2134" s="144">
        <v>118.56</v>
      </c>
      <c r="F2134" s="144">
        <v>0.88149999999999995</v>
      </c>
      <c r="G2134" s="144">
        <v>1.3059000000000001</v>
      </c>
      <c r="I2134" s="144">
        <v>1</v>
      </c>
      <c r="J2134" s="145">
        <f t="shared" si="247"/>
        <v>40636</v>
      </c>
      <c r="K2134" s="144">
        <f t="shared" ca="1" si="248"/>
        <v>0.92348490205784606</v>
      </c>
      <c r="L2134" s="144">
        <f t="shared" ca="1" si="248"/>
        <v>0.6233646842514674</v>
      </c>
      <c r="M2134" s="144">
        <f t="shared" ca="1" si="248"/>
        <v>83.84131249558024</v>
      </c>
      <c r="N2134" s="144">
        <f t="shared" ca="1" si="248"/>
        <v>5.5197652216957787</v>
      </c>
      <c r="O2134" s="144">
        <f t="shared" ca="1" si="248"/>
        <v>28.39261721236122</v>
      </c>
      <c r="P2134" s="144">
        <f t="shared" ca="1" si="248"/>
        <v>1</v>
      </c>
      <c r="Q2134" s="144">
        <f t="shared" ca="1" si="248"/>
        <v>0.70716356693303162</v>
      </c>
    </row>
    <row r="2135" spans="1:17" x14ac:dyDescent="0.25">
      <c r="A2135" s="145">
        <v>40635</v>
      </c>
      <c r="B2135" s="144">
        <v>1.4140999999999999</v>
      </c>
      <c r="C2135" s="144">
        <v>40.15</v>
      </c>
      <c r="D2135" s="144">
        <v>7.8055000000000003</v>
      </c>
      <c r="E2135" s="144">
        <v>118.56</v>
      </c>
      <c r="F2135" s="144">
        <v>0.88149999999999995</v>
      </c>
      <c r="G2135" s="144">
        <v>1.3059000000000001</v>
      </c>
      <c r="I2135" s="144">
        <v>1</v>
      </c>
      <c r="J2135" s="145">
        <f t="shared" si="247"/>
        <v>40635</v>
      </c>
      <c r="K2135" s="144">
        <f t="shared" ref="K2135:Q2144" ca="1" si="249">OFFSET($A2135,0,K$3)/OFFSET($A2135,0,$P$3)</f>
        <v>0.92348490205784606</v>
      </c>
      <c r="L2135" s="144">
        <f t="shared" ca="1" si="249"/>
        <v>0.6233646842514674</v>
      </c>
      <c r="M2135" s="144">
        <f t="shared" ca="1" si="249"/>
        <v>83.84131249558024</v>
      </c>
      <c r="N2135" s="144">
        <f t="shared" ca="1" si="249"/>
        <v>5.5197652216957787</v>
      </c>
      <c r="O2135" s="144">
        <f t="shared" ca="1" si="249"/>
        <v>28.39261721236122</v>
      </c>
      <c r="P2135" s="144">
        <f t="shared" ca="1" si="249"/>
        <v>1</v>
      </c>
      <c r="Q2135" s="144">
        <f t="shared" ca="1" si="249"/>
        <v>0.70716356693303162</v>
      </c>
    </row>
    <row r="2136" spans="1:17" x14ac:dyDescent="0.25">
      <c r="A2136" s="145">
        <v>40634</v>
      </c>
      <c r="B2136" s="144">
        <v>1.4140999999999999</v>
      </c>
      <c r="C2136" s="144">
        <v>40.15</v>
      </c>
      <c r="D2136" s="144">
        <v>7.8055000000000003</v>
      </c>
      <c r="E2136" s="144">
        <v>118.56</v>
      </c>
      <c r="F2136" s="144">
        <v>0.88149999999999995</v>
      </c>
      <c r="G2136" s="144">
        <v>1.3059000000000001</v>
      </c>
      <c r="I2136" s="144">
        <v>1</v>
      </c>
      <c r="J2136" s="145">
        <f t="shared" si="247"/>
        <v>40634</v>
      </c>
      <c r="K2136" s="144">
        <f t="shared" ca="1" si="249"/>
        <v>0.92348490205784606</v>
      </c>
      <c r="L2136" s="144">
        <f t="shared" ca="1" si="249"/>
        <v>0.6233646842514674</v>
      </c>
      <c r="M2136" s="144">
        <f t="shared" ca="1" si="249"/>
        <v>83.84131249558024</v>
      </c>
      <c r="N2136" s="144">
        <f t="shared" ca="1" si="249"/>
        <v>5.5197652216957787</v>
      </c>
      <c r="O2136" s="144">
        <f t="shared" ca="1" si="249"/>
        <v>28.39261721236122</v>
      </c>
      <c r="P2136" s="144">
        <f t="shared" ca="1" si="249"/>
        <v>1</v>
      </c>
      <c r="Q2136" s="144">
        <f t="shared" ca="1" si="249"/>
        <v>0.70716356693303162</v>
      </c>
    </row>
    <row r="2137" spans="1:17" x14ac:dyDescent="0.25">
      <c r="A2137" s="145">
        <v>40633</v>
      </c>
      <c r="B2137" s="144">
        <v>1.4207000000000001</v>
      </c>
      <c r="C2137" s="144">
        <v>40.284999999999997</v>
      </c>
      <c r="D2137" s="144">
        <v>7.8330000000000002</v>
      </c>
      <c r="E2137" s="144">
        <v>117.61</v>
      </c>
      <c r="F2137" s="144">
        <v>0.88370000000000004</v>
      </c>
      <c r="G2137" s="144">
        <v>1.3005</v>
      </c>
      <c r="I2137" s="144">
        <v>1</v>
      </c>
      <c r="J2137" s="145">
        <f t="shared" si="247"/>
        <v>40633</v>
      </c>
      <c r="K2137" s="144">
        <f t="shared" ca="1" si="249"/>
        <v>0.91539381994791291</v>
      </c>
      <c r="L2137" s="144">
        <f t="shared" ca="1" si="249"/>
        <v>0.62201731540789751</v>
      </c>
      <c r="M2137" s="144">
        <f t="shared" ca="1" si="249"/>
        <v>82.783135074259164</v>
      </c>
      <c r="N2137" s="144">
        <f t="shared" ca="1" si="249"/>
        <v>5.5134792707820086</v>
      </c>
      <c r="O2137" s="144">
        <f t="shared" ca="1" si="249"/>
        <v>28.355740128105861</v>
      </c>
      <c r="P2137" s="144">
        <f t="shared" ca="1" si="249"/>
        <v>1</v>
      </c>
      <c r="Q2137" s="144">
        <f t="shared" ca="1" si="249"/>
        <v>0.70387836981769547</v>
      </c>
    </row>
    <row r="2138" spans="1:17" x14ac:dyDescent="0.25">
      <c r="A2138" s="145">
        <v>40632</v>
      </c>
      <c r="B2138" s="144">
        <v>1.409</v>
      </c>
      <c r="C2138" s="144">
        <v>40.246200000000002</v>
      </c>
      <c r="D2138" s="144">
        <v>7.8674999999999997</v>
      </c>
      <c r="E2138" s="144">
        <v>117.01</v>
      </c>
      <c r="F2138" s="144">
        <v>0.87890000000000001</v>
      </c>
      <c r="G2138" s="144">
        <v>1.2992999999999999</v>
      </c>
      <c r="I2138" s="144">
        <v>1</v>
      </c>
      <c r="J2138" s="145">
        <f t="shared" si="247"/>
        <v>40632</v>
      </c>
      <c r="K2138" s="144">
        <f t="shared" ca="1" si="249"/>
        <v>0.92214336408800557</v>
      </c>
      <c r="L2138" s="144">
        <f t="shared" ca="1" si="249"/>
        <v>0.62377572746628818</v>
      </c>
      <c r="M2138" s="144">
        <f t="shared" ca="1" si="249"/>
        <v>83.044712562100784</v>
      </c>
      <c r="N2138" s="144">
        <f t="shared" ca="1" si="249"/>
        <v>5.5837473385379699</v>
      </c>
      <c r="O2138" s="144">
        <f t="shared" ca="1" si="249"/>
        <v>28.563662171753016</v>
      </c>
      <c r="P2138" s="144">
        <f t="shared" ca="1" si="249"/>
        <v>1</v>
      </c>
      <c r="Q2138" s="144">
        <f t="shared" ca="1" si="249"/>
        <v>0.70972320794889987</v>
      </c>
    </row>
    <row r="2139" spans="1:17" x14ac:dyDescent="0.25">
      <c r="A2139" s="145">
        <v>40631</v>
      </c>
      <c r="B2139" s="144">
        <v>1.4066000000000001</v>
      </c>
      <c r="C2139" s="144">
        <v>39.966000000000001</v>
      </c>
      <c r="D2139" s="144">
        <v>7.9039999999999999</v>
      </c>
      <c r="E2139" s="144">
        <v>115.6</v>
      </c>
      <c r="F2139" s="144">
        <v>0.88144999999999996</v>
      </c>
      <c r="G2139" s="144">
        <v>1.2957000000000001</v>
      </c>
      <c r="I2139" s="144">
        <v>1</v>
      </c>
      <c r="J2139" s="145">
        <f t="shared" si="247"/>
        <v>40631</v>
      </c>
      <c r="K2139" s="144">
        <f t="shared" ca="1" si="249"/>
        <v>0.92115740082468367</v>
      </c>
      <c r="L2139" s="144">
        <f t="shared" ca="1" si="249"/>
        <v>0.62665292193942834</v>
      </c>
      <c r="M2139" s="144">
        <f t="shared" ca="1" si="249"/>
        <v>82.183989762547981</v>
      </c>
      <c r="N2139" s="144">
        <f t="shared" ca="1" si="249"/>
        <v>5.6192236598890943</v>
      </c>
      <c r="O2139" s="144">
        <f t="shared" ca="1" si="249"/>
        <v>28.413194938148727</v>
      </c>
      <c r="P2139" s="144">
        <f t="shared" ca="1" si="249"/>
        <v>1</v>
      </c>
      <c r="Q2139" s="144">
        <f t="shared" ca="1" si="249"/>
        <v>0.71093416749608984</v>
      </c>
    </row>
    <row r="2140" spans="1:17" x14ac:dyDescent="0.25">
      <c r="A2140" s="145">
        <v>40630</v>
      </c>
      <c r="B2140" s="144">
        <v>1.4032</v>
      </c>
      <c r="C2140" s="144">
        <v>39.841999999999999</v>
      </c>
      <c r="D2140" s="144">
        <v>7.8745000000000003</v>
      </c>
      <c r="E2140" s="144">
        <v>114.59</v>
      </c>
      <c r="F2140" s="144">
        <v>0.87824999999999998</v>
      </c>
      <c r="G2140" s="144">
        <v>1.2907999999999999</v>
      </c>
      <c r="I2140" s="144">
        <v>1</v>
      </c>
      <c r="J2140" s="145">
        <f t="shared" si="247"/>
        <v>40630</v>
      </c>
      <c r="K2140" s="144">
        <f t="shared" ca="1" si="249"/>
        <v>0.91989737742303301</v>
      </c>
      <c r="L2140" s="144">
        <f t="shared" ca="1" si="249"/>
        <v>0.62589082098061577</v>
      </c>
      <c r="M2140" s="144">
        <f t="shared" ca="1" si="249"/>
        <v>81.663340935005706</v>
      </c>
      <c r="N2140" s="144">
        <f t="shared" ca="1" si="249"/>
        <v>5.6118158494868871</v>
      </c>
      <c r="O2140" s="144">
        <f t="shared" ca="1" si="249"/>
        <v>28.393671607753706</v>
      </c>
      <c r="P2140" s="144">
        <f t="shared" ca="1" si="249"/>
        <v>1</v>
      </c>
      <c r="Q2140" s="144">
        <f t="shared" ca="1" si="249"/>
        <v>0.7126567844925884</v>
      </c>
    </row>
    <row r="2141" spans="1:17" x14ac:dyDescent="0.25">
      <c r="A2141" s="145">
        <v>40629</v>
      </c>
      <c r="B2141" s="144">
        <v>1.4115</v>
      </c>
      <c r="C2141" s="144">
        <v>39.966500000000003</v>
      </c>
      <c r="D2141" s="144">
        <v>7.8840000000000003</v>
      </c>
      <c r="E2141" s="144">
        <v>114.57</v>
      </c>
      <c r="F2141" s="144">
        <v>0.87780000000000002</v>
      </c>
      <c r="G2141" s="144">
        <v>1.2915000000000001</v>
      </c>
      <c r="I2141" s="144">
        <v>1</v>
      </c>
      <c r="J2141" s="145">
        <f t="shared" si="247"/>
        <v>40629</v>
      </c>
      <c r="K2141" s="144">
        <f t="shared" ca="1" si="249"/>
        <v>0.91498405951115847</v>
      </c>
      <c r="L2141" s="144">
        <f t="shared" ca="1" si="249"/>
        <v>0.62189160467587679</v>
      </c>
      <c r="M2141" s="144">
        <f t="shared" ca="1" si="249"/>
        <v>81.168969181721565</v>
      </c>
      <c r="N2141" s="144">
        <f t="shared" ca="1" si="249"/>
        <v>5.5855472901168977</v>
      </c>
      <c r="O2141" s="144">
        <f t="shared" ca="1" si="249"/>
        <v>28.314913212894087</v>
      </c>
      <c r="P2141" s="144">
        <f t="shared" ca="1" si="249"/>
        <v>1</v>
      </c>
      <c r="Q2141" s="144">
        <f t="shared" ca="1" si="249"/>
        <v>0.70846617074034712</v>
      </c>
    </row>
    <row r="2142" spans="1:17" x14ac:dyDescent="0.25">
      <c r="A2142" s="145">
        <v>40628</v>
      </c>
      <c r="B2142" s="144">
        <v>1.4115</v>
      </c>
      <c r="C2142" s="144">
        <v>39.966500000000003</v>
      </c>
      <c r="D2142" s="144">
        <v>7.8840000000000003</v>
      </c>
      <c r="E2142" s="144">
        <v>114.57</v>
      </c>
      <c r="F2142" s="144">
        <v>0.87780000000000002</v>
      </c>
      <c r="G2142" s="144">
        <v>1.2915000000000001</v>
      </c>
      <c r="I2142" s="144">
        <v>1</v>
      </c>
      <c r="J2142" s="145">
        <f t="shared" si="247"/>
        <v>40628</v>
      </c>
      <c r="K2142" s="144">
        <f t="shared" ca="1" si="249"/>
        <v>0.91498405951115847</v>
      </c>
      <c r="L2142" s="144">
        <f t="shared" ca="1" si="249"/>
        <v>0.62189160467587679</v>
      </c>
      <c r="M2142" s="144">
        <f t="shared" ca="1" si="249"/>
        <v>81.168969181721565</v>
      </c>
      <c r="N2142" s="144">
        <f t="shared" ca="1" si="249"/>
        <v>5.5855472901168977</v>
      </c>
      <c r="O2142" s="144">
        <f t="shared" ca="1" si="249"/>
        <v>28.314913212894087</v>
      </c>
      <c r="P2142" s="144">
        <f t="shared" ca="1" si="249"/>
        <v>1</v>
      </c>
      <c r="Q2142" s="144">
        <f t="shared" ca="1" si="249"/>
        <v>0.70846617074034712</v>
      </c>
    </row>
    <row r="2143" spans="1:17" x14ac:dyDescent="0.25">
      <c r="A2143" s="145">
        <v>40627</v>
      </c>
      <c r="B2143" s="144">
        <v>1.4115</v>
      </c>
      <c r="C2143" s="144">
        <v>39.966500000000003</v>
      </c>
      <c r="D2143" s="144">
        <v>7.8840000000000003</v>
      </c>
      <c r="E2143" s="144">
        <v>114.57</v>
      </c>
      <c r="F2143" s="144">
        <v>0.87780000000000002</v>
      </c>
      <c r="G2143" s="144">
        <v>1.2915000000000001</v>
      </c>
      <c r="I2143" s="144">
        <v>1</v>
      </c>
      <c r="J2143" s="145">
        <f t="shared" si="247"/>
        <v>40627</v>
      </c>
      <c r="K2143" s="144">
        <f t="shared" ca="1" si="249"/>
        <v>0.91498405951115847</v>
      </c>
      <c r="L2143" s="144">
        <f t="shared" ca="1" si="249"/>
        <v>0.62189160467587679</v>
      </c>
      <c r="M2143" s="144">
        <f t="shared" ca="1" si="249"/>
        <v>81.168969181721565</v>
      </c>
      <c r="N2143" s="144">
        <f t="shared" ca="1" si="249"/>
        <v>5.5855472901168977</v>
      </c>
      <c r="O2143" s="144">
        <f t="shared" ca="1" si="249"/>
        <v>28.314913212894087</v>
      </c>
      <c r="P2143" s="144">
        <f t="shared" ca="1" si="249"/>
        <v>1</v>
      </c>
      <c r="Q2143" s="144">
        <f t="shared" ca="1" si="249"/>
        <v>0.70846617074034712</v>
      </c>
    </row>
    <row r="2144" spans="1:17" x14ac:dyDescent="0.25">
      <c r="A2144" s="145">
        <v>40626</v>
      </c>
      <c r="B2144" s="144">
        <v>1.4128000000000001</v>
      </c>
      <c r="C2144" s="144">
        <v>40.048499999999997</v>
      </c>
      <c r="D2144" s="144">
        <v>7.883</v>
      </c>
      <c r="E2144" s="144">
        <v>114.34</v>
      </c>
      <c r="F2144" s="144">
        <v>0.87409999999999999</v>
      </c>
      <c r="G2144" s="144">
        <v>1.2817000000000001</v>
      </c>
      <c r="I2144" s="144">
        <v>1</v>
      </c>
      <c r="J2144" s="145">
        <f t="shared" si="247"/>
        <v>40626</v>
      </c>
      <c r="K2144" s="144">
        <f t="shared" ca="1" si="249"/>
        <v>0.9072055492638732</v>
      </c>
      <c r="L2144" s="144">
        <f t="shared" ca="1" si="249"/>
        <v>0.61870045300113252</v>
      </c>
      <c r="M2144" s="144">
        <f t="shared" ca="1" si="249"/>
        <v>80.931483578708949</v>
      </c>
      <c r="N2144" s="144">
        <f t="shared" ca="1" si="249"/>
        <v>5.579699886749717</v>
      </c>
      <c r="O2144" s="144">
        <f t="shared" ca="1" si="249"/>
        <v>28.34689977349943</v>
      </c>
      <c r="P2144" s="144">
        <f t="shared" ca="1" si="249"/>
        <v>1</v>
      </c>
      <c r="Q2144" s="144">
        <f t="shared" ca="1" si="249"/>
        <v>0.70781426953567383</v>
      </c>
    </row>
    <row r="2145" spans="1:17" x14ac:dyDescent="0.25">
      <c r="A2145" s="145">
        <v>40625</v>
      </c>
      <c r="B2145" s="144">
        <v>1.4136</v>
      </c>
      <c r="C2145" s="144">
        <v>40.032499999999999</v>
      </c>
      <c r="D2145" s="144">
        <v>7.891</v>
      </c>
      <c r="E2145" s="144">
        <v>114.42</v>
      </c>
      <c r="F2145" s="144">
        <v>0.86990000000000001</v>
      </c>
      <c r="G2145" s="144">
        <v>1.2746</v>
      </c>
      <c r="I2145" s="144">
        <v>1</v>
      </c>
      <c r="J2145" s="145">
        <f t="shared" si="247"/>
        <v>40625</v>
      </c>
      <c r="K2145" s="144">
        <f t="shared" ref="K2145:Q2154" ca="1" si="250">OFFSET($A2145,0,K$3)/OFFSET($A2145,0,$P$3)</f>
        <v>0.90166949632144877</v>
      </c>
      <c r="L2145" s="144">
        <f t="shared" ca="1" si="250"/>
        <v>0.61537917374080364</v>
      </c>
      <c r="M2145" s="144">
        <f t="shared" ca="1" si="250"/>
        <v>80.94227504244482</v>
      </c>
      <c r="N2145" s="144">
        <f t="shared" ca="1" si="250"/>
        <v>5.5822014714204871</v>
      </c>
      <c r="O2145" s="144">
        <f t="shared" ca="1" si="250"/>
        <v>28.319538766270515</v>
      </c>
      <c r="P2145" s="144">
        <f t="shared" ca="1" si="250"/>
        <v>1</v>
      </c>
      <c r="Q2145" s="144">
        <f t="shared" ca="1" si="250"/>
        <v>0.70741369552914546</v>
      </c>
    </row>
    <row r="2146" spans="1:17" x14ac:dyDescent="0.25">
      <c r="A2146" s="145">
        <v>40624</v>
      </c>
      <c r="B2146" s="144">
        <v>1.4211</v>
      </c>
      <c r="C2146" s="144">
        <v>40.098999999999997</v>
      </c>
      <c r="D2146" s="144">
        <v>7.9059999999999997</v>
      </c>
      <c r="E2146" s="144">
        <v>115.15</v>
      </c>
      <c r="F2146" s="144">
        <v>0.86780000000000002</v>
      </c>
      <c r="G2146" s="144">
        <v>1.2843</v>
      </c>
      <c r="I2146" s="144">
        <v>1</v>
      </c>
      <c r="J2146" s="145">
        <f t="shared" si="247"/>
        <v>40624</v>
      </c>
      <c r="K2146" s="144">
        <f t="shared" ca="1" si="250"/>
        <v>0.90373654211526278</v>
      </c>
      <c r="L2146" s="144">
        <f t="shared" ca="1" si="250"/>
        <v>0.61065371895010911</v>
      </c>
      <c r="M2146" s="144">
        <f t="shared" ca="1" si="250"/>
        <v>81.028780522130745</v>
      </c>
      <c r="N2146" s="144">
        <f t="shared" ca="1" si="250"/>
        <v>5.563296038280205</v>
      </c>
      <c r="O2146" s="144">
        <f t="shared" ca="1" si="250"/>
        <v>28.216874252339736</v>
      </c>
      <c r="P2146" s="144">
        <f t="shared" ca="1" si="250"/>
        <v>1</v>
      </c>
      <c r="Q2146" s="144">
        <f t="shared" ca="1" si="250"/>
        <v>0.70368024769544713</v>
      </c>
    </row>
    <row r="2147" spans="1:17" x14ac:dyDescent="0.25">
      <c r="A2147" s="145">
        <v>40623</v>
      </c>
      <c r="B2147" s="144">
        <v>1.4194</v>
      </c>
      <c r="C2147" s="144">
        <v>40.140500000000003</v>
      </c>
      <c r="D2147" s="144">
        <v>7.8795000000000002</v>
      </c>
      <c r="E2147" s="144">
        <v>115.04</v>
      </c>
      <c r="F2147" s="144">
        <v>0.87170000000000003</v>
      </c>
      <c r="G2147" s="144">
        <v>1.2836000000000001</v>
      </c>
      <c r="I2147" s="144">
        <v>1</v>
      </c>
      <c r="J2147" s="145">
        <f t="shared" si="247"/>
        <v>40623</v>
      </c>
      <c r="K2147" s="144">
        <f t="shared" ca="1" si="250"/>
        <v>0.90432577145272652</v>
      </c>
      <c r="L2147" s="144">
        <f t="shared" ca="1" si="250"/>
        <v>0.61413273214034103</v>
      </c>
      <c r="M2147" s="144">
        <f t="shared" ca="1" si="250"/>
        <v>81.04833028040018</v>
      </c>
      <c r="N2147" s="144">
        <f t="shared" ca="1" si="250"/>
        <v>5.5512892771593636</v>
      </c>
      <c r="O2147" s="144">
        <f t="shared" ca="1" si="250"/>
        <v>28.279907002959</v>
      </c>
      <c r="P2147" s="144">
        <f t="shared" ca="1" si="250"/>
        <v>1</v>
      </c>
      <c r="Q2147" s="144">
        <f t="shared" ca="1" si="250"/>
        <v>0.70452303790333948</v>
      </c>
    </row>
    <row r="2148" spans="1:17" x14ac:dyDescent="0.25">
      <c r="A2148" s="145">
        <v>40622</v>
      </c>
      <c r="B2148" s="144">
        <v>1.413</v>
      </c>
      <c r="C2148" s="144">
        <v>40.235500000000002</v>
      </c>
      <c r="D2148" s="144">
        <v>7.883</v>
      </c>
      <c r="E2148" s="144">
        <v>114.68</v>
      </c>
      <c r="F2148" s="144">
        <v>0.87380000000000002</v>
      </c>
      <c r="G2148" s="144">
        <v>1.2758</v>
      </c>
      <c r="I2148" s="144">
        <v>1</v>
      </c>
      <c r="J2148" s="145">
        <f t="shared" si="247"/>
        <v>40622</v>
      </c>
      <c r="K2148" s="144">
        <f t="shared" ca="1" si="250"/>
        <v>0.90290162774239213</v>
      </c>
      <c r="L2148" s="144">
        <f t="shared" ca="1" si="250"/>
        <v>0.61840056617126682</v>
      </c>
      <c r="M2148" s="144">
        <f t="shared" ca="1" si="250"/>
        <v>81.160651096956826</v>
      </c>
      <c r="N2148" s="144">
        <f t="shared" ca="1" si="250"/>
        <v>5.5789101203113942</v>
      </c>
      <c r="O2148" s="144">
        <f t="shared" ca="1" si="250"/>
        <v>28.47523000707714</v>
      </c>
      <c r="P2148" s="144">
        <f t="shared" ca="1" si="250"/>
        <v>1</v>
      </c>
      <c r="Q2148" s="144">
        <f t="shared" ca="1" si="250"/>
        <v>0.70771408351026188</v>
      </c>
    </row>
    <row r="2149" spans="1:17" x14ac:dyDescent="0.25">
      <c r="A2149" s="145">
        <v>40621</v>
      </c>
      <c r="B2149" s="144">
        <v>1.413</v>
      </c>
      <c r="C2149" s="144">
        <v>40.235500000000002</v>
      </c>
      <c r="D2149" s="144">
        <v>7.883</v>
      </c>
      <c r="E2149" s="144">
        <v>114.68</v>
      </c>
      <c r="F2149" s="144">
        <v>0.87380000000000002</v>
      </c>
      <c r="G2149" s="144">
        <v>1.2758</v>
      </c>
      <c r="I2149" s="144">
        <v>1</v>
      </c>
      <c r="J2149" s="145">
        <f t="shared" si="247"/>
        <v>40621</v>
      </c>
      <c r="K2149" s="144">
        <f t="shared" ca="1" si="250"/>
        <v>0.90290162774239213</v>
      </c>
      <c r="L2149" s="144">
        <f t="shared" ca="1" si="250"/>
        <v>0.61840056617126682</v>
      </c>
      <c r="M2149" s="144">
        <f t="shared" ca="1" si="250"/>
        <v>81.160651096956826</v>
      </c>
      <c r="N2149" s="144">
        <f t="shared" ca="1" si="250"/>
        <v>5.5789101203113942</v>
      </c>
      <c r="O2149" s="144">
        <f t="shared" ca="1" si="250"/>
        <v>28.47523000707714</v>
      </c>
      <c r="P2149" s="144">
        <f t="shared" ca="1" si="250"/>
        <v>1</v>
      </c>
      <c r="Q2149" s="144">
        <f t="shared" ca="1" si="250"/>
        <v>0.70771408351026188</v>
      </c>
    </row>
    <row r="2150" spans="1:17" x14ac:dyDescent="0.25">
      <c r="A2150" s="145">
        <v>40620</v>
      </c>
      <c r="B2150" s="144">
        <v>1.413</v>
      </c>
      <c r="C2150" s="144">
        <v>40.235500000000002</v>
      </c>
      <c r="D2150" s="144">
        <v>7.883</v>
      </c>
      <c r="E2150" s="144">
        <v>114.68</v>
      </c>
      <c r="F2150" s="144">
        <v>0.87380000000000002</v>
      </c>
      <c r="G2150" s="144">
        <v>1.2758</v>
      </c>
      <c r="I2150" s="144">
        <v>1</v>
      </c>
      <c r="J2150" s="145">
        <f t="shared" si="247"/>
        <v>40620</v>
      </c>
      <c r="K2150" s="144">
        <f t="shared" ca="1" si="250"/>
        <v>0.90290162774239213</v>
      </c>
      <c r="L2150" s="144">
        <f t="shared" ca="1" si="250"/>
        <v>0.61840056617126682</v>
      </c>
      <c r="M2150" s="144">
        <f t="shared" ca="1" si="250"/>
        <v>81.160651096956826</v>
      </c>
      <c r="N2150" s="144">
        <f t="shared" ca="1" si="250"/>
        <v>5.5789101203113942</v>
      </c>
      <c r="O2150" s="144">
        <f t="shared" ca="1" si="250"/>
        <v>28.47523000707714</v>
      </c>
      <c r="P2150" s="144">
        <f t="shared" ca="1" si="250"/>
        <v>1</v>
      </c>
      <c r="Q2150" s="144">
        <f t="shared" ca="1" si="250"/>
        <v>0.70771408351026188</v>
      </c>
    </row>
    <row r="2151" spans="1:17" x14ac:dyDescent="0.25">
      <c r="A2151" s="145">
        <v>40619</v>
      </c>
      <c r="B2151" s="144">
        <v>1.4004000000000001</v>
      </c>
      <c r="C2151" s="144">
        <v>40.090000000000003</v>
      </c>
      <c r="D2151" s="144">
        <v>7.8985000000000003</v>
      </c>
      <c r="E2151" s="144">
        <v>110.42</v>
      </c>
      <c r="F2151" s="144">
        <v>0.86745000000000005</v>
      </c>
      <c r="G2151" s="144">
        <v>1.2625</v>
      </c>
      <c r="I2151" s="144">
        <v>1</v>
      </c>
      <c r="J2151" s="145">
        <f t="shared" si="247"/>
        <v>40619</v>
      </c>
      <c r="K2151" s="144">
        <f t="shared" ca="1" si="250"/>
        <v>0.90152813481862315</v>
      </c>
      <c r="L2151" s="144">
        <f t="shared" ca="1" si="250"/>
        <v>0.61943016281062557</v>
      </c>
      <c r="M2151" s="144">
        <f t="shared" ca="1" si="250"/>
        <v>78.848900314195944</v>
      </c>
      <c r="N2151" s="144">
        <f t="shared" ca="1" si="250"/>
        <v>5.6401742359325908</v>
      </c>
      <c r="O2151" s="144">
        <f t="shared" ca="1" si="250"/>
        <v>28.627534990002857</v>
      </c>
      <c r="P2151" s="144">
        <f t="shared" ca="1" si="250"/>
        <v>1</v>
      </c>
      <c r="Q2151" s="144">
        <f t="shared" ca="1" si="250"/>
        <v>0.71408169094544416</v>
      </c>
    </row>
    <row r="2152" spans="1:17" x14ac:dyDescent="0.25">
      <c r="A2152" s="145">
        <v>40618</v>
      </c>
      <c r="B2152" s="144">
        <v>1.3951</v>
      </c>
      <c r="C2152" s="144">
        <v>39.963999999999999</v>
      </c>
      <c r="D2152" s="144">
        <v>7.8689999999999998</v>
      </c>
      <c r="E2152" s="144">
        <v>112.43</v>
      </c>
      <c r="F2152" s="144">
        <v>0.86729999999999996</v>
      </c>
      <c r="G2152" s="144">
        <v>1.2755000000000001</v>
      </c>
      <c r="I2152" s="144">
        <v>1</v>
      </c>
      <c r="J2152" s="145">
        <f t="shared" si="247"/>
        <v>40618</v>
      </c>
      <c r="K2152" s="144">
        <f t="shared" ca="1" si="250"/>
        <v>0.91427137839581396</v>
      </c>
      <c r="L2152" s="144">
        <f t="shared" ca="1" si="250"/>
        <v>0.62167586552935272</v>
      </c>
      <c r="M2152" s="144">
        <f t="shared" ca="1" si="250"/>
        <v>80.589205074905024</v>
      </c>
      <c r="N2152" s="144">
        <f t="shared" ca="1" si="250"/>
        <v>5.6404558812988315</v>
      </c>
      <c r="O2152" s="144">
        <f t="shared" ca="1" si="250"/>
        <v>28.64597519891047</v>
      </c>
      <c r="P2152" s="144">
        <f t="shared" ca="1" si="250"/>
        <v>1</v>
      </c>
      <c r="Q2152" s="144">
        <f t="shared" ca="1" si="250"/>
        <v>0.7167944950182783</v>
      </c>
    </row>
    <row r="2153" spans="1:17" x14ac:dyDescent="0.25">
      <c r="A2153" s="145">
        <v>40617</v>
      </c>
      <c r="B2153" s="144">
        <v>1.3884000000000001</v>
      </c>
      <c r="C2153" s="144">
        <v>40.102499999999999</v>
      </c>
      <c r="D2153" s="144">
        <v>7.9139999999999997</v>
      </c>
      <c r="E2153" s="144">
        <v>112.39</v>
      </c>
      <c r="F2153" s="144">
        <v>0.86739999999999995</v>
      </c>
      <c r="G2153" s="144">
        <v>1.2756000000000001</v>
      </c>
      <c r="I2153" s="144">
        <v>1</v>
      </c>
      <c r="J2153" s="145">
        <f t="shared" si="247"/>
        <v>40617</v>
      </c>
      <c r="K2153" s="144">
        <f t="shared" ca="1" si="250"/>
        <v>0.91875540190146932</v>
      </c>
      <c r="L2153" s="144">
        <f t="shared" ca="1" si="250"/>
        <v>0.62474791126476514</v>
      </c>
      <c r="M2153" s="144">
        <f t="shared" ca="1" si="250"/>
        <v>80.949294151541338</v>
      </c>
      <c r="N2153" s="144">
        <f t="shared" ca="1" si="250"/>
        <v>5.7000864304235082</v>
      </c>
      <c r="O2153" s="144">
        <f t="shared" ca="1" si="250"/>
        <v>28.883967156439063</v>
      </c>
      <c r="P2153" s="144">
        <f t="shared" ca="1" si="250"/>
        <v>1</v>
      </c>
      <c r="Q2153" s="144">
        <f t="shared" ca="1" si="250"/>
        <v>0.72025352924229324</v>
      </c>
    </row>
    <row r="2154" spans="1:17" x14ac:dyDescent="0.25">
      <c r="A2154" s="145">
        <v>40616</v>
      </c>
      <c r="B2154" s="144">
        <v>1.3948</v>
      </c>
      <c r="C2154" s="144">
        <v>39.837699999999998</v>
      </c>
      <c r="D2154" s="144">
        <v>7.8289999999999997</v>
      </c>
      <c r="E2154" s="144">
        <v>114.16</v>
      </c>
      <c r="F2154" s="144">
        <v>0.8659</v>
      </c>
      <c r="G2154" s="144">
        <v>1.2941</v>
      </c>
      <c r="I2154" s="144">
        <v>1</v>
      </c>
      <c r="J2154" s="145">
        <f t="shared" si="247"/>
        <v>40616</v>
      </c>
      <c r="K2154" s="144">
        <f t="shared" ca="1" si="250"/>
        <v>0.92780326928591916</v>
      </c>
      <c r="L2154" s="144">
        <f t="shared" ca="1" si="250"/>
        <v>0.62080585030111846</v>
      </c>
      <c r="M2154" s="144">
        <f t="shared" ca="1" si="250"/>
        <v>81.846859764840829</v>
      </c>
      <c r="N2154" s="144">
        <f t="shared" ca="1" si="250"/>
        <v>5.6129911098365355</v>
      </c>
      <c r="O2154" s="144">
        <f t="shared" ca="1" si="250"/>
        <v>28.561585890450242</v>
      </c>
      <c r="P2154" s="144">
        <f t="shared" ca="1" si="250"/>
        <v>1</v>
      </c>
      <c r="Q2154" s="144">
        <f t="shared" ca="1" si="250"/>
        <v>0.71694866647548039</v>
      </c>
    </row>
    <row r="2155" spans="1:17" x14ac:dyDescent="0.25">
      <c r="A2155" s="145">
        <v>40615</v>
      </c>
      <c r="B2155" s="144">
        <v>1.3773</v>
      </c>
      <c r="C2155" s="144">
        <v>39.582000000000001</v>
      </c>
      <c r="D2155" s="144">
        <v>7.8055000000000003</v>
      </c>
      <c r="E2155" s="144">
        <v>113.24</v>
      </c>
      <c r="F2155" s="144">
        <v>0.86119999999999997</v>
      </c>
      <c r="G2155" s="144">
        <v>1.2842</v>
      </c>
      <c r="I2155" s="144">
        <v>1</v>
      </c>
      <c r="J2155" s="145">
        <f t="shared" si="247"/>
        <v>40615</v>
      </c>
      <c r="K2155" s="144">
        <f t="shared" ref="K2155:Q2164" ca="1" si="251">OFFSET($A2155,0,K$3)/OFFSET($A2155,0,$P$3)</f>
        <v>0.93240397879909975</v>
      </c>
      <c r="L2155" s="144">
        <f t="shared" ca="1" si="251"/>
        <v>0.62528134756407461</v>
      </c>
      <c r="M2155" s="144">
        <f t="shared" ca="1" si="251"/>
        <v>82.218833950482832</v>
      </c>
      <c r="N2155" s="144">
        <f t="shared" ca="1" si="251"/>
        <v>5.6672475132505626</v>
      </c>
      <c r="O2155" s="144">
        <f t="shared" ca="1" si="251"/>
        <v>28.73883685471575</v>
      </c>
      <c r="P2155" s="144">
        <f t="shared" ca="1" si="251"/>
        <v>1</v>
      </c>
      <c r="Q2155" s="144">
        <f t="shared" ca="1" si="251"/>
        <v>0.72605822987003554</v>
      </c>
    </row>
    <row r="2156" spans="1:17" x14ac:dyDescent="0.25">
      <c r="A2156" s="145">
        <v>40614</v>
      </c>
      <c r="B2156" s="144">
        <v>1.3773</v>
      </c>
      <c r="C2156" s="144">
        <v>39.582000000000001</v>
      </c>
      <c r="D2156" s="144">
        <v>7.8055000000000003</v>
      </c>
      <c r="E2156" s="144">
        <v>113.24</v>
      </c>
      <c r="F2156" s="144">
        <v>0.86119999999999997</v>
      </c>
      <c r="G2156" s="144">
        <v>1.2842</v>
      </c>
      <c r="I2156" s="144">
        <v>1</v>
      </c>
      <c r="J2156" s="145">
        <f t="shared" si="247"/>
        <v>40614</v>
      </c>
      <c r="K2156" s="144">
        <f t="shared" ca="1" si="251"/>
        <v>0.93240397879909975</v>
      </c>
      <c r="L2156" s="144">
        <f t="shared" ca="1" si="251"/>
        <v>0.62528134756407461</v>
      </c>
      <c r="M2156" s="144">
        <f t="shared" ca="1" si="251"/>
        <v>82.218833950482832</v>
      </c>
      <c r="N2156" s="144">
        <f t="shared" ca="1" si="251"/>
        <v>5.6672475132505626</v>
      </c>
      <c r="O2156" s="144">
        <f t="shared" ca="1" si="251"/>
        <v>28.73883685471575</v>
      </c>
      <c r="P2156" s="144">
        <f t="shared" ca="1" si="251"/>
        <v>1</v>
      </c>
      <c r="Q2156" s="144">
        <f t="shared" ca="1" si="251"/>
        <v>0.72605822987003554</v>
      </c>
    </row>
    <row r="2157" spans="1:17" x14ac:dyDescent="0.25">
      <c r="A2157" s="145">
        <v>40613</v>
      </c>
      <c r="B2157" s="144">
        <v>1.3773</v>
      </c>
      <c r="C2157" s="144">
        <v>39.582000000000001</v>
      </c>
      <c r="D2157" s="144">
        <v>7.8055000000000003</v>
      </c>
      <c r="E2157" s="144">
        <v>113.24</v>
      </c>
      <c r="F2157" s="144">
        <v>0.86119999999999997</v>
      </c>
      <c r="G2157" s="144">
        <v>1.2842</v>
      </c>
      <c r="I2157" s="144">
        <v>1</v>
      </c>
      <c r="J2157" s="145">
        <f t="shared" si="247"/>
        <v>40613</v>
      </c>
      <c r="K2157" s="144">
        <f t="shared" ca="1" si="251"/>
        <v>0.93240397879909975</v>
      </c>
      <c r="L2157" s="144">
        <f t="shared" ca="1" si="251"/>
        <v>0.62528134756407461</v>
      </c>
      <c r="M2157" s="144">
        <f t="shared" ca="1" si="251"/>
        <v>82.218833950482832</v>
      </c>
      <c r="N2157" s="144">
        <f t="shared" ca="1" si="251"/>
        <v>5.6672475132505626</v>
      </c>
      <c r="O2157" s="144">
        <f t="shared" ca="1" si="251"/>
        <v>28.73883685471575</v>
      </c>
      <c r="P2157" s="144">
        <f t="shared" ca="1" si="251"/>
        <v>1</v>
      </c>
      <c r="Q2157" s="144">
        <f t="shared" ca="1" si="251"/>
        <v>0.72605822987003554</v>
      </c>
    </row>
    <row r="2158" spans="1:17" x14ac:dyDescent="0.25">
      <c r="A2158" s="145">
        <v>40612</v>
      </c>
      <c r="B2158" s="144">
        <v>1.3816999999999999</v>
      </c>
      <c r="C2158" s="144">
        <v>39.409999999999997</v>
      </c>
      <c r="D2158" s="144">
        <v>7.782</v>
      </c>
      <c r="E2158" s="144">
        <v>114.78</v>
      </c>
      <c r="F2158" s="144">
        <v>0.85655000000000003</v>
      </c>
      <c r="G2158" s="144">
        <v>1.2914000000000001</v>
      </c>
      <c r="I2158" s="144">
        <v>1</v>
      </c>
      <c r="J2158" s="145">
        <f t="shared" si="247"/>
        <v>40612</v>
      </c>
      <c r="K2158" s="144">
        <f t="shared" ca="1" si="251"/>
        <v>0.93464572627922138</v>
      </c>
      <c r="L2158" s="144">
        <f t="shared" ca="1" si="251"/>
        <v>0.61992473040457419</v>
      </c>
      <c r="M2158" s="144">
        <f t="shared" ca="1" si="251"/>
        <v>83.071578490265622</v>
      </c>
      <c r="N2158" s="144">
        <f t="shared" ca="1" si="251"/>
        <v>5.6321922269667803</v>
      </c>
      <c r="O2158" s="144">
        <f t="shared" ca="1" si="251"/>
        <v>28.522834189766229</v>
      </c>
      <c r="P2158" s="144">
        <f t="shared" ca="1" si="251"/>
        <v>1</v>
      </c>
      <c r="Q2158" s="144">
        <f t="shared" ca="1" si="251"/>
        <v>0.72374610986465948</v>
      </c>
    </row>
    <row r="2159" spans="1:17" x14ac:dyDescent="0.25">
      <c r="A2159" s="145">
        <v>40611</v>
      </c>
      <c r="B2159" s="144">
        <v>1.3928</v>
      </c>
      <c r="C2159" s="144">
        <v>39.475000000000001</v>
      </c>
      <c r="D2159" s="144">
        <v>7.7510000000000003</v>
      </c>
      <c r="E2159" s="144">
        <v>115.14</v>
      </c>
      <c r="F2159" s="144">
        <v>0.85899999999999999</v>
      </c>
      <c r="G2159" s="144">
        <v>1.292</v>
      </c>
      <c r="I2159" s="144">
        <v>1</v>
      </c>
      <c r="J2159" s="145">
        <f t="shared" si="247"/>
        <v>40611</v>
      </c>
      <c r="K2159" s="144">
        <f t="shared" ca="1" si="251"/>
        <v>0.92762780011487656</v>
      </c>
      <c r="L2159" s="144">
        <f t="shared" ca="1" si="251"/>
        <v>0.61674325100516947</v>
      </c>
      <c r="M2159" s="144">
        <f t="shared" ca="1" si="251"/>
        <v>82.668006892590469</v>
      </c>
      <c r="N2159" s="144">
        <f t="shared" ca="1" si="251"/>
        <v>5.5650488225157959</v>
      </c>
      <c r="O2159" s="144">
        <f t="shared" ca="1" si="251"/>
        <v>28.342188397472718</v>
      </c>
      <c r="P2159" s="144">
        <f t="shared" ca="1" si="251"/>
        <v>1</v>
      </c>
      <c r="Q2159" s="144">
        <f t="shared" ca="1" si="251"/>
        <v>0.71797817346352666</v>
      </c>
    </row>
    <row r="2160" spans="1:17" x14ac:dyDescent="0.25">
      <c r="A2160" s="145">
        <v>40610</v>
      </c>
      <c r="B2160" s="144">
        <v>1.3897999999999999</v>
      </c>
      <c r="C2160" s="144">
        <v>39.299300000000002</v>
      </c>
      <c r="D2160" s="144">
        <v>7.7549999999999999</v>
      </c>
      <c r="E2160" s="144">
        <v>114.64</v>
      </c>
      <c r="F2160" s="144">
        <v>0.86050000000000004</v>
      </c>
      <c r="G2160" s="144">
        <v>1.2948999999999999</v>
      </c>
      <c r="I2160" s="144">
        <v>1</v>
      </c>
      <c r="J2160" s="145">
        <f t="shared" si="247"/>
        <v>40610</v>
      </c>
      <c r="K2160" s="144">
        <f t="shared" ca="1" si="251"/>
        <v>0.93171679378327821</v>
      </c>
      <c r="L2160" s="144">
        <f t="shared" ca="1" si="251"/>
        <v>0.61915383508418487</v>
      </c>
      <c r="M2160" s="144">
        <f t="shared" ca="1" si="251"/>
        <v>82.486688732191681</v>
      </c>
      <c r="N2160" s="144">
        <f t="shared" ca="1" si="251"/>
        <v>5.5799395596488708</v>
      </c>
      <c r="O2160" s="144">
        <f t="shared" ca="1" si="251"/>
        <v>28.276946323211977</v>
      </c>
      <c r="P2160" s="144">
        <f t="shared" ca="1" si="251"/>
        <v>1</v>
      </c>
      <c r="Q2160" s="144">
        <f t="shared" ca="1" si="251"/>
        <v>0.71952798963879694</v>
      </c>
    </row>
    <row r="2161" spans="1:17" x14ac:dyDescent="0.25">
      <c r="A2161" s="145">
        <v>40609</v>
      </c>
      <c r="B2161" s="144">
        <v>1.4028</v>
      </c>
      <c r="C2161" s="144">
        <v>39.473399999999998</v>
      </c>
      <c r="D2161" s="144">
        <v>7.76</v>
      </c>
      <c r="E2161" s="144">
        <v>115.15</v>
      </c>
      <c r="F2161" s="144">
        <v>0.86099999999999999</v>
      </c>
      <c r="G2161" s="144">
        <v>1.296</v>
      </c>
      <c r="I2161" s="144">
        <v>1</v>
      </c>
      <c r="J2161" s="145">
        <f t="shared" si="247"/>
        <v>40609</v>
      </c>
      <c r="K2161" s="144">
        <f t="shared" ca="1" si="251"/>
        <v>0.92386655260906758</v>
      </c>
      <c r="L2161" s="144">
        <f t="shared" ca="1" si="251"/>
        <v>0.61377245508982037</v>
      </c>
      <c r="M2161" s="144">
        <f t="shared" ca="1" si="251"/>
        <v>82.085828343313381</v>
      </c>
      <c r="N2161" s="144">
        <f t="shared" ca="1" si="251"/>
        <v>5.5317935557456508</v>
      </c>
      <c r="O2161" s="144">
        <f t="shared" ca="1" si="251"/>
        <v>28.139007698887937</v>
      </c>
      <c r="P2161" s="144">
        <f t="shared" ca="1" si="251"/>
        <v>1</v>
      </c>
      <c r="Q2161" s="144">
        <f t="shared" ca="1" si="251"/>
        <v>0.71285999429711999</v>
      </c>
    </row>
    <row r="2162" spans="1:17" x14ac:dyDescent="0.25">
      <c r="A2162" s="145">
        <v>40608</v>
      </c>
      <c r="B2162" s="144">
        <v>1.3956999999999999</v>
      </c>
      <c r="C2162" s="144">
        <v>39.392699999999998</v>
      </c>
      <c r="D2162" s="144">
        <v>7.78</v>
      </c>
      <c r="E2162" s="144">
        <v>115.63</v>
      </c>
      <c r="F2162" s="144">
        <v>0.85804999999999998</v>
      </c>
      <c r="G2162" s="144">
        <v>1.3</v>
      </c>
      <c r="I2162" s="144">
        <v>1</v>
      </c>
      <c r="J2162" s="145">
        <f t="shared" si="247"/>
        <v>40608</v>
      </c>
      <c r="K2162" s="144">
        <f t="shared" ca="1" si="251"/>
        <v>0.93143225621551917</v>
      </c>
      <c r="L2162" s="144">
        <f t="shared" ca="1" si="251"/>
        <v>0.61478111341978936</v>
      </c>
      <c r="M2162" s="144">
        <f t="shared" ca="1" si="251"/>
        <v>82.847316758615747</v>
      </c>
      <c r="N2162" s="144">
        <f t="shared" ca="1" si="251"/>
        <v>5.5742638102744149</v>
      </c>
      <c r="O2162" s="144">
        <f t="shared" ca="1" si="251"/>
        <v>28.224331876477752</v>
      </c>
      <c r="P2162" s="144">
        <f t="shared" ca="1" si="251"/>
        <v>1</v>
      </c>
      <c r="Q2162" s="144">
        <f t="shared" ca="1" si="251"/>
        <v>0.71648635093501467</v>
      </c>
    </row>
    <row r="2163" spans="1:17" x14ac:dyDescent="0.25">
      <c r="A2163" s="145">
        <v>40607</v>
      </c>
      <c r="B2163" s="144">
        <v>1.3956999999999999</v>
      </c>
      <c r="C2163" s="144">
        <v>39.392699999999998</v>
      </c>
      <c r="D2163" s="144">
        <v>7.78</v>
      </c>
      <c r="E2163" s="144">
        <v>115.63</v>
      </c>
      <c r="F2163" s="144">
        <v>0.85804999999999998</v>
      </c>
      <c r="G2163" s="144">
        <v>1.3</v>
      </c>
      <c r="I2163" s="144">
        <v>1</v>
      </c>
      <c r="J2163" s="145">
        <f t="shared" si="247"/>
        <v>40607</v>
      </c>
      <c r="K2163" s="144">
        <f t="shared" ca="1" si="251"/>
        <v>0.93143225621551917</v>
      </c>
      <c r="L2163" s="144">
        <f t="shared" ca="1" si="251"/>
        <v>0.61478111341978936</v>
      </c>
      <c r="M2163" s="144">
        <f t="shared" ca="1" si="251"/>
        <v>82.847316758615747</v>
      </c>
      <c r="N2163" s="144">
        <f t="shared" ca="1" si="251"/>
        <v>5.5742638102744149</v>
      </c>
      <c r="O2163" s="144">
        <f t="shared" ca="1" si="251"/>
        <v>28.224331876477752</v>
      </c>
      <c r="P2163" s="144">
        <f t="shared" ca="1" si="251"/>
        <v>1</v>
      </c>
      <c r="Q2163" s="144">
        <f t="shared" ca="1" si="251"/>
        <v>0.71648635093501467</v>
      </c>
    </row>
    <row r="2164" spans="1:17" x14ac:dyDescent="0.25">
      <c r="A2164" s="145">
        <v>40606</v>
      </c>
      <c r="B2164" s="144">
        <v>1.3956999999999999</v>
      </c>
      <c r="C2164" s="144">
        <v>39.392699999999998</v>
      </c>
      <c r="D2164" s="144">
        <v>7.78</v>
      </c>
      <c r="E2164" s="144">
        <v>115.63</v>
      </c>
      <c r="F2164" s="144">
        <v>0.85804999999999998</v>
      </c>
      <c r="G2164" s="144">
        <v>1.3</v>
      </c>
      <c r="I2164" s="144">
        <v>1</v>
      </c>
      <c r="J2164" s="145">
        <f t="shared" si="247"/>
        <v>40606</v>
      </c>
      <c r="K2164" s="144">
        <f t="shared" ca="1" si="251"/>
        <v>0.93143225621551917</v>
      </c>
      <c r="L2164" s="144">
        <f t="shared" ca="1" si="251"/>
        <v>0.61478111341978936</v>
      </c>
      <c r="M2164" s="144">
        <f t="shared" ca="1" si="251"/>
        <v>82.847316758615747</v>
      </c>
      <c r="N2164" s="144">
        <f t="shared" ca="1" si="251"/>
        <v>5.5742638102744149</v>
      </c>
      <c r="O2164" s="144">
        <f t="shared" ca="1" si="251"/>
        <v>28.224331876477752</v>
      </c>
      <c r="P2164" s="144">
        <f t="shared" ca="1" si="251"/>
        <v>1</v>
      </c>
      <c r="Q2164" s="144">
        <f t="shared" ca="1" si="251"/>
        <v>0.71648635093501467</v>
      </c>
    </row>
    <row r="2165" spans="1:17" x14ac:dyDescent="0.25">
      <c r="A2165" s="145">
        <v>40605</v>
      </c>
      <c r="B2165" s="144">
        <v>1.385</v>
      </c>
      <c r="C2165" s="144">
        <v>39.058500000000002</v>
      </c>
      <c r="D2165" s="144">
        <v>7.7145000000000001</v>
      </c>
      <c r="E2165" s="144">
        <v>113.43</v>
      </c>
      <c r="F2165" s="144">
        <v>0.85129999999999995</v>
      </c>
      <c r="G2165" s="144">
        <v>1.2844</v>
      </c>
      <c r="I2165" s="144">
        <v>1</v>
      </c>
      <c r="J2165" s="145">
        <f t="shared" si="247"/>
        <v>40605</v>
      </c>
      <c r="K2165" s="144">
        <f t="shared" ref="K2165:Q2174" ca="1" si="252">OFFSET($A2165,0,K$3)/OFFSET($A2165,0,$P$3)</f>
        <v>0.92736462093862815</v>
      </c>
      <c r="L2165" s="144">
        <f t="shared" ca="1" si="252"/>
        <v>0.61465703971119134</v>
      </c>
      <c r="M2165" s="144">
        <f t="shared" ca="1" si="252"/>
        <v>81.898916967509024</v>
      </c>
      <c r="N2165" s="144">
        <f t="shared" ca="1" si="252"/>
        <v>5.5700361010830326</v>
      </c>
      <c r="O2165" s="144">
        <f t="shared" ca="1" si="252"/>
        <v>28.201083032490978</v>
      </c>
      <c r="P2165" s="144">
        <f t="shared" ca="1" si="252"/>
        <v>1</v>
      </c>
      <c r="Q2165" s="144">
        <f t="shared" ca="1" si="252"/>
        <v>0.72202166064981954</v>
      </c>
    </row>
    <row r="2166" spans="1:17" x14ac:dyDescent="0.25">
      <c r="A2166" s="145">
        <v>40604</v>
      </c>
      <c r="B2166" s="144">
        <v>1.3809</v>
      </c>
      <c r="C2166" s="144">
        <v>39.319000000000003</v>
      </c>
      <c r="D2166" s="144">
        <v>7.702</v>
      </c>
      <c r="E2166" s="144">
        <v>113.33</v>
      </c>
      <c r="F2166" s="144">
        <v>0.8478</v>
      </c>
      <c r="G2166" s="144">
        <v>1.2799</v>
      </c>
      <c r="I2166" s="144">
        <v>1</v>
      </c>
      <c r="J2166" s="145">
        <f t="shared" si="247"/>
        <v>40604</v>
      </c>
      <c r="K2166" s="144">
        <f t="shared" ca="1" si="252"/>
        <v>0.92685929466290107</v>
      </c>
      <c r="L2166" s="144">
        <f t="shared" ca="1" si="252"/>
        <v>0.61394742559200521</v>
      </c>
      <c r="M2166" s="144">
        <f t="shared" ca="1" si="252"/>
        <v>82.069664711420089</v>
      </c>
      <c r="N2166" s="144">
        <f t="shared" ca="1" si="252"/>
        <v>5.577521906003331</v>
      </c>
      <c r="O2166" s="144">
        <f t="shared" ca="1" si="252"/>
        <v>28.473459338112825</v>
      </c>
      <c r="P2166" s="144">
        <f t="shared" ca="1" si="252"/>
        <v>1</v>
      </c>
      <c r="Q2166" s="144">
        <f t="shared" ca="1" si="252"/>
        <v>0.7241653993772178</v>
      </c>
    </row>
    <row r="2167" spans="1:17" x14ac:dyDescent="0.25">
      <c r="A2167" s="145">
        <v>40603</v>
      </c>
      <c r="B2167" s="144">
        <v>1.3825000000000001</v>
      </c>
      <c r="C2167" s="144">
        <v>39.674999999999997</v>
      </c>
      <c r="D2167" s="144">
        <v>7.7119999999999997</v>
      </c>
      <c r="E2167" s="144">
        <v>113.39</v>
      </c>
      <c r="F2167" s="144">
        <v>0.84940000000000004</v>
      </c>
      <c r="G2167" s="144">
        <v>1.2848999999999999</v>
      </c>
      <c r="I2167" s="144">
        <v>1</v>
      </c>
      <c r="J2167" s="145">
        <f t="shared" si="247"/>
        <v>40603</v>
      </c>
      <c r="K2167" s="144">
        <f t="shared" ca="1" si="252"/>
        <v>0.92940325497287513</v>
      </c>
      <c r="L2167" s="144">
        <f t="shared" ca="1" si="252"/>
        <v>0.6143942133815552</v>
      </c>
      <c r="M2167" s="144">
        <f t="shared" ca="1" si="252"/>
        <v>82.01808318264014</v>
      </c>
      <c r="N2167" s="144">
        <f t="shared" ca="1" si="252"/>
        <v>5.5783001808318255</v>
      </c>
      <c r="O2167" s="144">
        <f t="shared" ca="1" si="252"/>
        <v>28.698010849909579</v>
      </c>
      <c r="P2167" s="144">
        <f t="shared" ca="1" si="252"/>
        <v>1</v>
      </c>
      <c r="Q2167" s="144">
        <f t="shared" ca="1" si="252"/>
        <v>0.72332730560578662</v>
      </c>
    </row>
    <row r="2168" spans="1:17" x14ac:dyDescent="0.25">
      <c r="A2168" s="145">
        <v>40602</v>
      </c>
      <c r="B2168" s="144">
        <v>1.3834</v>
      </c>
      <c r="C2168" s="144">
        <v>39.901499999999999</v>
      </c>
      <c r="D2168" s="144">
        <v>7.7089999999999996</v>
      </c>
      <c r="E2168" s="144">
        <v>113.26</v>
      </c>
      <c r="F2168" s="144">
        <v>0.8528</v>
      </c>
      <c r="G2168" s="144">
        <v>1.284</v>
      </c>
      <c r="I2168" s="144">
        <v>1</v>
      </c>
      <c r="J2168" s="145">
        <f t="shared" si="247"/>
        <v>40602</v>
      </c>
      <c r="K2168" s="144">
        <f t="shared" ca="1" si="252"/>
        <v>0.92814804105826232</v>
      </c>
      <c r="L2168" s="144">
        <f t="shared" ca="1" si="252"/>
        <v>0.61645221917016046</v>
      </c>
      <c r="M2168" s="144">
        <f t="shared" ca="1" si="252"/>
        <v>81.870753216712458</v>
      </c>
      <c r="N2168" s="144">
        <f t="shared" ca="1" si="252"/>
        <v>5.5725025299985544</v>
      </c>
      <c r="O2168" s="144">
        <f t="shared" ca="1" si="252"/>
        <v>28.843067803961254</v>
      </c>
      <c r="P2168" s="144">
        <f t="shared" ca="1" si="252"/>
        <v>1</v>
      </c>
      <c r="Q2168" s="144">
        <f t="shared" ca="1" si="252"/>
        <v>0.72285672979615445</v>
      </c>
    </row>
    <row r="2169" spans="1:17" x14ac:dyDescent="0.25">
      <c r="A2169" s="145">
        <v>40601</v>
      </c>
      <c r="B2169" s="144">
        <v>1.3762000000000001</v>
      </c>
      <c r="C2169" s="144">
        <v>39.823</v>
      </c>
      <c r="D2169" s="144">
        <v>7.7640000000000002</v>
      </c>
      <c r="E2169" s="144">
        <v>112.52</v>
      </c>
      <c r="F2169" s="144">
        <v>0.85529999999999995</v>
      </c>
      <c r="G2169" s="144">
        <v>1.2799</v>
      </c>
      <c r="I2169" s="144">
        <v>1</v>
      </c>
      <c r="J2169" s="145">
        <f t="shared" si="247"/>
        <v>40601</v>
      </c>
      <c r="K2169" s="144">
        <f t="shared" ca="1" si="252"/>
        <v>0.93002470571137907</v>
      </c>
      <c r="L2169" s="144">
        <f t="shared" ca="1" si="252"/>
        <v>0.62149396889986908</v>
      </c>
      <c r="M2169" s="144">
        <f t="shared" ca="1" si="252"/>
        <v>81.761371893620108</v>
      </c>
      <c r="N2169" s="144">
        <f t="shared" ca="1" si="252"/>
        <v>5.6416218572881842</v>
      </c>
      <c r="O2169" s="144">
        <f t="shared" ca="1" si="252"/>
        <v>28.936927772126143</v>
      </c>
      <c r="P2169" s="144">
        <f t="shared" ca="1" si="252"/>
        <v>1</v>
      </c>
      <c r="Q2169" s="144">
        <f t="shared" ca="1" si="252"/>
        <v>0.72663856997529419</v>
      </c>
    </row>
    <row r="2170" spans="1:17" x14ac:dyDescent="0.25">
      <c r="A2170" s="145">
        <v>40600</v>
      </c>
      <c r="B2170" s="144">
        <v>1.3762000000000001</v>
      </c>
      <c r="C2170" s="144">
        <v>39.823</v>
      </c>
      <c r="D2170" s="144">
        <v>7.7640000000000002</v>
      </c>
      <c r="E2170" s="144">
        <v>112.52</v>
      </c>
      <c r="F2170" s="144">
        <v>0.85529999999999995</v>
      </c>
      <c r="G2170" s="144">
        <v>1.2799</v>
      </c>
      <c r="I2170" s="144">
        <v>1</v>
      </c>
      <c r="J2170" s="145">
        <f t="shared" si="247"/>
        <v>40600</v>
      </c>
      <c r="K2170" s="144">
        <f t="shared" ca="1" si="252"/>
        <v>0.93002470571137907</v>
      </c>
      <c r="L2170" s="144">
        <f t="shared" ca="1" si="252"/>
        <v>0.62149396889986908</v>
      </c>
      <c r="M2170" s="144">
        <f t="shared" ca="1" si="252"/>
        <v>81.761371893620108</v>
      </c>
      <c r="N2170" s="144">
        <f t="shared" ca="1" si="252"/>
        <v>5.6416218572881842</v>
      </c>
      <c r="O2170" s="144">
        <f t="shared" ca="1" si="252"/>
        <v>28.936927772126143</v>
      </c>
      <c r="P2170" s="144">
        <f t="shared" ca="1" si="252"/>
        <v>1</v>
      </c>
      <c r="Q2170" s="144">
        <f t="shared" ca="1" si="252"/>
        <v>0.72663856997529419</v>
      </c>
    </row>
    <row r="2171" spans="1:17" x14ac:dyDescent="0.25">
      <c r="A2171" s="145">
        <v>40599</v>
      </c>
      <c r="B2171" s="144">
        <v>1.3762000000000001</v>
      </c>
      <c r="C2171" s="144">
        <v>39.823</v>
      </c>
      <c r="D2171" s="144">
        <v>7.7640000000000002</v>
      </c>
      <c r="E2171" s="144">
        <v>112.52</v>
      </c>
      <c r="F2171" s="144">
        <v>0.85529999999999995</v>
      </c>
      <c r="G2171" s="144">
        <v>1.2799</v>
      </c>
      <c r="I2171" s="144">
        <v>1</v>
      </c>
      <c r="J2171" s="145">
        <f t="shared" si="247"/>
        <v>40599</v>
      </c>
      <c r="K2171" s="144">
        <f t="shared" ca="1" si="252"/>
        <v>0.93002470571137907</v>
      </c>
      <c r="L2171" s="144">
        <f t="shared" ca="1" si="252"/>
        <v>0.62149396889986908</v>
      </c>
      <c r="M2171" s="144">
        <f t="shared" ca="1" si="252"/>
        <v>81.761371893620108</v>
      </c>
      <c r="N2171" s="144">
        <f t="shared" ca="1" si="252"/>
        <v>5.6416218572881842</v>
      </c>
      <c r="O2171" s="144">
        <f t="shared" ca="1" si="252"/>
        <v>28.936927772126143</v>
      </c>
      <c r="P2171" s="144">
        <f t="shared" ca="1" si="252"/>
        <v>1</v>
      </c>
      <c r="Q2171" s="144">
        <f t="shared" ca="1" si="252"/>
        <v>0.72663856997529419</v>
      </c>
    </row>
    <row r="2172" spans="1:17" x14ac:dyDescent="0.25">
      <c r="A2172" s="145">
        <v>40598</v>
      </c>
      <c r="B2172" s="144">
        <v>1.3773</v>
      </c>
      <c r="C2172" s="144">
        <v>40.011499999999998</v>
      </c>
      <c r="D2172" s="144">
        <v>7.7190000000000003</v>
      </c>
      <c r="E2172" s="144">
        <v>112.69</v>
      </c>
      <c r="F2172" s="144">
        <v>0.85129999999999995</v>
      </c>
      <c r="G2172" s="144">
        <v>1.2747999999999999</v>
      </c>
      <c r="I2172" s="144">
        <v>1</v>
      </c>
      <c r="J2172" s="145">
        <f t="shared" si="247"/>
        <v>40598</v>
      </c>
      <c r="K2172" s="144">
        <f t="shared" ca="1" si="252"/>
        <v>0.92557903143832132</v>
      </c>
      <c r="L2172" s="144">
        <f t="shared" ca="1" si="252"/>
        <v>0.61809337108836127</v>
      </c>
      <c r="M2172" s="144">
        <f t="shared" ca="1" si="252"/>
        <v>81.819501924054308</v>
      </c>
      <c r="N2172" s="144">
        <f t="shared" ca="1" si="252"/>
        <v>5.6044434763668054</v>
      </c>
      <c r="O2172" s="144">
        <f t="shared" ca="1" si="252"/>
        <v>29.050678864444929</v>
      </c>
      <c r="P2172" s="144">
        <f t="shared" ca="1" si="252"/>
        <v>1</v>
      </c>
      <c r="Q2172" s="144">
        <f t="shared" ca="1" si="252"/>
        <v>0.72605822987003554</v>
      </c>
    </row>
    <row r="2173" spans="1:17" x14ac:dyDescent="0.25">
      <c r="A2173" s="145">
        <v>40597</v>
      </c>
      <c r="B2173" s="144">
        <v>1.3731</v>
      </c>
      <c r="C2173" s="144">
        <v>40.192</v>
      </c>
      <c r="D2173" s="144">
        <v>7.7389999999999999</v>
      </c>
      <c r="E2173" s="144">
        <v>113.69</v>
      </c>
      <c r="F2173" s="144">
        <v>0.84589999999999999</v>
      </c>
      <c r="G2173" s="144">
        <v>1.2853000000000001</v>
      </c>
      <c r="I2173" s="144">
        <v>1</v>
      </c>
      <c r="J2173" s="145">
        <f t="shared" si="247"/>
        <v>40597</v>
      </c>
      <c r="K2173" s="144">
        <f t="shared" ca="1" si="252"/>
        <v>0.93605709707960094</v>
      </c>
      <c r="L2173" s="144">
        <f t="shared" ca="1" si="252"/>
        <v>0.61605127084698852</v>
      </c>
      <c r="M2173" s="144">
        <f t="shared" ca="1" si="252"/>
        <v>82.79804821207486</v>
      </c>
      <c r="N2173" s="144">
        <f t="shared" ca="1" si="252"/>
        <v>5.6361517733595514</v>
      </c>
      <c r="O2173" s="144">
        <f t="shared" ca="1" si="252"/>
        <v>29.270992644381327</v>
      </c>
      <c r="P2173" s="144">
        <f t="shared" ca="1" si="252"/>
        <v>1</v>
      </c>
      <c r="Q2173" s="144">
        <f t="shared" ca="1" si="252"/>
        <v>0.72827907654213098</v>
      </c>
    </row>
    <row r="2174" spans="1:17" x14ac:dyDescent="0.25">
      <c r="A2174" s="145">
        <v>40596</v>
      </c>
      <c r="B2174" s="144">
        <v>1.3667</v>
      </c>
      <c r="C2174" s="144">
        <v>39.981699999999996</v>
      </c>
      <c r="D2174" s="144">
        <v>7.7515000000000001</v>
      </c>
      <c r="E2174" s="144">
        <v>113.63</v>
      </c>
      <c r="F2174" s="144">
        <v>0.84584000000000004</v>
      </c>
      <c r="G2174" s="144">
        <v>1.2844</v>
      </c>
      <c r="I2174" s="144">
        <v>1</v>
      </c>
      <c r="J2174" s="145">
        <f t="shared" si="247"/>
        <v>40596</v>
      </c>
      <c r="K2174" s="144">
        <f t="shared" ca="1" si="252"/>
        <v>0.9397819565376454</v>
      </c>
      <c r="L2174" s="144">
        <f t="shared" ca="1" si="252"/>
        <v>0.61889222214092343</v>
      </c>
      <c r="M2174" s="144">
        <f t="shared" ca="1" si="252"/>
        <v>83.14187458842467</v>
      </c>
      <c r="N2174" s="144">
        <f t="shared" ca="1" si="252"/>
        <v>5.6716909343674544</v>
      </c>
      <c r="O2174" s="144">
        <f t="shared" ca="1" si="252"/>
        <v>29.254188922221406</v>
      </c>
      <c r="P2174" s="144">
        <f t="shared" ca="1" si="252"/>
        <v>1</v>
      </c>
      <c r="Q2174" s="144">
        <f t="shared" ca="1" si="252"/>
        <v>0.73168947098851245</v>
      </c>
    </row>
    <row r="2175" spans="1:17" x14ac:dyDescent="0.25">
      <c r="A2175" s="145">
        <v>40595</v>
      </c>
      <c r="B2175" s="144">
        <v>1.3668</v>
      </c>
      <c r="C2175" s="144">
        <v>39.862000000000002</v>
      </c>
      <c r="D2175" s="144">
        <v>7.7690000000000001</v>
      </c>
      <c r="E2175" s="144">
        <v>113.68</v>
      </c>
      <c r="F2175" s="144">
        <v>0.84250000000000003</v>
      </c>
      <c r="G2175" s="144">
        <v>1.296</v>
      </c>
      <c r="I2175" s="144">
        <v>1</v>
      </c>
      <c r="J2175" s="145">
        <f t="shared" si="247"/>
        <v>40595</v>
      </c>
      <c r="K2175" s="144">
        <f t="shared" ref="K2175:Q2184" ca="1" si="253">OFFSET($A2175,0,K$3)/OFFSET($A2175,0,$P$3)</f>
        <v>0.94820017559262515</v>
      </c>
      <c r="L2175" s="144">
        <f t="shared" ca="1" si="253"/>
        <v>0.61640327772900205</v>
      </c>
      <c r="M2175" s="144">
        <f t="shared" ca="1" si="253"/>
        <v>83.17237342698273</v>
      </c>
      <c r="N2175" s="144">
        <f t="shared" ca="1" si="253"/>
        <v>5.6840796019900495</v>
      </c>
      <c r="O2175" s="144">
        <f t="shared" ca="1" si="253"/>
        <v>29.164471758852795</v>
      </c>
      <c r="P2175" s="144">
        <f t="shared" ca="1" si="253"/>
        <v>1</v>
      </c>
      <c r="Q2175" s="144">
        <f t="shared" ca="1" si="253"/>
        <v>0.73163593795727244</v>
      </c>
    </row>
    <row r="2176" spans="1:17" x14ac:dyDescent="0.25">
      <c r="A2176" s="145">
        <v>40594</v>
      </c>
      <c r="B2176" s="144">
        <v>1.3627</v>
      </c>
      <c r="C2176" s="144">
        <v>39.789000000000001</v>
      </c>
      <c r="D2176" s="144">
        <v>7.7554999999999996</v>
      </c>
      <c r="E2176" s="144">
        <v>113.62</v>
      </c>
      <c r="F2176" s="144">
        <v>0.83950000000000002</v>
      </c>
      <c r="G2176" s="144">
        <v>1.2972999999999999</v>
      </c>
      <c r="I2176" s="144">
        <v>1</v>
      </c>
      <c r="J2176" s="145">
        <f t="shared" si="247"/>
        <v>40594</v>
      </c>
      <c r="K2176" s="144">
        <f t="shared" ca="1" si="253"/>
        <v>0.95200704483745491</v>
      </c>
      <c r="L2176" s="144">
        <f t="shared" ca="1" si="253"/>
        <v>0.61605635869964037</v>
      </c>
      <c r="M2176" s="144">
        <f t="shared" ca="1" si="253"/>
        <v>83.378586629485582</v>
      </c>
      <c r="N2176" s="144">
        <f t="shared" ca="1" si="253"/>
        <v>5.6912746752770236</v>
      </c>
      <c r="O2176" s="144">
        <f t="shared" ca="1" si="253"/>
        <v>29.198649739487781</v>
      </c>
      <c r="P2176" s="144">
        <f t="shared" ca="1" si="253"/>
        <v>1</v>
      </c>
      <c r="Q2176" s="144">
        <f t="shared" ca="1" si="253"/>
        <v>0.73383723490129893</v>
      </c>
    </row>
    <row r="2177" spans="1:17" x14ac:dyDescent="0.25">
      <c r="A2177" s="145">
        <v>40593</v>
      </c>
      <c r="B2177" s="144">
        <v>1.3627</v>
      </c>
      <c r="C2177" s="144">
        <v>39.789000000000001</v>
      </c>
      <c r="D2177" s="144">
        <v>7.7554999999999996</v>
      </c>
      <c r="E2177" s="144">
        <v>113.62</v>
      </c>
      <c r="F2177" s="144">
        <v>0.83950000000000002</v>
      </c>
      <c r="G2177" s="144">
        <v>1.2972999999999999</v>
      </c>
      <c r="I2177" s="144">
        <v>1</v>
      </c>
      <c r="J2177" s="145">
        <f t="shared" si="247"/>
        <v>40593</v>
      </c>
      <c r="K2177" s="144">
        <f t="shared" ca="1" si="253"/>
        <v>0.95200704483745491</v>
      </c>
      <c r="L2177" s="144">
        <f t="shared" ca="1" si="253"/>
        <v>0.61605635869964037</v>
      </c>
      <c r="M2177" s="144">
        <f t="shared" ca="1" si="253"/>
        <v>83.378586629485582</v>
      </c>
      <c r="N2177" s="144">
        <f t="shared" ca="1" si="253"/>
        <v>5.6912746752770236</v>
      </c>
      <c r="O2177" s="144">
        <f t="shared" ca="1" si="253"/>
        <v>29.198649739487781</v>
      </c>
      <c r="P2177" s="144">
        <f t="shared" ca="1" si="253"/>
        <v>1</v>
      </c>
      <c r="Q2177" s="144">
        <f t="shared" ca="1" si="253"/>
        <v>0.73383723490129893</v>
      </c>
    </row>
    <row r="2178" spans="1:17" x14ac:dyDescent="0.25">
      <c r="A2178" s="145">
        <v>40592</v>
      </c>
      <c r="B2178" s="144">
        <v>1.3627</v>
      </c>
      <c r="C2178" s="144">
        <v>39.789000000000001</v>
      </c>
      <c r="D2178" s="144">
        <v>7.7554999999999996</v>
      </c>
      <c r="E2178" s="144">
        <v>113.62</v>
      </c>
      <c r="F2178" s="144">
        <v>0.83950000000000002</v>
      </c>
      <c r="G2178" s="144">
        <v>1.2972999999999999</v>
      </c>
      <c r="I2178" s="144">
        <v>1</v>
      </c>
      <c r="J2178" s="145">
        <f t="shared" si="247"/>
        <v>40592</v>
      </c>
      <c r="K2178" s="144">
        <f t="shared" ca="1" si="253"/>
        <v>0.95200704483745491</v>
      </c>
      <c r="L2178" s="144">
        <f t="shared" ca="1" si="253"/>
        <v>0.61605635869964037</v>
      </c>
      <c r="M2178" s="144">
        <f t="shared" ca="1" si="253"/>
        <v>83.378586629485582</v>
      </c>
      <c r="N2178" s="144">
        <f t="shared" ca="1" si="253"/>
        <v>5.6912746752770236</v>
      </c>
      <c r="O2178" s="144">
        <f t="shared" ca="1" si="253"/>
        <v>29.198649739487781</v>
      </c>
      <c r="P2178" s="144">
        <f t="shared" ca="1" si="253"/>
        <v>1</v>
      </c>
      <c r="Q2178" s="144">
        <f t="shared" ca="1" si="253"/>
        <v>0.73383723490129893</v>
      </c>
    </row>
    <row r="2179" spans="1:17" x14ac:dyDescent="0.25">
      <c r="A2179" s="145">
        <v>40591</v>
      </c>
      <c r="B2179" s="144">
        <v>1.3560000000000001</v>
      </c>
      <c r="C2179" s="144">
        <v>39.704999999999998</v>
      </c>
      <c r="D2179" s="144">
        <v>7.8075000000000001</v>
      </c>
      <c r="E2179" s="144">
        <v>113.39</v>
      </c>
      <c r="F2179" s="144">
        <v>0.84089999999999998</v>
      </c>
      <c r="G2179" s="144">
        <v>1.2972999999999999</v>
      </c>
      <c r="I2179" s="144">
        <v>1</v>
      </c>
      <c r="J2179" s="145">
        <f t="shared" si="247"/>
        <v>40591</v>
      </c>
      <c r="K2179" s="144">
        <f t="shared" ca="1" si="253"/>
        <v>0.95671091445427714</v>
      </c>
      <c r="L2179" s="144">
        <f t="shared" ca="1" si="253"/>
        <v>0.62013274336283175</v>
      </c>
      <c r="M2179" s="144">
        <f t="shared" ca="1" si="253"/>
        <v>83.620943952802349</v>
      </c>
      <c r="N2179" s="144">
        <f t="shared" ca="1" si="253"/>
        <v>5.7577433628318584</v>
      </c>
      <c r="O2179" s="144">
        <f t="shared" ca="1" si="253"/>
        <v>29.28097345132743</v>
      </c>
      <c r="P2179" s="144">
        <f t="shared" ca="1" si="253"/>
        <v>1</v>
      </c>
      <c r="Q2179" s="144">
        <f t="shared" ca="1" si="253"/>
        <v>0.73746312684365778</v>
      </c>
    </row>
    <row r="2180" spans="1:17" x14ac:dyDescent="0.25">
      <c r="A2180" s="145">
        <v>40590</v>
      </c>
      <c r="B2180" s="144">
        <v>1.351</v>
      </c>
      <c r="C2180" s="144">
        <v>39.607999999999997</v>
      </c>
      <c r="D2180" s="144">
        <v>7.8274999999999997</v>
      </c>
      <c r="E2180" s="144">
        <v>113.12</v>
      </c>
      <c r="F2180" s="144">
        <v>0.84189999999999998</v>
      </c>
      <c r="G2180" s="144">
        <v>1.3072999999999999</v>
      </c>
      <c r="I2180" s="144">
        <v>1</v>
      </c>
      <c r="J2180" s="145">
        <f t="shared" si="247"/>
        <v>40590</v>
      </c>
      <c r="K2180" s="144">
        <f t="shared" ca="1" si="253"/>
        <v>0.96765358993338257</v>
      </c>
      <c r="L2180" s="144">
        <f t="shared" ca="1" si="253"/>
        <v>0.62316802368615842</v>
      </c>
      <c r="M2180" s="144">
        <f t="shared" ca="1" si="253"/>
        <v>83.730569948186528</v>
      </c>
      <c r="N2180" s="144">
        <f t="shared" ca="1" si="253"/>
        <v>5.7938564026646926</v>
      </c>
      <c r="O2180" s="144">
        <f t="shared" ca="1" si="253"/>
        <v>29.317542561065874</v>
      </c>
      <c r="P2180" s="144">
        <f t="shared" ca="1" si="253"/>
        <v>1</v>
      </c>
      <c r="Q2180" s="144">
        <f t="shared" ca="1" si="253"/>
        <v>0.74019245003700962</v>
      </c>
    </row>
    <row r="2181" spans="1:17" x14ac:dyDescent="0.25">
      <c r="A2181" s="145">
        <v>40589</v>
      </c>
      <c r="B2181" s="144">
        <v>1.351</v>
      </c>
      <c r="C2181" s="144">
        <v>39.576999999999998</v>
      </c>
      <c r="D2181" s="144">
        <v>7.8334999999999999</v>
      </c>
      <c r="E2181" s="144">
        <v>113.21</v>
      </c>
      <c r="F2181" s="144">
        <v>0.83750000000000002</v>
      </c>
      <c r="G2181" s="144">
        <v>1.3124</v>
      </c>
      <c r="I2181" s="144">
        <v>1</v>
      </c>
      <c r="J2181" s="145">
        <f t="shared" ref="J2181:J2244" si="254">A2181</f>
        <v>40589</v>
      </c>
      <c r="K2181" s="144">
        <f t="shared" ca="1" si="253"/>
        <v>0.97142857142857142</v>
      </c>
      <c r="L2181" s="144">
        <f t="shared" ca="1" si="253"/>
        <v>0.61991117690599562</v>
      </c>
      <c r="M2181" s="144">
        <f t="shared" ca="1" si="253"/>
        <v>83.797187268689854</v>
      </c>
      <c r="N2181" s="144">
        <f t="shared" ca="1" si="253"/>
        <v>5.7982975573649149</v>
      </c>
      <c r="O2181" s="144">
        <f t="shared" ca="1" si="253"/>
        <v>29.294596595114729</v>
      </c>
      <c r="P2181" s="144">
        <f t="shared" ca="1" si="253"/>
        <v>1</v>
      </c>
      <c r="Q2181" s="144">
        <f t="shared" ca="1" si="253"/>
        <v>0.74019245003700962</v>
      </c>
    </row>
    <row r="2182" spans="1:17" x14ac:dyDescent="0.25">
      <c r="A2182" s="145">
        <v>40588</v>
      </c>
      <c r="B2182" s="144">
        <v>1.3440000000000001</v>
      </c>
      <c r="C2182" s="144">
        <v>39.378700000000002</v>
      </c>
      <c r="D2182" s="144">
        <v>7.8769999999999998</v>
      </c>
      <c r="E2182" s="144">
        <v>112.15</v>
      </c>
      <c r="F2182" s="144">
        <v>0.84</v>
      </c>
      <c r="G2182" s="144">
        <v>1.3065</v>
      </c>
      <c r="I2182" s="144">
        <v>1</v>
      </c>
      <c r="J2182" s="145">
        <f t="shared" si="254"/>
        <v>40588</v>
      </c>
      <c r="K2182" s="144">
        <f t="shared" ca="1" si="253"/>
        <v>0.97209821428571419</v>
      </c>
      <c r="L2182" s="144">
        <f t="shared" ca="1" si="253"/>
        <v>0.62499999999999989</v>
      </c>
      <c r="M2182" s="144">
        <f t="shared" ca="1" si="253"/>
        <v>83.444940476190482</v>
      </c>
      <c r="N2182" s="144">
        <f t="shared" ca="1" si="253"/>
        <v>5.8608630952380949</v>
      </c>
      <c r="O2182" s="144">
        <f t="shared" ca="1" si="253"/>
        <v>29.299627976190475</v>
      </c>
      <c r="P2182" s="144">
        <f t="shared" ca="1" si="253"/>
        <v>1</v>
      </c>
      <c r="Q2182" s="144">
        <f t="shared" ca="1" si="253"/>
        <v>0.74404761904761896</v>
      </c>
    </row>
    <row r="2183" spans="1:17" x14ac:dyDescent="0.25">
      <c r="A2183" s="145">
        <v>40587</v>
      </c>
      <c r="B2183" s="144">
        <v>1.3524</v>
      </c>
      <c r="C2183" s="144">
        <v>39.688000000000002</v>
      </c>
      <c r="D2183" s="144">
        <v>7.93</v>
      </c>
      <c r="E2183" s="144">
        <v>113.01</v>
      </c>
      <c r="F2183" s="144">
        <v>0.84570000000000001</v>
      </c>
      <c r="G2183" s="144">
        <v>1.3163</v>
      </c>
      <c r="I2183" s="144">
        <v>1</v>
      </c>
      <c r="J2183" s="145">
        <f t="shared" si="254"/>
        <v>40587</v>
      </c>
      <c r="K2183" s="144">
        <f t="shared" ca="1" si="253"/>
        <v>0.97330671398994384</v>
      </c>
      <c r="L2183" s="144">
        <f t="shared" ca="1" si="253"/>
        <v>0.62533274179236908</v>
      </c>
      <c r="M2183" s="144">
        <f t="shared" ca="1" si="253"/>
        <v>83.562555456965399</v>
      </c>
      <c r="N2183" s="144">
        <f t="shared" ca="1" si="253"/>
        <v>5.8636498077491863</v>
      </c>
      <c r="O2183" s="144">
        <f t="shared" ca="1" si="253"/>
        <v>29.346347234545995</v>
      </c>
      <c r="P2183" s="144">
        <f t="shared" ca="1" si="253"/>
        <v>1</v>
      </c>
      <c r="Q2183" s="144">
        <f t="shared" ca="1" si="253"/>
        <v>0.73942620526471459</v>
      </c>
    </row>
    <row r="2184" spans="1:17" x14ac:dyDescent="0.25">
      <c r="A2184" s="145">
        <v>40586</v>
      </c>
      <c r="B2184" s="144">
        <v>1.3524</v>
      </c>
      <c r="C2184" s="144">
        <v>39.688000000000002</v>
      </c>
      <c r="D2184" s="144">
        <v>7.93</v>
      </c>
      <c r="E2184" s="144">
        <v>113.01</v>
      </c>
      <c r="F2184" s="144">
        <v>0.84570000000000001</v>
      </c>
      <c r="G2184" s="144">
        <v>1.3163</v>
      </c>
      <c r="I2184" s="144">
        <v>1</v>
      </c>
      <c r="J2184" s="145">
        <f t="shared" si="254"/>
        <v>40586</v>
      </c>
      <c r="K2184" s="144">
        <f t="shared" ca="1" si="253"/>
        <v>0.97330671398994384</v>
      </c>
      <c r="L2184" s="144">
        <f t="shared" ca="1" si="253"/>
        <v>0.62533274179236908</v>
      </c>
      <c r="M2184" s="144">
        <f t="shared" ca="1" si="253"/>
        <v>83.562555456965399</v>
      </c>
      <c r="N2184" s="144">
        <f t="shared" ca="1" si="253"/>
        <v>5.8636498077491863</v>
      </c>
      <c r="O2184" s="144">
        <f t="shared" ca="1" si="253"/>
        <v>29.346347234545995</v>
      </c>
      <c r="P2184" s="144">
        <f t="shared" ca="1" si="253"/>
        <v>1</v>
      </c>
      <c r="Q2184" s="144">
        <f t="shared" ca="1" si="253"/>
        <v>0.73942620526471459</v>
      </c>
    </row>
    <row r="2185" spans="1:17" x14ac:dyDescent="0.25">
      <c r="A2185" s="145">
        <v>40585</v>
      </c>
      <c r="B2185" s="144">
        <v>1.3524</v>
      </c>
      <c r="C2185" s="144">
        <v>39.688000000000002</v>
      </c>
      <c r="D2185" s="144">
        <v>7.93</v>
      </c>
      <c r="E2185" s="144">
        <v>113.01</v>
      </c>
      <c r="F2185" s="144">
        <v>0.84570000000000001</v>
      </c>
      <c r="G2185" s="144">
        <v>1.3163</v>
      </c>
      <c r="I2185" s="144">
        <v>1</v>
      </c>
      <c r="J2185" s="145">
        <f t="shared" si="254"/>
        <v>40585</v>
      </c>
      <c r="K2185" s="144">
        <f t="shared" ref="K2185:Q2194" ca="1" si="255">OFFSET($A2185,0,K$3)/OFFSET($A2185,0,$P$3)</f>
        <v>0.97330671398994384</v>
      </c>
      <c r="L2185" s="144">
        <f t="shared" ca="1" si="255"/>
        <v>0.62533274179236908</v>
      </c>
      <c r="M2185" s="144">
        <f t="shared" ca="1" si="255"/>
        <v>83.562555456965399</v>
      </c>
      <c r="N2185" s="144">
        <f t="shared" ca="1" si="255"/>
        <v>5.8636498077491863</v>
      </c>
      <c r="O2185" s="144">
        <f t="shared" ca="1" si="255"/>
        <v>29.346347234545995</v>
      </c>
      <c r="P2185" s="144">
        <f t="shared" ca="1" si="255"/>
        <v>1</v>
      </c>
      <c r="Q2185" s="144">
        <f t="shared" ca="1" si="255"/>
        <v>0.73942620526471459</v>
      </c>
    </row>
    <row r="2186" spans="1:17" x14ac:dyDescent="0.25">
      <c r="A2186" s="145">
        <v>40584</v>
      </c>
      <c r="B2186" s="144">
        <v>1.3604000000000001</v>
      </c>
      <c r="C2186" s="144">
        <v>39.883000000000003</v>
      </c>
      <c r="D2186" s="144">
        <v>7.9320000000000004</v>
      </c>
      <c r="E2186" s="144">
        <v>112.71</v>
      </c>
      <c r="F2186" s="144">
        <v>0.8478</v>
      </c>
      <c r="G2186" s="144">
        <v>1.3105</v>
      </c>
      <c r="I2186" s="144">
        <v>1</v>
      </c>
      <c r="J2186" s="145">
        <f t="shared" si="254"/>
        <v>40584</v>
      </c>
      <c r="K2186" s="144">
        <f t="shared" ca="1" si="255"/>
        <v>0.96331961187885917</v>
      </c>
      <c r="L2186" s="144">
        <f t="shared" ca="1" si="255"/>
        <v>0.62319905910026463</v>
      </c>
      <c r="M2186" s="144">
        <f t="shared" ca="1" si="255"/>
        <v>82.850632167009692</v>
      </c>
      <c r="N2186" s="144">
        <f t="shared" ca="1" si="255"/>
        <v>5.830638047633049</v>
      </c>
      <c r="O2186" s="144">
        <f t="shared" ca="1" si="255"/>
        <v>29.317112613937077</v>
      </c>
      <c r="P2186" s="144">
        <f t="shared" ca="1" si="255"/>
        <v>1</v>
      </c>
      <c r="Q2186" s="144">
        <f t="shared" ca="1" si="255"/>
        <v>0.73507791825933544</v>
      </c>
    </row>
    <row r="2187" spans="1:17" x14ac:dyDescent="0.25">
      <c r="A2187" s="145">
        <v>40583</v>
      </c>
      <c r="B2187" s="144">
        <v>1.3647</v>
      </c>
      <c r="C2187" s="144">
        <v>40.002200000000002</v>
      </c>
      <c r="D2187" s="144">
        <v>7.8685</v>
      </c>
      <c r="E2187" s="144">
        <v>112.65</v>
      </c>
      <c r="F2187" s="144">
        <v>0.85</v>
      </c>
      <c r="G2187" s="144">
        <v>1.3151999999999999</v>
      </c>
      <c r="I2187" s="144">
        <v>1</v>
      </c>
      <c r="J2187" s="145">
        <f t="shared" si="254"/>
        <v>40583</v>
      </c>
      <c r="K2187" s="144">
        <f t="shared" ca="1" si="255"/>
        <v>0.9637282919322927</v>
      </c>
      <c r="L2187" s="144">
        <f t="shared" ca="1" si="255"/>
        <v>0.62284751227375978</v>
      </c>
      <c r="M2187" s="144">
        <f t="shared" ca="1" si="255"/>
        <v>82.545614420751818</v>
      </c>
      <c r="N2187" s="144">
        <f t="shared" ca="1" si="255"/>
        <v>5.7657360592071516</v>
      </c>
      <c r="O2187" s="144">
        <f t="shared" ca="1" si="255"/>
        <v>29.312083241738112</v>
      </c>
      <c r="P2187" s="144">
        <f t="shared" ca="1" si="255"/>
        <v>1</v>
      </c>
      <c r="Q2187" s="144">
        <f t="shared" ca="1" si="255"/>
        <v>0.7327617791455997</v>
      </c>
    </row>
    <row r="2188" spans="1:17" x14ac:dyDescent="0.25">
      <c r="A2188" s="145">
        <v>40582</v>
      </c>
      <c r="B2188" s="144">
        <v>1.3634999999999999</v>
      </c>
      <c r="C2188" s="144">
        <v>39.961500000000001</v>
      </c>
      <c r="D2188" s="144">
        <v>7.859</v>
      </c>
      <c r="E2188" s="144">
        <v>112.09</v>
      </c>
      <c r="F2188" s="144">
        <v>0.84860000000000002</v>
      </c>
      <c r="G2188" s="144">
        <v>1.3029999999999999</v>
      </c>
      <c r="I2188" s="144">
        <v>1</v>
      </c>
      <c r="J2188" s="145">
        <f t="shared" si="254"/>
        <v>40582</v>
      </c>
      <c r="K2188" s="144">
        <f t="shared" ca="1" si="255"/>
        <v>0.95562889622295566</v>
      </c>
      <c r="L2188" s="144">
        <f t="shared" ca="1" si="255"/>
        <v>0.62236890355702246</v>
      </c>
      <c r="M2188" s="144">
        <f t="shared" ca="1" si="255"/>
        <v>82.207554088742214</v>
      </c>
      <c r="N2188" s="144">
        <f t="shared" ca="1" si="255"/>
        <v>5.7638430509717642</v>
      </c>
      <c r="O2188" s="144">
        <f t="shared" ca="1" si="255"/>
        <v>29.30803080308031</v>
      </c>
      <c r="P2188" s="144">
        <f t="shared" ca="1" si="255"/>
        <v>1</v>
      </c>
      <c r="Q2188" s="144">
        <f t="shared" ca="1" si="255"/>
        <v>0.73340667400073345</v>
      </c>
    </row>
    <row r="2189" spans="1:17" x14ac:dyDescent="0.25">
      <c r="A2189" s="145">
        <v>40581</v>
      </c>
      <c r="B2189" s="144">
        <v>1.3552999999999999</v>
      </c>
      <c r="C2189" s="144">
        <v>39.81</v>
      </c>
      <c r="D2189" s="144">
        <v>7.8384999999999998</v>
      </c>
      <c r="E2189" s="144">
        <v>111.52</v>
      </c>
      <c r="F2189" s="144">
        <v>0.84019999999999995</v>
      </c>
      <c r="G2189" s="144">
        <v>1.2952999999999999</v>
      </c>
      <c r="I2189" s="144">
        <v>1</v>
      </c>
      <c r="J2189" s="145">
        <f t="shared" si="254"/>
        <v>40581</v>
      </c>
      <c r="K2189" s="144">
        <f t="shared" ca="1" si="255"/>
        <v>0.95572935881354681</v>
      </c>
      <c r="L2189" s="144">
        <f t="shared" ca="1" si="255"/>
        <v>0.61993654541429943</v>
      </c>
      <c r="M2189" s="144">
        <f t="shared" ca="1" si="255"/>
        <v>82.284365085220983</v>
      </c>
      <c r="N2189" s="144">
        <f t="shared" ca="1" si="255"/>
        <v>5.7835903490002218</v>
      </c>
      <c r="O2189" s="144">
        <f t="shared" ca="1" si="255"/>
        <v>29.373570427211689</v>
      </c>
      <c r="P2189" s="144">
        <f t="shared" ca="1" si="255"/>
        <v>1</v>
      </c>
      <c r="Q2189" s="144">
        <f t="shared" ca="1" si="255"/>
        <v>0.73784401977421976</v>
      </c>
    </row>
    <row r="2190" spans="1:17" x14ac:dyDescent="0.25">
      <c r="A2190" s="145">
        <v>40580</v>
      </c>
      <c r="B2190" s="144">
        <v>1.3631</v>
      </c>
      <c r="C2190" s="144">
        <v>40.002899999999997</v>
      </c>
      <c r="D2190" s="144">
        <v>7.8075000000000001</v>
      </c>
      <c r="E2190" s="144">
        <v>111.42</v>
      </c>
      <c r="F2190" s="144">
        <v>0.84719999999999995</v>
      </c>
      <c r="G2190" s="144">
        <v>1.2954000000000001</v>
      </c>
      <c r="I2190" s="144">
        <v>1</v>
      </c>
      <c r="J2190" s="145">
        <f t="shared" si="254"/>
        <v>40580</v>
      </c>
      <c r="K2190" s="144">
        <f t="shared" ca="1" si="255"/>
        <v>0.95033379796053119</v>
      </c>
      <c r="L2190" s="144">
        <f t="shared" ca="1" si="255"/>
        <v>0.62152446629007407</v>
      </c>
      <c r="M2190" s="144">
        <f t="shared" ca="1" si="255"/>
        <v>81.740151126109609</v>
      </c>
      <c r="N2190" s="144">
        <f t="shared" ca="1" si="255"/>
        <v>5.7277529161470184</v>
      </c>
      <c r="O2190" s="144">
        <f t="shared" ca="1" si="255"/>
        <v>29.347003154574132</v>
      </c>
      <c r="P2190" s="144">
        <f t="shared" ca="1" si="255"/>
        <v>1</v>
      </c>
      <c r="Q2190" s="144">
        <f t="shared" ca="1" si="255"/>
        <v>0.73362189127723576</v>
      </c>
    </row>
    <row r="2191" spans="1:17" x14ac:dyDescent="0.25">
      <c r="A2191" s="145">
        <v>40579</v>
      </c>
      <c r="B2191" s="144">
        <v>1.3631</v>
      </c>
      <c r="C2191" s="144">
        <v>40.002899999999997</v>
      </c>
      <c r="D2191" s="144">
        <v>7.8075000000000001</v>
      </c>
      <c r="E2191" s="144">
        <v>111.42</v>
      </c>
      <c r="F2191" s="144">
        <v>0.84719999999999995</v>
      </c>
      <c r="G2191" s="144">
        <v>1.2954000000000001</v>
      </c>
      <c r="I2191" s="144">
        <v>1</v>
      </c>
      <c r="J2191" s="145">
        <f t="shared" si="254"/>
        <v>40579</v>
      </c>
      <c r="K2191" s="144">
        <f t="shared" ca="1" si="255"/>
        <v>0.95033379796053119</v>
      </c>
      <c r="L2191" s="144">
        <f t="shared" ca="1" si="255"/>
        <v>0.62152446629007407</v>
      </c>
      <c r="M2191" s="144">
        <f t="shared" ca="1" si="255"/>
        <v>81.740151126109609</v>
      </c>
      <c r="N2191" s="144">
        <f t="shared" ca="1" si="255"/>
        <v>5.7277529161470184</v>
      </c>
      <c r="O2191" s="144">
        <f t="shared" ca="1" si="255"/>
        <v>29.347003154574132</v>
      </c>
      <c r="P2191" s="144">
        <f t="shared" ca="1" si="255"/>
        <v>1</v>
      </c>
      <c r="Q2191" s="144">
        <f t="shared" ca="1" si="255"/>
        <v>0.73362189127723576</v>
      </c>
    </row>
    <row r="2192" spans="1:17" x14ac:dyDescent="0.25">
      <c r="A2192" s="145">
        <v>40578</v>
      </c>
      <c r="B2192" s="144">
        <v>1.3631</v>
      </c>
      <c r="C2192" s="144">
        <v>40.002899999999997</v>
      </c>
      <c r="D2192" s="144">
        <v>7.8075000000000001</v>
      </c>
      <c r="E2192" s="144">
        <v>111.42</v>
      </c>
      <c r="F2192" s="144">
        <v>0.84719999999999995</v>
      </c>
      <c r="G2192" s="144">
        <v>1.2954000000000001</v>
      </c>
      <c r="I2192" s="144">
        <v>1</v>
      </c>
      <c r="J2192" s="145">
        <f t="shared" si="254"/>
        <v>40578</v>
      </c>
      <c r="K2192" s="144">
        <f t="shared" ca="1" si="255"/>
        <v>0.95033379796053119</v>
      </c>
      <c r="L2192" s="144">
        <f t="shared" ca="1" si="255"/>
        <v>0.62152446629007407</v>
      </c>
      <c r="M2192" s="144">
        <f t="shared" ca="1" si="255"/>
        <v>81.740151126109609</v>
      </c>
      <c r="N2192" s="144">
        <f t="shared" ca="1" si="255"/>
        <v>5.7277529161470184</v>
      </c>
      <c r="O2192" s="144">
        <f t="shared" ca="1" si="255"/>
        <v>29.347003154574132</v>
      </c>
      <c r="P2192" s="144">
        <f t="shared" ca="1" si="255"/>
        <v>1</v>
      </c>
      <c r="Q2192" s="144">
        <f t="shared" ca="1" si="255"/>
        <v>0.73362189127723576</v>
      </c>
    </row>
    <row r="2193" spans="1:17" x14ac:dyDescent="0.25">
      <c r="A2193" s="145">
        <v>40577</v>
      </c>
      <c r="B2193" s="144">
        <v>1.3745000000000001</v>
      </c>
      <c r="C2193" s="144">
        <v>40.363</v>
      </c>
      <c r="D2193" s="144">
        <v>7.8585000000000003</v>
      </c>
      <c r="E2193" s="144">
        <v>112.46</v>
      </c>
      <c r="F2193" s="144">
        <v>0.84865000000000002</v>
      </c>
      <c r="G2193" s="144">
        <v>1.2987</v>
      </c>
      <c r="I2193" s="144">
        <v>1</v>
      </c>
      <c r="J2193" s="145">
        <f t="shared" si="254"/>
        <v>40577</v>
      </c>
      <c r="K2193" s="144">
        <f t="shared" ca="1" si="255"/>
        <v>0.94485267369952708</v>
      </c>
      <c r="L2193" s="144">
        <f t="shared" ca="1" si="255"/>
        <v>0.61742451800654785</v>
      </c>
      <c r="M2193" s="144">
        <f t="shared" ca="1" si="255"/>
        <v>81.818843215714793</v>
      </c>
      <c r="N2193" s="144">
        <f t="shared" ca="1" si="255"/>
        <v>5.717351764277919</v>
      </c>
      <c r="O2193" s="144">
        <f t="shared" ca="1" si="255"/>
        <v>29.365587486358674</v>
      </c>
      <c r="P2193" s="144">
        <f t="shared" ca="1" si="255"/>
        <v>1</v>
      </c>
      <c r="Q2193" s="144">
        <f t="shared" ca="1" si="255"/>
        <v>0.72753728628592207</v>
      </c>
    </row>
    <row r="2194" spans="1:17" x14ac:dyDescent="0.25">
      <c r="A2194" s="145">
        <v>40576</v>
      </c>
      <c r="B2194" s="144">
        <v>1.3803000000000001</v>
      </c>
      <c r="C2194" s="144">
        <v>40.65</v>
      </c>
      <c r="D2194" s="144">
        <v>7.8840000000000003</v>
      </c>
      <c r="E2194" s="144">
        <v>112.35</v>
      </c>
      <c r="F2194" s="144">
        <v>0.85189999999999999</v>
      </c>
      <c r="G2194" s="144">
        <v>1.2922</v>
      </c>
      <c r="I2194" s="144">
        <v>1</v>
      </c>
      <c r="J2194" s="145">
        <f t="shared" si="254"/>
        <v>40576</v>
      </c>
      <c r="K2194" s="144">
        <f t="shared" ca="1" si="255"/>
        <v>0.93617329566036367</v>
      </c>
      <c r="L2194" s="144">
        <f t="shared" ca="1" si="255"/>
        <v>0.61718466999927546</v>
      </c>
      <c r="M2194" s="144">
        <f t="shared" ca="1" si="255"/>
        <v>81.395348837209298</v>
      </c>
      <c r="N2194" s="144">
        <f t="shared" ca="1" si="255"/>
        <v>5.7118017822212561</v>
      </c>
      <c r="O2194" s="144">
        <f t="shared" ca="1" si="255"/>
        <v>29.450119539230599</v>
      </c>
      <c r="P2194" s="144">
        <f t="shared" ca="1" si="255"/>
        <v>1</v>
      </c>
      <c r="Q2194" s="144">
        <f t="shared" ca="1" si="255"/>
        <v>0.72448018546692738</v>
      </c>
    </row>
    <row r="2195" spans="1:17" x14ac:dyDescent="0.25">
      <c r="A2195" s="145">
        <v>40575</v>
      </c>
      <c r="B2195" s="144">
        <v>1.3754999999999999</v>
      </c>
      <c r="C2195" s="144">
        <v>40.747</v>
      </c>
      <c r="D2195" s="144">
        <v>7.8819999999999997</v>
      </c>
      <c r="E2195" s="144">
        <v>112.19</v>
      </c>
      <c r="F2195" s="144">
        <v>0.85360000000000003</v>
      </c>
      <c r="G2195" s="144">
        <v>1.2954000000000001</v>
      </c>
      <c r="I2195" s="144">
        <v>1</v>
      </c>
      <c r="J2195" s="145">
        <f t="shared" si="254"/>
        <v>40575</v>
      </c>
      <c r="K2195" s="144">
        <f t="shared" ref="K2195:Q2204" ca="1" si="256">OFFSET($A2195,0,K$3)/OFFSET($A2195,0,$P$3)</f>
        <v>0.94176663031624874</v>
      </c>
      <c r="L2195" s="144">
        <f t="shared" ca="1" si="256"/>
        <v>0.62057433660487105</v>
      </c>
      <c r="M2195" s="144">
        <f t="shared" ca="1" si="256"/>
        <v>81.563067975281712</v>
      </c>
      <c r="N2195" s="144">
        <f t="shared" ca="1" si="256"/>
        <v>5.7302798982188294</v>
      </c>
      <c r="O2195" s="144">
        <f t="shared" ca="1" si="256"/>
        <v>29.623409669211195</v>
      </c>
      <c r="P2195" s="144">
        <f t="shared" ca="1" si="256"/>
        <v>1</v>
      </c>
      <c r="Q2195" s="144">
        <f t="shared" ca="1" si="256"/>
        <v>0.72700836059614693</v>
      </c>
    </row>
    <row r="2196" spans="1:17" x14ac:dyDescent="0.25">
      <c r="A2196" s="145">
        <v>40574</v>
      </c>
      <c r="B2196" s="144">
        <v>1.3692</v>
      </c>
      <c r="C2196" s="144">
        <v>40.795000000000002</v>
      </c>
      <c r="D2196" s="144">
        <v>7.9269999999999996</v>
      </c>
      <c r="E2196" s="144">
        <v>112.49</v>
      </c>
      <c r="F2196" s="144">
        <v>0.8609</v>
      </c>
      <c r="G2196" s="144">
        <v>1.2890999999999999</v>
      </c>
      <c r="I2196" s="144">
        <v>1</v>
      </c>
      <c r="J2196" s="145">
        <f t="shared" si="254"/>
        <v>40574</v>
      </c>
      <c r="K2196" s="144">
        <f t="shared" ca="1" si="256"/>
        <v>0.94149868536371595</v>
      </c>
      <c r="L2196" s="144">
        <f t="shared" ca="1" si="256"/>
        <v>0.62876132047911193</v>
      </c>
      <c r="M2196" s="144">
        <f t="shared" ca="1" si="256"/>
        <v>82.157464212678931</v>
      </c>
      <c r="N2196" s="144">
        <f t="shared" ca="1" si="256"/>
        <v>5.7895121238679517</v>
      </c>
      <c r="O2196" s="144">
        <f t="shared" ca="1" si="256"/>
        <v>29.7947706690038</v>
      </c>
      <c r="P2196" s="144">
        <f t="shared" ca="1" si="256"/>
        <v>1</v>
      </c>
      <c r="Q2196" s="144">
        <f t="shared" ca="1" si="256"/>
        <v>0.73035349108968739</v>
      </c>
    </row>
    <row r="2197" spans="1:17" x14ac:dyDescent="0.25">
      <c r="A2197" s="145">
        <v>40573</v>
      </c>
      <c r="B2197" s="144">
        <v>1.371</v>
      </c>
      <c r="C2197" s="144">
        <v>40.713000000000001</v>
      </c>
      <c r="D2197" s="144">
        <v>7.9329999999999998</v>
      </c>
      <c r="E2197" s="144">
        <v>112.76</v>
      </c>
      <c r="F2197" s="144">
        <v>0.8609</v>
      </c>
      <c r="G2197" s="144">
        <v>1.2942</v>
      </c>
      <c r="I2197" s="144">
        <v>1</v>
      </c>
      <c r="J2197" s="145">
        <f t="shared" si="254"/>
        <v>40573</v>
      </c>
      <c r="K2197" s="144">
        <f t="shared" ca="1" si="256"/>
        <v>0.94398249452954053</v>
      </c>
      <c r="L2197" s="144">
        <f t="shared" ca="1" si="256"/>
        <v>0.62793581327498171</v>
      </c>
      <c r="M2197" s="144">
        <f t="shared" ca="1" si="256"/>
        <v>82.246535375638217</v>
      </c>
      <c r="N2197" s="144">
        <f t="shared" ca="1" si="256"/>
        <v>5.7862873814733771</v>
      </c>
      <c r="O2197" s="144">
        <f t="shared" ca="1" si="256"/>
        <v>29.695842450765866</v>
      </c>
      <c r="P2197" s="144">
        <f t="shared" ca="1" si="256"/>
        <v>1</v>
      </c>
      <c r="Q2197" s="144">
        <f t="shared" ca="1" si="256"/>
        <v>0.7293946024799417</v>
      </c>
    </row>
    <row r="2198" spans="1:17" x14ac:dyDescent="0.25">
      <c r="A2198" s="145">
        <v>40572</v>
      </c>
      <c r="B2198" s="144">
        <v>1.371</v>
      </c>
      <c r="C2198" s="144">
        <v>40.713000000000001</v>
      </c>
      <c r="D2198" s="144">
        <v>7.9329999999999998</v>
      </c>
      <c r="E2198" s="144">
        <v>112.76</v>
      </c>
      <c r="F2198" s="144">
        <v>0.8609</v>
      </c>
      <c r="G2198" s="144">
        <v>1.2942</v>
      </c>
      <c r="I2198" s="144">
        <v>1</v>
      </c>
      <c r="J2198" s="145">
        <f t="shared" si="254"/>
        <v>40572</v>
      </c>
      <c r="K2198" s="144">
        <f t="shared" ca="1" si="256"/>
        <v>0.94398249452954053</v>
      </c>
      <c r="L2198" s="144">
        <f t="shared" ca="1" si="256"/>
        <v>0.62793581327498171</v>
      </c>
      <c r="M2198" s="144">
        <f t="shared" ca="1" si="256"/>
        <v>82.246535375638217</v>
      </c>
      <c r="N2198" s="144">
        <f t="shared" ca="1" si="256"/>
        <v>5.7862873814733771</v>
      </c>
      <c r="O2198" s="144">
        <f t="shared" ca="1" si="256"/>
        <v>29.695842450765866</v>
      </c>
      <c r="P2198" s="144">
        <f t="shared" ca="1" si="256"/>
        <v>1</v>
      </c>
      <c r="Q2198" s="144">
        <f t="shared" ca="1" si="256"/>
        <v>0.7293946024799417</v>
      </c>
    </row>
    <row r="2199" spans="1:17" x14ac:dyDescent="0.25">
      <c r="A2199" s="145">
        <v>40571</v>
      </c>
      <c r="B2199" s="144">
        <v>1.371</v>
      </c>
      <c r="C2199" s="144">
        <v>40.713000000000001</v>
      </c>
      <c r="D2199" s="144">
        <v>7.9329999999999998</v>
      </c>
      <c r="E2199" s="144">
        <v>112.76</v>
      </c>
      <c r="F2199" s="144">
        <v>0.8609</v>
      </c>
      <c r="G2199" s="144">
        <v>1.2942</v>
      </c>
      <c r="I2199" s="144">
        <v>1</v>
      </c>
      <c r="J2199" s="145">
        <f t="shared" si="254"/>
        <v>40571</v>
      </c>
      <c r="K2199" s="144">
        <f t="shared" ca="1" si="256"/>
        <v>0.94398249452954053</v>
      </c>
      <c r="L2199" s="144">
        <f t="shared" ca="1" si="256"/>
        <v>0.62793581327498171</v>
      </c>
      <c r="M2199" s="144">
        <f t="shared" ca="1" si="256"/>
        <v>82.246535375638217</v>
      </c>
      <c r="N2199" s="144">
        <f t="shared" ca="1" si="256"/>
        <v>5.7862873814733771</v>
      </c>
      <c r="O2199" s="144">
        <f t="shared" ca="1" si="256"/>
        <v>29.695842450765866</v>
      </c>
      <c r="P2199" s="144">
        <f t="shared" ca="1" si="256"/>
        <v>1</v>
      </c>
      <c r="Q2199" s="144">
        <f t="shared" ca="1" si="256"/>
        <v>0.7293946024799417</v>
      </c>
    </row>
    <row r="2200" spans="1:17" x14ac:dyDescent="0.25">
      <c r="A2200" s="145">
        <v>40570</v>
      </c>
      <c r="B2200" s="144">
        <v>1.3715999999999999</v>
      </c>
      <c r="C2200" s="144">
        <v>40.642800000000001</v>
      </c>
      <c r="D2200" s="144">
        <v>7.923</v>
      </c>
      <c r="E2200" s="144">
        <v>113.9</v>
      </c>
      <c r="F2200" s="144">
        <v>0.85955000000000004</v>
      </c>
      <c r="G2200" s="144">
        <v>1.294</v>
      </c>
      <c r="I2200" s="144">
        <v>1</v>
      </c>
      <c r="J2200" s="145">
        <f t="shared" si="254"/>
        <v>40570</v>
      </c>
      <c r="K2200" s="144">
        <f t="shared" ca="1" si="256"/>
        <v>0.94342373869932927</v>
      </c>
      <c r="L2200" s="144">
        <f t="shared" ca="1" si="256"/>
        <v>0.62667687372411784</v>
      </c>
      <c r="M2200" s="144">
        <f t="shared" ca="1" si="256"/>
        <v>83.041703120443287</v>
      </c>
      <c r="N2200" s="144">
        <f t="shared" ca="1" si="256"/>
        <v>5.7764654418197727</v>
      </c>
      <c r="O2200" s="144">
        <f t="shared" ca="1" si="256"/>
        <v>29.631671041119862</v>
      </c>
      <c r="P2200" s="144">
        <f t="shared" ca="1" si="256"/>
        <v>1</v>
      </c>
      <c r="Q2200" s="144">
        <f t="shared" ca="1" si="256"/>
        <v>0.72907553222513855</v>
      </c>
    </row>
    <row r="2201" spans="1:17" x14ac:dyDescent="0.25">
      <c r="A2201" s="145">
        <v>40569</v>
      </c>
      <c r="B2201" s="144">
        <v>1.3681000000000001</v>
      </c>
      <c r="C2201" s="144">
        <v>40.700000000000003</v>
      </c>
      <c r="D2201" s="144">
        <v>7.8665000000000003</v>
      </c>
      <c r="E2201" s="144">
        <v>112.47</v>
      </c>
      <c r="F2201" s="144">
        <v>0.86324999999999996</v>
      </c>
      <c r="G2201" s="144">
        <v>1.2922</v>
      </c>
      <c r="I2201" s="144">
        <v>1</v>
      </c>
      <c r="J2201" s="145">
        <f t="shared" si="254"/>
        <v>40569</v>
      </c>
      <c r="K2201" s="144">
        <f t="shared" ca="1" si="256"/>
        <v>0.94452159929829682</v>
      </c>
      <c r="L2201" s="144">
        <f t="shared" ca="1" si="256"/>
        <v>0.63098457715079304</v>
      </c>
      <c r="M2201" s="144">
        <f t="shared" ca="1" si="256"/>
        <v>82.208902857978217</v>
      </c>
      <c r="N2201" s="144">
        <f t="shared" ca="1" si="256"/>
        <v>5.7499451794459464</v>
      </c>
      <c r="O2201" s="144">
        <f t="shared" ca="1" si="256"/>
        <v>29.749287332797309</v>
      </c>
      <c r="P2201" s="144">
        <f t="shared" ca="1" si="256"/>
        <v>1</v>
      </c>
      <c r="Q2201" s="144">
        <f t="shared" ca="1" si="256"/>
        <v>0.73094072070755056</v>
      </c>
    </row>
    <row r="2202" spans="1:17" x14ac:dyDescent="0.25">
      <c r="A2202" s="145">
        <v>40568</v>
      </c>
      <c r="B2202" s="144">
        <v>1.3595999999999999</v>
      </c>
      <c r="C2202" s="144">
        <v>40.520000000000003</v>
      </c>
      <c r="D2202" s="144">
        <v>7.8479999999999999</v>
      </c>
      <c r="E2202" s="144">
        <v>112.08</v>
      </c>
      <c r="F2202" s="144">
        <v>0.86199999999999999</v>
      </c>
      <c r="G2202" s="144">
        <v>1.2870999999999999</v>
      </c>
      <c r="I2202" s="144">
        <v>1</v>
      </c>
      <c r="J2202" s="145">
        <f t="shared" si="254"/>
        <v>40568</v>
      </c>
      <c r="K2202" s="144">
        <f t="shared" ca="1" si="256"/>
        <v>0.94667549279199759</v>
      </c>
      <c r="L2202" s="144">
        <f t="shared" ca="1" si="256"/>
        <v>0.63401000294204179</v>
      </c>
      <c r="M2202" s="144">
        <f t="shared" ca="1" si="256"/>
        <v>82.436010591350396</v>
      </c>
      <c r="N2202" s="144">
        <f t="shared" ca="1" si="256"/>
        <v>5.772285966460724</v>
      </c>
      <c r="O2202" s="144">
        <f t="shared" ca="1" si="256"/>
        <v>29.802883200941459</v>
      </c>
      <c r="P2202" s="144">
        <f t="shared" ca="1" si="256"/>
        <v>1</v>
      </c>
      <c r="Q2202" s="144">
        <f t="shared" ca="1" si="256"/>
        <v>0.73551044424830836</v>
      </c>
    </row>
    <row r="2203" spans="1:17" x14ac:dyDescent="0.25">
      <c r="A2203" s="145">
        <v>40567</v>
      </c>
      <c r="B2203" s="144">
        <v>1.3571</v>
      </c>
      <c r="C2203" s="144">
        <v>40.520000000000003</v>
      </c>
      <c r="D2203" s="144">
        <v>7.883</v>
      </c>
      <c r="E2203" s="144">
        <v>112.46</v>
      </c>
      <c r="F2203" s="144">
        <v>0.85160000000000002</v>
      </c>
      <c r="G2203" s="144">
        <v>1.2988999999999999</v>
      </c>
      <c r="I2203" s="144">
        <v>1</v>
      </c>
      <c r="J2203" s="145">
        <f t="shared" si="254"/>
        <v>40567</v>
      </c>
      <c r="K2203" s="144">
        <f t="shared" ca="1" si="256"/>
        <v>0.95711443519269024</v>
      </c>
      <c r="L2203" s="144">
        <f t="shared" ca="1" si="256"/>
        <v>0.62751455309115023</v>
      </c>
      <c r="M2203" s="144">
        <f t="shared" ca="1" si="256"/>
        <v>82.867880038316997</v>
      </c>
      <c r="N2203" s="144">
        <f t="shared" ca="1" si="256"/>
        <v>5.8087097487289077</v>
      </c>
      <c r="O2203" s="144">
        <f t="shared" ca="1" si="256"/>
        <v>29.857784982683668</v>
      </c>
      <c r="P2203" s="144">
        <f t="shared" ca="1" si="256"/>
        <v>1</v>
      </c>
      <c r="Q2203" s="144">
        <f t="shared" ca="1" si="256"/>
        <v>0.73686537469604307</v>
      </c>
    </row>
    <row r="2204" spans="1:17" x14ac:dyDescent="0.25">
      <c r="A2204" s="145">
        <v>40566</v>
      </c>
      <c r="B2204" s="144">
        <v>1.3521000000000001</v>
      </c>
      <c r="C2204" s="144">
        <v>40.501300000000001</v>
      </c>
      <c r="D2204" s="144">
        <v>7.8920000000000003</v>
      </c>
      <c r="E2204" s="144">
        <v>111.87</v>
      </c>
      <c r="F2204" s="144">
        <v>0.84824999999999995</v>
      </c>
      <c r="G2204" s="144">
        <v>1.3012999999999999</v>
      </c>
      <c r="I2204" s="144">
        <v>1</v>
      </c>
      <c r="J2204" s="145">
        <f t="shared" si="254"/>
        <v>40566</v>
      </c>
      <c r="K2204" s="144">
        <f t="shared" ca="1" si="256"/>
        <v>0.96242881443680184</v>
      </c>
      <c r="L2204" s="144">
        <f t="shared" ca="1" si="256"/>
        <v>0.62735744397603721</v>
      </c>
      <c r="M2204" s="144">
        <f t="shared" ca="1" si="256"/>
        <v>82.737963168404704</v>
      </c>
      <c r="N2204" s="144">
        <f t="shared" ca="1" si="256"/>
        <v>5.8368463871015459</v>
      </c>
      <c r="O2204" s="144">
        <f t="shared" ca="1" si="256"/>
        <v>29.954367280526586</v>
      </c>
      <c r="P2204" s="144">
        <f t="shared" ca="1" si="256"/>
        <v>1</v>
      </c>
      <c r="Q2204" s="144">
        <f t="shared" ca="1" si="256"/>
        <v>0.7395902669920863</v>
      </c>
    </row>
    <row r="2205" spans="1:17" x14ac:dyDescent="0.25">
      <c r="A2205" s="145">
        <v>40565</v>
      </c>
      <c r="B2205" s="144">
        <v>1.3521000000000001</v>
      </c>
      <c r="C2205" s="144">
        <v>40.501300000000001</v>
      </c>
      <c r="D2205" s="144">
        <v>7.8920000000000003</v>
      </c>
      <c r="E2205" s="144">
        <v>111.87</v>
      </c>
      <c r="F2205" s="144">
        <v>0.84824999999999995</v>
      </c>
      <c r="G2205" s="144">
        <v>1.3012999999999999</v>
      </c>
      <c r="I2205" s="144">
        <v>1</v>
      </c>
      <c r="J2205" s="145">
        <f t="shared" si="254"/>
        <v>40565</v>
      </c>
      <c r="K2205" s="144">
        <f t="shared" ref="K2205:Q2214" ca="1" si="257">OFFSET($A2205,0,K$3)/OFFSET($A2205,0,$P$3)</f>
        <v>0.96242881443680184</v>
      </c>
      <c r="L2205" s="144">
        <f t="shared" ca="1" si="257"/>
        <v>0.62735744397603721</v>
      </c>
      <c r="M2205" s="144">
        <f t="shared" ca="1" si="257"/>
        <v>82.737963168404704</v>
      </c>
      <c r="N2205" s="144">
        <f t="shared" ca="1" si="257"/>
        <v>5.8368463871015459</v>
      </c>
      <c r="O2205" s="144">
        <f t="shared" ca="1" si="257"/>
        <v>29.954367280526586</v>
      </c>
      <c r="P2205" s="144">
        <f t="shared" ca="1" si="257"/>
        <v>1</v>
      </c>
      <c r="Q2205" s="144">
        <f t="shared" ca="1" si="257"/>
        <v>0.7395902669920863</v>
      </c>
    </row>
    <row r="2206" spans="1:17" x14ac:dyDescent="0.25">
      <c r="A2206" s="145">
        <v>40564</v>
      </c>
      <c r="B2206" s="144">
        <v>1.3521000000000001</v>
      </c>
      <c r="C2206" s="144">
        <v>40.501300000000001</v>
      </c>
      <c r="D2206" s="144">
        <v>7.8920000000000003</v>
      </c>
      <c r="E2206" s="144">
        <v>111.87</v>
      </c>
      <c r="F2206" s="144">
        <v>0.84824999999999995</v>
      </c>
      <c r="G2206" s="144">
        <v>1.3012999999999999</v>
      </c>
      <c r="I2206" s="144">
        <v>1</v>
      </c>
      <c r="J2206" s="145">
        <f t="shared" si="254"/>
        <v>40564</v>
      </c>
      <c r="K2206" s="144">
        <f t="shared" ca="1" si="257"/>
        <v>0.96242881443680184</v>
      </c>
      <c r="L2206" s="144">
        <f t="shared" ca="1" si="257"/>
        <v>0.62735744397603721</v>
      </c>
      <c r="M2206" s="144">
        <f t="shared" ca="1" si="257"/>
        <v>82.737963168404704</v>
      </c>
      <c r="N2206" s="144">
        <f t="shared" ca="1" si="257"/>
        <v>5.8368463871015459</v>
      </c>
      <c r="O2206" s="144">
        <f t="shared" ca="1" si="257"/>
        <v>29.954367280526586</v>
      </c>
      <c r="P2206" s="144">
        <f t="shared" ca="1" si="257"/>
        <v>1</v>
      </c>
      <c r="Q2206" s="144">
        <f t="shared" ca="1" si="257"/>
        <v>0.7395902669920863</v>
      </c>
    </row>
    <row r="2207" spans="1:17" x14ac:dyDescent="0.25">
      <c r="A2207" s="145">
        <v>40563</v>
      </c>
      <c r="B2207" s="144">
        <v>1.3472</v>
      </c>
      <c r="C2207" s="144">
        <v>40.422499999999999</v>
      </c>
      <c r="D2207" s="144">
        <v>7.8745000000000003</v>
      </c>
      <c r="E2207" s="144">
        <v>110.93</v>
      </c>
      <c r="F2207" s="144">
        <v>0.84360000000000002</v>
      </c>
      <c r="G2207" s="144">
        <v>1.2873000000000001</v>
      </c>
      <c r="I2207" s="144">
        <v>1</v>
      </c>
      <c r="J2207" s="145">
        <f t="shared" si="254"/>
        <v>40563</v>
      </c>
      <c r="K2207" s="144">
        <f t="shared" ca="1" si="257"/>
        <v>0.9555374109263659</v>
      </c>
      <c r="L2207" s="144">
        <f t="shared" ca="1" si="257"/>
        <v>0.62618764845605701</v>
      </c>
      <c r="M2207" s="144">
        <f t="shared" ca="1" si="257"/>
        <v>82.341152019002379</v>
      </c>
      <c r="N2207" s="144">
        <f t="shared" ca="1" si="257"/>
        <v>5.8450861045130642</v>
      </c>
      <c r="O2207" s="144">
        <f t="shared" ca="1" si="257"/>
        <v>30.004824821852733</v>
      </c>
      <c r="P2207" s="144">
        <f t="shared" ca="1" si="257"/>
        <v>1</v>
      </c>
      <c r="Q2207" s="144">
        <f t="shared" ca="1" si="257"/>
        <v>0.74228028503562948</v>
      </c>
    </row>
    <row r="2208" spans="1:17" x14ac:dyDescent="0.25">
      <c r="A2208" s="145">
        <v>40562</v>
      </c>
      <c r="B2208" s="144">
        <v>1.3506</v>
      </c>
      <c r="C2208" s="144">
        <v>40.262500000000003</v>
      </c>
      <c r="D2208" s="144">
        <v>7.8259999999999996</v>
      </c>
      <c r="E2208" s="144">
        <v>110.85</v>
      </c>
      <c r="F2208" s="144">
        <v>0.84330000000000005</v>
      </c>
      <c r="G2208" s="144">
        <v>1.2964</v>
      </c>
      <c r="I2208" s="144">
        <v>1</v>
      </c>
      <c r="J2208" s="145">
        <f t="shared" si="254"/>
        <v>40562</v>
      </c>
      <c r="K2208" s="144">
        <f t="shared" ca="1" si="257"/>
        <v>0.95986968754627566</v>
      </c>
      <c r="L2208" s="144">
        <f t="shared" ca="1" si="257"/>
        <v>0.6243891603731675</v>
      </c>
      <c r="M2208" s="144">
        <f t="shared" ca="1" si="257"/>
        <v>82.074633496223896</v>
      </c>
      <c r="N2208" s="144">
        <f t="shared" ca="1" si="257"/>
        <v>5.7944617207167184</v>
      </c>
      <c r="O2208" s="144">
        <f t="shared" ca="1" si="257"/>
        <v>29.810824818599144</v>
      </c>
      <c r="P2208" s="144">
        <f t="shared" ca="1" si="257"/>
        <v>1</v>
      </c>
      <c r="Q2208" s="144">
        <f t="shared" ca="1" si="257"/>
        <v>0.74041166888790166</v>
      </c>
    </row>
    <row r="2209" spans="1:17" x14ac:dyDescent="0.25">
      <c r="A2209" s="145">
        <v>40561</v>
      </c>
      <c r="B2209" s="144">
        <v>1.3371</v>
      </c>
      <c r="C2209" s="144">
        <v>39.994999999999997</v>
      </c>
      <c r="D2209" s="144">
        <v>7.82</v>
      </c>
      <c r="E2209" s="144">
        <v>110.29</v>
      </c>
      <c r="F2209" s="144">
        <v>0.83565</v>
      </c>
      <c r="G2209" s="144">
        <v>1.2811999999999999</v>
      </c>
      <c r="I2209" s="144">
        <v>1</v>
      </c>
      <c r="J2209" s="145">
        <f t="shared" si="254"/>
        <v>40561</v>
      </c>
      <c r="K2209" s="144">
        <f t="shared" ca="1" si="257"/>
        <v>0.9581931044798444</v>
      </c>
      <c r="L2209" s="144">
        <f t="shared" ca="1" si="257"/>
        <v>0.6249719542293023</v>
      </c>
      <c r="M2209" s="144">
        <f t="shared" ca="1" si="257"/>
        <v>82.484481340213904</v>
      </c>
      <c r="N2209" s="144">
        <f t="shared" ca="1" si="257"/>
        <v>5.8484780495101347</v>
      </c>
      <c r="O2209" s="144">
        <f t="shared" ca="1" si="257"/>
        <v>29.911749308204321</v>
      </c>
      <c r="P2209" s="144">
        <f t="shared" ca="1" si="257"/>
        <v>1</v>
      </c>
      <c r="Q2209" s="144">
        <f t="shared" ca="1" si="257"/>
        <v>0.74788721860743401</v>
      </c>
    </row>
    <row r="2210" spans="1:17" x14ac:dyDescent="0.25">
      <c r="A2210" s="145">
        <v>40560</v>
      </c>
      <c r="B2210" s="144">
        <v>1.3310999999999999</v>
      </c>
      <c r="C2210" s="144">
        <v>39.8748</v>
      </c>
      <c r="D2210" s="144">
        <v>7.7859999999999996</v>
      </c>
      <c r="E2210" s="144">
        <v>109.91</v>
      </c>
      <c r="F2210" s="144">
        <v>0.83609999999999995</v>
      </c>
      <c r="G2210" s="144">
        <v>1.2854000000000001</v>
      </c>
      <c r="I2210" s="144">
        <v>1</v>
      </c>
      <c r="J2210" s="145">
        <f t="shared" si="254"/>
        <v>40560</v>
      </c>
      <c r="K2210" s="144">
        <f t="shared" ca="1" si="257"/>
        <v>0.9656674930508603</v>
      </c>
      <c r="L2210" s="144">
        <f t="shared" ca="1" si="257"/>
        <v>0.62812711291413115</v>
      </c>
      <c r="M2210" s="144">
        <f t="shared" ca="1" si="257"/>
        <v>82.570806100217865</v>
      </c>
      <c r="N2210" s="144">
        <f t="shared" ca="1" si="257"/>
        <v>5.8492975734355044</v>
      </c>
      <c r="O2210" s="144">
        <f t="shared" ca="1" si="257"/>
        <v>29.956276763578995</v>
      </c>
      <c r="P2210" s="144">
        <f t="shared" ca="1" si="257"/>
        <v>1</v>
      </c>
      <c r="Q2210" s="144">
        <f t="shared" ca="1" si="257"/>
        <v>0.75125835774923</v>
      </c>
    </row>
    <row r="2211" spans="1:17" x14ac:dyDescent="0.25">
      <c r="A2211" s="145">
        <v>40559</v>
      </c>
      <c r="B2211" s="144">
        <v>1.3349</v>
      </c>
      <c r="C2211" s="144">
        <v>40.1143</v>
      </c>
      <c r="D2211" s="144">
        <v>7.85</v>
      </c>
      <c r="E2211" s="144">
        <v>110.71</v>
      </c>
      <c r="F2211" s="144">
        <v>0.84219999999999995</v>
      </c>
      <c r="G2211" s="144">
        <v>1.2915000000000001</v>
      </c>
      <c r="I2211" s="144">
        <v>1</v>
      </c>
      <c r="J2211" s="145">
        <f t="shared" si="254"/>
        <v>40559</v>
      </c>
      <c r="K2211" s="144">
        <f t="shared" ca="1" si="257"/>
        <v>0.96748820136339808</v>
      </c>
      <c r="L2211" s="144">
        <f t="shared" ca="1" si="257"/>
        <v>0.63090868229829944</v>
      </c>
      <c r="M2211" s="144">
        <f t="shared" ca="1" si="257"/>
        <v>82.93505131470522</v>
      </c>
      <c r="N2211" s="144">
        <f t="shared" ca="1" si="257"/>
        <v>5.8805903063899914</v>
      </c>
      <c r="O2211" s="144">
        <f t="shared" ca="1" si="257"/>
        <v>30.050415761480263</v>
      </c>
      <c r="P2211" s="144">
        <f t="shared" ca="1" si="257"/>
        <v>1</v>
      </c>
      <c r="Q2211" s="144">
        <f t="shared" ca="1" si="257"/>
        <v>0.74911978425350212</v>
      </c>
    </row>
    <row r="2212" spans="1:17" x14ac:dyDescent="0.25">
      <c r="A2212" s="145">
        <v>40558</v>
      </c>
      <c r="B2212" s="144">
        <v>1.3349</v>
      </c>
      <c r="C2212" s="144">
        <v>40.1143</v>
      </c>
      <c r="D2212" s="144">
        <v>7.85</v>
      </c>
      <c r="E2212" s="144">
        <v>110.71</v>
      </c>
      <c r="F2212" s="144">
        <v>0.84219999999999995</v>
      </c>
      <c r="G2212" s="144">
        <v>1.2915000000000001</v>
      </c>
      <c r="I2212" s="144">
        <v>1</v>
      </c>
      <c r="J2212" s="145">
        <f t="shared" si="254"/>
        <v>40558</v>
      </c>
      <c r="K2212" s="144">
        <f t="shared" ca="1" si="257"/>
        <v>0.96748820136339808</v>
      </c>
      <c r="L2212" s="144">
        <f t="shared" ca="1" si="257"/>
        <v>0.63090868229829944</v>
      </c>
      <c r="M2212" s="144">
        <f t="shared" ca="1" si="257"/>
        <v>82.93505131470522</v>
      </c>
      <c r="N2212" s="144">
        <f t="shared" ca="1" si="257"/>
        <v>5.8805903063899914</v>
      </c>
      <c r="O2212" s="144">
        <f t="shared" ca="1" si="257"/>
        <v>30.050415761480263</v>
      </c>
      <c r="P2212" s="144">
        <f t="shared" ca="1" si="257"/>
        <v>1</v>
      </c>
      <c r="Q2212" s="144">
        <f t="shared" ca="1" si="257"/>
        <v>0.74911978425350212</v>
      </c>
    </row>
    <row r="2213" spans="1:17" x14ac:dyDescent="0.25">
      <c r="A2213" s="145">
        <v>40557</v>
      </c>
      <c r="B2213" s="144">
        <v>1.3349</v>
      </c>
      <c r="C2213" s="144">
        <v>40.1143</v>
      </c>
      <c r="D2213" s="144">
        <v>7.85</v>
      </c>
      <c r="E2213" s="144">
        <v>110.71</v>
      </c>
      <c r="F2213" s="144">
        <v>0.84219999999999995</v>
      </c>
      <c r="G2213" s="144">
        <v>1.2915000000000001</v>
      </c>
      <c r="I2213" s="144">
        <v>1</v>
      </c>
      <c r="J2213" s="145">
        <f t="shared" si="254"/>
        <v>40557</v>
      </c>
      <c r="K2213" s="144">
        <f t="shared" ca="1" si="257"/>
        <v>0.96748820136339808</v>
      </c>
      <c r="L2213" s="144">
        <f t="shared" ca="1" si="257"/>
        <v>0.63090868229829944</v>
      </c>
      <c r="M2213" s="144">
        <f t="shared" ca="1" si="257"/>
        <v>82.93505131470522</v>
      </c>
      <c r="N2213" s="144">
        <f t="shared" ca="1" si="257"/>
        <v>5.8805903063899914</v>
      </c>
      <c r="O2213" s="144">
        <f t="shared" ca="1" si="257"/>
        <v>30.050415761480263</v>
      </c>
      <c r="P2213" s="144">
        <f t="shared" ca="1" si="257"/>
        <v>1</v>
      </c>
      <c r="Q2213" s="144">
        <f t="shared" ca="1" si="257"/>
        <v>0.74911978425350212</v>
      </c>
    </row>
    <row r="2214" spans="1:17" x14ac:dyDescent="0.25">
      <c r="A2214" s="145">
        <v>40556</v>
      </c>
      <c r="B2214" s="144">
        <v>1.3199000000000001</v>
      </c>
      <c r="C2214" s="144">
        <v>39.68</v>
      </c>
      <c r="D2214" s="144">
        <v>7.7969999999999997</v>
      </c>
      <c r="E2214" s="144">
        <v>109.5</v>
      </c>
      <c r="F2214" s="144">
        <v>0.83574999999999999</v>
      </c>
      <c r="G2214" s="144">
        <v>1.2823</v>
      </c>
      <c r="I2214" s="144">
        <v>1</v>
      </c>
      <c r="J2214" s="145">
        <f t="shared" si="254"/>
        <v>40556</v>
      </c>
      <c r="K2214" s="144">
        <f t="shared" ca="1" si="257"/>
        <v>0.97151299340859154</v>
      </c>
      <c r="L2214" s="144">
        <f t="shared" ca="1" si="257"/>
        <v>0.63319190847791496</v>
      </c>
      <c r="M2214" s="144">
        <f t="shared" ca="1" si="257"/>
        <v>82.960830365936815</v>
      </c>
      <c r="N2214" s="144">
        <f t="shared" ca="1" si="257"/>
        <v>5.9072657019471171</v>
      </c>
      <c r="O2214" s="144">
        <f t="shared" ca="1" si="257"/>
        <v>30.062883551784225</v>
      </c>
      <c r="P2214" s="144">
        <f t="shared" ca="1" si="257"/>
        <v>1</v>
      </c>
      <c r="Q2214" s="144">
        <f t="shared" ca="1" si="257"/>
        <v>0.75763315402682019</v>
      </c>
    </row>
    <row r="2215" spans="1:17" x14ac:dyDescent="0.25">
      <c r="A2215" s="145">
        <v>40555</v>
      </c>
      <c r="B2215" s="144">
        <v>1.2972999999999999</v>
      </c>
      <c r="C2215" s="144">
        <v>39.361499999999999</v>
      </c>
      <c r="D2215" s="144">
        <v>7.7060000000000004</v>
      </c>
      <c r="E2215" s="144">
        <v>108.17</v>
      </c>
      <c r="F2215" s="144">
        <v>0.83155000000000001</v>
      </c>
      <c r="G2215" s="144">
        <v>1.2622</v>
      </c>
      <c r="I2215" s="144">
        <v>1</v>
      </c>
      <c r="J2215" s="145">
        <f t="shared" si="254"/>
        <v>40555</v>
      </c>
      <c r="K2215" s="144">
        <f t="shared" ref="K2215:Q2224" ca="1" si="258">OFFSET($A2215,0,K$3)/OFFSET($A2215,0,$P$3)</f>
        <v>0.97294380636707012</v>
      </c>
      <c r="L2215" s="144">
        <f t="shared" ca="1" si="258"/>
        <v>0.64098512294766063</v>
      </c>
      <c r="M2215" s="144">
        <f t="shared" ca="1" si="258"/>
        <v>83.380867956525094</v>
      </c>
      <c r="N2215" s="144">
        <f t="shared" ca="1" si="258"/>
        <v>5.9400292916056436</v>
      </c>
      <c r="O2215" s="144">
        <f t="shared" ca="1" si="258"/>
        <v>30.341093039389502</v>
      </c>
      <c r="P2215" s="144">
        <f t="shared" ca="1" si="258"/>
        <v>1</v>
      </c>
      <c r="Q2215" s="144">
        <f t="shared" ca="1" si="258"/>
        <v>0.77083172743390127</v>
      </c>
    </row>
    <row r="2216" spans="1:17" x14ac:dyDescent="0.25">
      <c r="A2216" s="145">
        <v>40554</v>
      </c>
      <c r="B2216" s="144">
        <v>1.2948</v>
      </c>
      <c r="C2216" s="144">
        <v>39.592700000000001</v>
      </c>
      <c r="D2216" s="144">
        <v>7.726</v>
      </c>
      <c r="E2216" s="144">
        <v>107.61</v>
      </c>
      <c r="F2216" s="144">
        <v>0.83189999999999997</v>
      </c>
      <c r="G2216" s="144">
        <v>1.2538</v>
      </c>
      <c r="I2216" s="144">
        <v>1</v>
      </c>
      <c r="J2216" s="145">
        <f t="shared" si="254"/>
        <v>40554</v>
      </c>
      <c r="K2216" s="144">
        <f t="shared" ca="1" si="258"/>
        <v>0.96833487797343221</v>
      </c>
      <c r="L2216" s="144">
        <f t="shared" ca="1" si="258"/>
        <v>0.64249304911955518</v>
      </c>
      <c r="M2216" s="144">
        <f t="shared" ca="1" si="258"/>
        <v>83.109360518999083</v>
      </c>
      <c r="N2216" s="144">
        <f t="shared" ca="1" si="258"/>
        <v>5.9669447018844615</v>
      </c>
      <c r="O2216" s="144">
        <f t="shared" ca="1" si="258"/>
        <v>30.578236021007108</v>
      </c>
      <c r="P2216" s="144">
        <f t="shared" ca="1" si="258"/>
        <v>1</v>
      </c>
      <c r="Q2216" s="144">
        <f t="shared" ca="1" si="258"/>
        <v>0.7723200494284832</v>
      </c>
    </row>
    <row r="2217" spans="1:17" x14ac:dyDescent="0.25">
      <c r="A2217" s="145">
        <v>40553</v>
      </c>
      <c r="B2217" s="144">
        <v>1.2903</v>
      </c>
      <c r="C2217" s="144">
        <v>39.674999999999997</v>
      </c>
      <c r="D2217" s="144">
        <v>7.7084999999999999</v>
      </c>
      <c r="E2217" s="144">
        <v>107.17</v>
      </c>
      <c r="F2217" s="144">
        <v>0.83179999999999998</v>
      </c>
      <c r="G2217" s="144">
        <v>1.2459</v>
      </c>
      <c r="I2217" s="144">
        <v>1</v>
      </c>
      <c r="J2217" s="145">
        <f t="shared" si="254"/>
        <v>40553</v>
      </c>
      <c r="K2217" s="144">
        <f t="shared" ca="1" si="258"/>
        <v>0.96558939781446174</v>
      </c>
      <c r="L2217" s="144">
        <f t="shared" ca="1" si="258"/>
        <v>0.64465628148492593</v>
      </c>
      <c r="M2217" s="144">
        <f t="shared" ca="1" si="258"/>
        <v>83.058203518561569</v>
      </c>
      <c r="N2217" s="144">
        <f t="shared" ca="1" si="258"/>
        <v>5.9741920483608464</v>
      </c>
      <c r="O2217" s="144">
        <f t="shared" ca="1" si="258"/>
        <v>30.748663101604276</v>
      </c>
      <c r="P2217" s="144">
        <f t="shared" ca="1" si="258"/>
        <v>1</v>
      </c>
      <c r="Q2217" s="144">
        <f t="shared" ca="1" si="258"/>
        <v>0.77501356273734789</v>
      </c>
    </row>
    <row r="2218" spans="1:17" x14ac:dyDescent="0.25">
      <c r="A2218" s="145">
        <v>40552</v>
      </c>
      <c r="B2218" s="144">
        <v>1.2961</v>
      </c>
      <c r="C2218" s="144">
        <v>39.8538</v>
      </c>
      <c r="D2218" s="144">
        <v>7.726</v>
      </c>
      <c r="E2218" s="144">
        <v>108.29</v>
      </c>
      <c r="F2218" s="144">
        <v>0.83830000000000005</v>
      </c>
      <c r="G2218" s="144">
        <v>1.2512000000000001</v>
      </c>
      <c r="I2218" s="144">
        <v>1</v>
      </c>
      <c r="J2218" s="145">
        <f t="shared" si="254"/>
        <v>40552</v>
      </c>
      <c r="K2218" s="144">
        <f t="shared" ca="1" si="258"/>
        <v>0.96535761129542474</v>
      </c>
      <c r="L2218" s="144">
        <f t="shared" ca="1" si="258"/>
        <v>0.64678651338631277</v>
      </c>
      <c r="M2218" s="144">
        <f t="shared" ca="1" si="258"/>
        <v>83.550651955867608</v>
      </c>
      <c r="N2218" s="144">
        <f t="shared" ca="1" si="258"/>
        <v>5.9609598024843757</v>
      </c>
      <c r="O2218" s="144">
        <f t="shared" ca="1" si="258"/>
        <v>30.749016279608053</v>
      </c>
      <c r="P2218" s="144">
        <f t="shared" ca="1" si="258"/>
        <v>1</v>
      </c>
      <c r="Q2218" s="144">
        <f t="shared" ca="1" si="258"/>
        <v>0.77154540544711059</v>
      </c>
    </row>
    <row r="2219" spans="1:17" x14ac:dyDescent="0.25">
      <c r="A2219" s="145">
        <v>40551</v>
      </c>
      <c r="B2219" s="144">
        <v>1.2961</v>
      </c>
      <c r="C2219" s="144">
        <v>39.8538</v>
      </c>
      <c r="D2219" s="144">
        <v>7.726</v>
      </c>
      <c r="E2219" s="144">
        <v>108.29</v>
      </c>
      <c r="F2219" s="144">
        <v>0.83830000000000005</v>
      </c>
      <c r="G2219" s="144">
        <v>1.2512000000000001</v>
      </c>
      <c r="I2219" s="144">
        <v>1</v>
      </c>
      <c r="J2219" s="145">
        <f t="shared" si="254"/>
        <v>40551</v>
      </c>
      <c r="K2219" s="144">
        <f t="shared" ca="1" si="258"/>
        <v>0.96535761129542474</v>
      </c>
      <c r="L2219" s="144">
        <f t="shared" ca="1" si="258"/>
        <v>0.64678651338631277</v>
      </c>
      <c r="M2219" s="144">
        <f t="shared" ca="1" si="258"/>
        <v>83.550651955867608</v>
      </c>
      <c r="N2219" s="144">
        <f t="shared" ca="1" si="258"/>
        <v>5.9609598024843757</v>
      </c>
      <c r="O2219" s="144">
        <f t="shared" ca="1" si="258"/>
        <v>30.749016279608053</v>
      </c>
      <c r="P2219" s="144">
        <f t="shared" ca="1" si="258"/>
        <v>1</v>
      </c>
      <c r="Q2219" s="144">
        <f t="shared" ca="1" si="258"/>
        <v>0.77154540544711059</v>
      </c>
    </row>
    <row r="2220" spans="1:17" x14ac:dyDescent="0.25">
      <c r="A2220" s="145">
        <v>40550</v>
      </c>
      <c r="B2220" s="144">
        <v>1.2961</v>
      </c>
      <c r="C2220" s="144">
        <v>39.8538</v>
      </c>
      <c r="D2220" s="144">
        <v>7.726</v>
      </c>
      <c r="E2220" s="144">
        <v>108.29</v>
      </c>
      <c r="F2220" s="144">
        <v>0.83830000000000005</v>
      </c>
      <c r="G2220" s="144">
        <v>1.2512000000000001</v>
      </c>
      <c r="I2220" s="144">
        <v>1</v>
      </c>
      <c r="J2220" s="145">
        <f t="shared" si="254"/>
        <v>40550</v>
      </c>
      <c r="K2220" s="144">
        <f t="shared" ca="1" si="258"/>
        <v>0.96535761129542474</v>
      </c>
      <c r="L2220" s="144">
        <f t="shared" ca="1" si="258"/>
        <v>0.64678651338631277</v>
      </c>
      <c r="M2220" s="144">
        <f t="shared" ca="1" si="258"/>
        <v>83.550651955867608</v>
      </c>
      <c r="N2220" s="144">
        <f t="shared" ca="1" si="258"/>
        <v>5.9609598024843757</v>
      </c>
      <c r="O2220" s="144">
        <f t="shared" ca="1" si="258"/>
        <v>30.749016279608053</v>
      </c>
      <c r="P2220" s="144">
        <f t="shared" ca="1" si="258"/>
        <v>1</v>
      </c>
      <c r="Q2220" s="144">
        <f t="shared" ca="1" si="258"/>
        <v>0.77154540544711059</v>
      </c>
    </row>
    <row r="2221" spans="1:17" x14ac:dyDescent="0.25">
      <c r="A2221" s="145">
        <v>40549</v>
      </c>
      <c r="B2221" s="144">
        <v>1.3090999999999999</v>
      </c>
      <c r="C2221" s="144">
        <v>40.033000000000001</v>
      </c>
      <c r="D2221" s="144">
        <v>7.7474999999999996</v>
      </c>
      <c r="E2221" s="144">
        <v>108.92</v>
      </c>
      <c r="F2221" s="144">
        <v>0.84450000000000003</v>
      </c>
      <c r="G2221" s="144">
        <v>1.2677</v>
      </c>
      <c r="I2221" s="144">
        <v>1</v>
      </c>
      <c r="J2221" s="145">
        <f t="shared" si="254"/>
        <v>40549</v>
      </c>
      <c r="K2221" s="144">
        <f t="shared" ca="1" si="258"/>
        <v>0.9683752196165305</v>
      </c>
      <c r="L2221" s="144">
        <f t="shared" ca="1" si="258"/>
        <v>0.64509968680773055</v>
      </c>
      <c r="M2221" s="144">
        <f t="shared" ca="1" si="258"/>
        <v>83.202199984722327</v>
      </c>
      <c r="N2221" s="144">
        <f t="shared" ca="1" si="258"/>
        <v>5.9181880681384156</v>
      </c>
      <c r="O2221" s="144">
        <f t="shared" ca="1" si="258"/>
        <v>30.580551523947754</v>
      </c>
      <c r="P2221" s="144">
        <f t="shared" ca="1" si="258"/>
        <v>1</v>
      </c>
      <c r="Q2221" s="144">
        <f t="shared" ca="1" si="258"/>
        <v>0.76388358414177682</v>
      </c>
    </row>
    <row r="2222" spans="1:17" x14ac:dyDescent="0.25">
      <c r="A2222" s="145">
        <v>40548</v>
      </c>
      <c r="B2222" s="144">
        <v>1.3212999999999999</v>
      </c>
      <c r="C2222" s="144">
        <v>40.422699999999999</v>
      </c>
      <c r="D2222" s="144">
        <v>7.7895000000000003</v>
      </c>
      <c r="E2222" s="144">
        <v>108.72</v>
      </c>
      <c r="F2222" s="144">
        <v>0.84830000000000005</v>
      </c>
      <c r="G2222" s="144">
        <v>1.2617</v>
      </c>
      <c r="I2222" s="144">
        <v>1</v>
      </c>
      <c r="J2222" s="145">
        <f t="shared" si="254"/>
        <v>40548</v>
      </c>
      <c r="K2222" s="144">
        <f t="shared" ca="1" si="258"/>
        <v>0.95489290849920538</v>
      </c>
      <c r="L2222" s="144">
        <f t="shared" ca="1" si="258"/>
        <v>0.64201922349201557</v>
      </c>
      <c r="M2222" s="144">
        <f t="shared" ca="1" si="258"/>
        <v>82.28260046923485</v>
      </c>
      <c r="N2222" s="144">
        <f t="shared" ca="1" si="258"/>
        <v>5.8953303564671167</v>
      </c>
      <c r="O2222" s="144">
        <f t="shared" ca="1" si="258"/>
        <v>30.593127980019677</v>
      </c>
      <c r="P2222" s="144">
        <f t="shared" ca="1" si="258"/>
        <v>1</v>
      </c>
      <c r="Q2222" s="144">
        <f t="shared" ca="1" si="258"/>
        <v>0.75683039430863552</v>
      </c>
    </row>
    <row r="2223" spans="1:17" x14ac:dyDescent="0.25">
      <c r="A2223" s="145">
        <v>40547</v>
      </c>
      <c r="B2223" s="144">
        <v>1.3421000000000001</v>
      </c>
      <c r="C2223" s="144">
        <v>40.901499999999999</v>
      </c>
      <c r="D2223" s="144">
        <v>7.8090000000000002</v>
      </c>
      <c r="E2223" s="144">
        <v>110.2</v>
      </c>
      <c r="F2223" s="144">
        <v>0.85875000000000001</v>
      </c>
      <c r="G2223" s="144">
        <v>1.2668999999999999</v>
      </c>
      <c r="I2223" s="144">
        <v>1</v>
      </c>
      <c r="J2223" s="145">
        <f t="shared" si="254"/>
        <v>40547</v>
      </c>
      <c r="K2223" s="144">
        <f t="shared" ca="1" si="258"/>
        <v>0.94396840771924584</v>
      </c>
      <c r="L2223" s="144">
        <f t="shared" ca="1" si="258"/>
        <v>0.63985545041353098</v>
      </c>
      <c r="M2223" s="144">
        <f t="shared" ca="1" si="258"/>
        <v>82.110125922062437</v>
      </c>
      <c r="N2223" s="144">
        <f t="shared" ca="1" si="258"/>
        <v>5.8184934058564934</v>
      </c>
      <c r="O2223" s="144">
        <f t="shared" ca="1" si="258"/>
        <v>30.475746963713579</v>
      </c>
      <c r="P2223" s="144">
        <f t="shared" ca="1" si="258"/>
        <v>1</v>
      </c>
      <c r="Q2223" s="144">
        <f t="shared" ca="1" si="258"/>
        <v>0.74510096118023983</v>
      </c>
    </row>
    <row r="2224" spans="1:17" x14ac:dyDescent="0.25">
      <c r="A2224" s="145">
        <v>40546</v>
      </c>
      <c r="B2224" s="144">
        <v>1.3348</v>
      </c>
      <c r="C2224" s="144">
        <v>40.789099999999998</v>
      </c>
      <c r="D2224" s="144">
        <v>7.78</v>
      </c>
      <c r="E2224" s="144">
        <v>108.7</v>
      </c>
      <c r="F2224" s="144">
        <v>0.86131000000000002</v>
      </c>
      <c r="G2224" s="144">
        <v>1.2464999999999999</v>
      </c>
      <c r="I2224" s="144">
        <v>1</v>
      </c>
      <c r="J2224" s="145">
        <f t="shared" si="254"/>
        <v>40546</v>
      </c>
      <c r="K2224" s="144">
        <f t="shared" ca="1" si="258"/>
        <v>0.93384776745579856</v>
      </c>
      <c r="L2224" s="144">
        <f t="shared" ca="1" si="258"/>
        <v>0.64527270002996706</v>
      </c>
      <c r="M2224" s="144">
        <f t="shared" ca="1" si="258"/>
        <v>81.435421036859452</v>
      </c>
      <c r="N2224" s="144">
        <f t="shared" ca="1" si="258"/>
        <v>5.8285885525921488</v>
      </c>
      <c r="O2224" s="144">
        <f t="shared" ca="1" si="258"/>
        <v>30.55821096793527</v>
      </c>
      <c r="P2224" s="144">
        <f t="shared" ca="1" si="258"/>
        <v>1</v>
      </c>
      <c r="Q2224" s="144">
        <f t="shared" ca="1" si="258"/>
        <v>0.74917590650284682</v>
      </c>
    </row>
    <row r="2225" spans="1:17" x14ac:dyDescent="0.25">
      <c r="A2225" s="145">
        <v>40545</v>
      </c>
      <c r="B2225" s="144">
        <v>1.3362000000000001</v>
      </c>
      <c r="C2225" s="144">
        <v>40.82</v>
      </c>
      <c r="D2225" s="144">
        <v>7.8</v>
      </c>
      <c r="E2225" s="144">
        <v>108.65</v>
      </c>
      <c r="F2225" s="144">
        <v>0.86075000000000002</v>
      </c>
      <c r="G2225" s="144">
        <v>1.2504</v>
      </c>
      <c r="I2225" s="144">
        <v>1</v>
      </c>
      <c r="J2225" s="145">
        <f t="shared" si="254"/>
        <v>40545</v>
      </c>
      <c r="K2225" s="144">
        <f t="shared" ref="K2225:Q2234" ca="1" si="259">OFFSET($A2225,0,K$3)/OFFSET($A2225,0,$P$3)</f>
        <v>0.93578805568028733</v>
      </c>
      <c r="L2225" s="144">
        <f t="shared" ca="1" si="259"/>
        <v>0.64417751833557846</v>
      </c>
      <c r="M2225" s="144">
        <f t="shared" ca="1" si="259"/>
        <v>81.31267774285287</v>
      </c>
      <c r="N2225" s="144">
        <f t="shared" ca="1" si="259"/>
        <v>5.8374494836102375</v>
      </c>
      <c r="O2225" s="144">
        <f t="shared" ca="1" si="259"/>
        <v>30.549318964226909</v>
      </c>
      <c r="P2225" s="144">
        <f t="shared" ca="1" si="259"/>
        <v>1</v>
      </c>
      <c r="Q2225" s="144">
        <f t="shared" ca="1" si="259"/>
        <v>0.74839095943721001</v>
      </c>
    </row>
    <row r="2226" spans="1:17" x14ac:dyDescent="0.25">
      <c r="A2226" s="145">
        <v>40544</v>
      </c>
      <c r="B2226" s="144">
        <v>1.3362000000000001</v>
      </c>
      <c r="C2226" s="144">
        <v>40.82</v>
      </c>
      <c r="D2226" s="144">
        <v>7.8</v>
      </c>
      <c r="E2226" s="144">
        <v>108.65</v>
      </c>
      <c r="F2226" s="144">
        <v>0.86075000000000002</v>
      </c>
      <c r="G2226" s="144">
        <v>1.2504</v>
      </c>
      <c r="I2226" s="144">
        <v>1</v>
      </c>
      <c r="J2226" s="145">
        <f t="shared" si="254"/>
        <v>40544</v>
      </c>
      <c r="K2226" s="144">
        <f t="shared" ca="1" si="259"/>
        <v>0.93578805568028733</v>
      </c>
      <c r="L2226" s="144">
        <f t="shared" ca="1" si="259"/>
        <v>0.64417751833557846</v>
      </c>
      <c r="M2226" s="144">
        <f t="shared" ca="1" si="259"/>
        <v>81.31267774285287</v>
      </c>
      <c r="N2226" s="144">
        <f t="shared" ca="1" si="259"/>
        <v>5.8374494836102375</v>
      </c>
      <c r="O2226" s="144">
        <f t="shared" ca="1" si="259"/>
        <v>30.549318964226909</v>
      </c>
      <c r="P2226" s="144">
        <f t="shared" ca="1" si="259"/>
        <v>1</v>
      </c>
      <c r="Q2226" s="144">
        <f t="shared" ca="1" si="259"/>
        <v>0.74839095943721001</v>
      </c>
    </row>
    <row r="2227" spans="1:17" x14ac:dyDescent="0.25">
      <c r="A2227" s="145">
        <v>40543</v>
      </c>
      <c r="B2227" s="144">
        <v>1.3362000000000001</v>
      </c>
      <c r="C2227" s="144">
        <v>40.82</v>
      </c>
      <c r="D2227" s="144">
        <v>7.8</v>
      </c>
      <c r="E2227" s="144">
        <v>108.65</v>
      </c>
      <c r="F2227" s="144">
        <v>0.86075000000000002</v>
      </c>
      <c r="G2227" s="144">
        <v>1.2504</v>
      </c>
      <c r="I2227" s="144">
        <v>1</v>
      </c>
      <c r="J2227" s="145">
        <f t="shared" si="254"/>
        <v>40543</v>
      </c>
      <c r="K2227" s="144">
        <f t="shared" ca="1" si="259"/>
        <v>0.93578805568028733</v>
      </c>
      <c r="L2227" s="144">
        <f t="shared" ca="1" si="259"/>
        <v>0.64417751833557846</v>
      </c>
      <c r="M2227" s="144">
        <f t="shared" ca="1" si="259"/>
        <v>81.31267774285287</v>
      </c>
      <c r="N2227" s="144">
        <f t="shared" ca="1" si="259"/>
        <v>5.8374494836102375</v>
      </c>
      <c r="O2227" s="144">
        <f t="shared" ca="1" si="259"/>
        <v>30.549318964226909</v>
      </c>
      <c r="P2227" s="144">
        <f t="shared" ca="1" si="259"/>
        <v>1</v>
      </c>
      <c r="Q2227" s="144">
        <f t="shared" ca="1" si="259"/>
        <v>0.74839095943721001</v>
      </c>
    </row>
    <row r="2228" spans="1:17" x14ac:dyDescent="0.25">
      <c r="A2228" s="145">
        <v>40542</v>
      </c>
      <c r="B2228" s="144">
        <v>1.3280000000000001</v>
      </c>
      <c r="C2228" s="144">
        <v>40.543199999999999</v>
      </c>
      <c r="D2228" s="144">
        <v>7.819</v>
      </c>
      <c r="E2228" s="144">
        <v>108.24</v>
      </c>
      <c r="F2228" s="144">
        <v>0.86019999999999996</v>
      </c>
      <c r="G2228" s="144">
        <v>1.2475000000000001</v>
      </c>
      <c r="I2228" s="144">
        <v>1</v>
      </c>
      <c r="J2228" s="145">
        <f t="shared" si="254"/>
        <v>40542</v>
      </c>
      <c r="K2228" s="144">
        <f t="shared" ca="1" si="259"/>
        <v>0.9393825301204819</v>
      </c>
      <c r="L2228" s="144">
        <f t="shared" ca="1" si="259"/>
        <v>0.64774096385542168</v>
      </c>
      <c r="M2228" s="144">
        <f t="shared" ca="1" si="259"/>
        <v>81.506024096385531</v>
      </c>
      <c r="N2228" s="144">
        <f t="shared" ca="1" si="259"/>
        <v>5.8878012048192767</v>
      </c>
      <c r="O2228" s="144">
        <f t="shared" ca="1" si="259"/>
        <v>30.529518072289154</v>
      </c>
      <c r="P2228" s="144">
        <f t="shared" ca="1" si="259"/>
        <v>1</v>
      </c>
      <c r="Q2228" s="144">
        <f t="shared" ca="1" si="259"/>
        <v>0.75301204819277101</v>
      </c>
    </row>
    <row r="2229" spans="1:17" x14ac:dyDescent="0.25">
      <c r="A2229" s="145">
        <v>40541</v>
      </c>
      <c r="B2229" s="144">
        <v>1.3136000000000001</v>
      </c>
      <c r="C2229" s="144">
        <v>39.994900000000001</v>
      </c>
      <c r="D2229" s="144">
        <v>7.8090000000000002</v>
      </c>
      <c r="E2229" s="144">
        <v>107.99</v>
      </c>
      <c r="F2229" s="144">
        <v>0.85389999999999999</v>
      </c>
      <c r="G2229" s="144">
        <v>1.2483</v>
      </c>
      <c r="I2229" s="144">
        <v>1</v>
      </c>
      <c r="J2229" s="145">
        <f t="shared" si="254"/>
        <v>40541</v>
      </c>
      <c r="K2229" s="144">
        <f t="shared" ca="1" si="259"/>
        <v>0.95028928136418989</v>
      </c>
      <c r="L2229" s="144">
        <f t="shared" ca="1" si="259"/>
        <v>0.65004567600487206</v>
      </c>
      <c r="M2229" s="144">
        <f t="shared" ca="1" si="259"/>
        <v>82.209196102314237</v>
      </c>
      <c r="N2229" s="144">
        <f t="shared" ca="1" si="259"/>
        <v>5.9447320341047503</v>
      </c>
      <c r="O2229" s="144">
        <f t="shared" ca="1" si="259"/>
        <v>30.446787454323992</v>
      </c>
      <c r="P2229" s="144">
        <f t="shared" ca="1" si="259"/>
        <v>1</v>
      </c>
      <c r="Q2229" s="144">
        <f t="shared" ca="1" si="259"/>
        <v>0.76126674786845305</v>
      </c>
    </row>
    <row r="2230" spans="1:17" x14ac:dyDescent="0.25">
      <c r="A2230" s="145">
        <v>40540</v>
      </c>
      <c r="B2230" s="144">
        <v>1.3194999999999999</v>
      </c>
      <c r="C2230" s="144">
        <v>39.935000000000002</v>
      </c>
      <c r="D2230" s="144">
        <v>7.8254999999999999</v>
      </c>
      <c r="E2230" s="144">
        <v>108.2</v>
      </c>
      <c r="F2230" s="144">
        <v>0.85345000000000004</v>
      </c>
      <c r="G2230" s="144">
        <v>1.2513000000000001</v>
      </c>
      <c r="I2230" s="144">
        <v>1</v>
      </c>
      <c r="J2230" s="145">
        <f t="shared" si="254"/>
        <v>40540</v>
      </c>
      <c r="K2230" s="144">
        <f t="shared" ca="1" si="259"/>
        <v>0.94831375521030703</v>
      </c>
      <c r="L2230" s="144">
        <f t="shared" ca="1" si="259"/>
        <v>0.64679802955665033</v>
      </c>
      <c r="M2230" s="144">
        <f t="shared" ca="1" si="259"/>
        <v>82.000757862826831</v>
      </c>
      <c r="N2230" s="144">
        <f t="shared" ca="1" si="259"/>
        <v>5.9306555513452066</v>
      </c>
      <c r="O2230" s="144">
        <f t="shared" ca="1" si="259"/>
        <v>30.265251989389924</v>
      </c>
      <c r="P2230" s="144">
        <f t="shared" ca="1" si="259"/>
        <v>1</v>
      </c>
      <c r="Q2230" s="144">
        <f t="shared" ca="1" si="259"/>
        <v>0.75786282682834416</v>
      </c>
    </row>
    <row r="2231" spans="1:17" x14ac:dyDescent="0.25">
      <c r="A2231" s="145">
        <v>40539</v>
      </c>
      <c r="B2231" s="144">
        <v>1.3136000000000001</v>
      </c>
      <c r="C2231" s="144">
        <v>39.9191</v>
      </c>
      <c r="D2231" s="144">
        <v>7.835</v>
      </c>
      <c r="E2231" s="144">
        <v>108.89</v>
      </c>
      <c r="F2231" s="144">
        <v>0.85229999999999995</v>
      </c>
      <c r="G2231" s="144">
        <v>1.2625999999999999</v>
      </c>
      <c r="I2231" s="144">
        <v>1</v>
      </c>
      <c r="J2231" s="145">
        <f t="shared" si="254"/>
        <v>40539</v>
      </c>
      <c r="K2231" s="144">
        <f t="shared" ca="1" si="259"/>
        <v>0.96117539585870881</v>
      </c>
      <c r="L2231" s="144">
        <f t="shared" ca="1" si="259"/>
        <v>0.64882764920828251</v>
      </c>
      <c r="M2231" s="144">
        <f t="shared" ca="1" si="259"/>
        <v>82.89433617539585</v>
      </c>
      <c r="N2231" s="144">
        <f t="shared" ca="1" si="259"/>
        <v>5.9645249695493296</v>
      </c>
      <c r="O2231" s="144">
        <f t="shared" ca="1" si="259"/>
        <v>30.389083434835563</v>
      </c>
      <c r="P2231" s="144">
        <f t="shared" ca="1" si="259"/>
        <v>1</v>
      </c>
      <c r="Q2231" s="144">
        <f t="shared" ca="1" si="259"/>
        <v>0.76126674786845305</v>
      </c>
    </row>
    <row r="2232" spans="1:17" x14ac:dyDescent="0.25">
      <c r="A2232" s="145">
        <v>40538</v>
      </c>
      <c r="B2232" s="144">
        <v>1.3099000000000001</v>
      </c>
      <c r="C2232" s="144">
        <v>39.941499999999998</v>
      </c>
      <c r="D2232" s="144">
        <v>7.8259999999999996</v>
      </c>
      <c r="E2232" s="144">
        <v>108.63</v>
      </c>
      <c r="F2232" s="144">
        <v>0.84960000000000002</v>
      </c>
      <c r="G2232" s="144">
        <v>1.2618</v>
      </c>
      <c r="I2232" s="144">
        <v>1</v>
      </c>
      <c r="J2232" s="145">
        <f t="shared" si="254"/>
        <v>40538</v>
      </c>
      <c r="K2232" s="144">
        <f t="shared" ca="1" si="259"/>
        <v>0.96327963966715013</v>
      </c>
      <c r="L2232" s="144">
        <f t="shared" ca="1" si="259"/>
        <v>0.64859912970455758</v>
      </c>
      <c r="M2232" s="144">
        <f t="shared" ca="1" si="259"/>
        <v>82.929994656080609</v>
      </c>
      <c r="N2232" s="144">
        <f t="shared" ca="1" si="259"/>
        <v>5.9745018703717836</v>
      </c>
      <c r="O2232" s="144">
        <f t="shared" ca="1" si="259"/>
        <v>30.492022291777996</v>
      </c>
      <c r="P2232" s="144">
        <f t="shared" ca="1" si="259"/>
        <v>1</v>
      </c>
      <c r="Q2232" s="144">
        <f t="shared" ca="1" si="259"/>
        <v>0.76341705473700283</v>
      </c>
    </row>
    <row r="2233" spans="1:17" x14ac:dyDescent="0.25">
      <c r="A2233" s="145">
        <v>40537</v>
      </c>
      <c r="B2233" s="144">
        <v>1.3099000000000001</v>
      </c>
      <c r="C2233" s="144">
        <v>39.941499999999998</v>
      </c>
      <c r="D2233" s="144">
        <v>7.8259999999999996</v>
      </c>
      <c r="E2233" s="144">
        <v>108.63</v>
      </c>
      <c r="F2233" s="144">
        <v>0.84960000000000002</v>
      </c>
      <c r="G2233" s="144">
        <v>1.2618</v>
      </c>
      <c r="I2233" s="144">
        <v>1</v>
      </c>
      <c r="J2233" s="145">
        <f t="shared" si="254"/>
        <v>40537</v>
      </c>
      <c r="K2233" s="144">
        <f t="shared" ca="1" si="259"/>
        <v>0.96327963966715013</v>
      </c>
      <c r="L2233" s="144">
        <f t="shared" ca="1" si="259"/>
        <v>0.64859912970455758</v>
      </c>
      <c r="M2233" s="144">
        <f t="shared" ca="1" si="259"/>
        <v>82.929994656080609</v>
      </c>
      <c r="N2233" s="144">
        <f t="shared" ca="1" si="259"/>
        <v>5.9745018703717836</v>
      </c>
      <c r="O2233" s="144">
        <f t="shared" ca="1" si="259"/>
        <v>30.492022291777996</v>
      </c>
      <c r="P2233" s="144">
        <f t="shared" ca="1" si="259"/>
        <v>1</v>
      </c>
      <c r="Q2233" s="144">
        <f t="shared" ca="1" si="259"/>
        <v>0.76341705473700283</v>
      </c>
    </row>
    <row r="2234" spans="1:17" x14ac:dyDescent="0.25">
      <c r="A2234" s="145">
        <v>40536</v>
      </c>
      <c r="B2234" s="144">
        <v>1.3099000000000001</v>
      </c>
      <c r="C2234" s="144">
        <v>39.941499999999998</v>
      </c>
      <c r="D2234" s="144">
        <v>7.8259999999999996</v>
      </c>
      <c r="E2234" s="144">
        <v>108.63</v>
      </c>
      <c r="F2234" s="144">
        <v>0.84960000000000002</v>
      </c>
      <c r="G2234" s="144">
        <v>1.2618</v>
      </c>
      <c r="I2234" s="144">
        <v>1</v>
      </c>
      <c r="J2234" s="145">
        <f t="shared" si="254"/>
        <v>40536</v>
      </c>
      <c r="K2234" s="144">
        <f t="shared" ca="1" si="259"/>
        <v>0.96327963966715013</v>
      </c>
      <c r="L2234" s="144">
        <f t="shared" ca="1" si="259"/>
        <v>0.64859912970455758</v>
      </c>
      <c r="M2234" s="144">
        <f t="shared" ca="1" si="259"/>
        <v>82.929994656080609</v>
      </c>
      <c r="N2234" s="144">
        <f t="shared" ca="1" si="259"/>
        <v>5.9745018703717836</v>
      </c>
      <c r="O2234" s="144">
        <f t="shared" ca="1" si="259"/>
        <v>30.492022291777996</v>
      </c>
      <c r="P2234" s="144">
        <f t="shared" ca="1" si="259"/>
        <v>1</v>
      </c>
      <c r="Q2234" s="144">
        <f t="shared" ca="1" si="259"/>
        <v>0.76341705473700283</v>
      </c>
    </row>
    <row r="2235" spans="1:17" x14ac:dyDescent="0.25">
      <c r="A2235" s="145">
        <v>40535</v>
      </c>
      <c r="B2235" s="144">
        <v>1.3064</v>
      </c>
      <c r="C2235" s="144">
        <v>40.003500000000003</v>
      </c>
      <c r="D2235" s="144">
        <v>7.8369999999999997</v>
      </c>
      <c r="E2235" s="144">
        <v>108.95</v>
      </c>
      <c r="F2235" s="144">
        <v>0.84819999999999995</v>
      </c>
      <c r="G2235" s="144">
        <v>1.2553000000000001</v>
      </c>
      <c r="I2235" s="144">
        <v>1</v>
      </c>
      <c r="J2235" s="145">
        <f t="shared" si="254"/>
        <v>40535</v>
      </c>
      <c r="K2235" s="144">
        <f t="shared" ref="K2235:Q2244" ca="1" si="260">OFFSET($A2235,0,K$3)/OFFSET($A2235,0,$P$3)</f>
        <v>0.96088487446417647</v>
      </c>
      <c r="L2235" s="144">
        <f t="shared" ca="1" si="260"/>
        <v>0.64926515615431712</v>
      </c>
      <c r="M2235" s="144">
        <f t="shared" ca="1" si="260"/>
        <v>83.397121861604404</v>
      </c>
      <c r="N2235" s="144">
        <f t="shared" ca="1" si="260"/>
        <v>5.9989283527250459</v>
      </c>
      <c r="O2235" s="144">
        <f t="shared" ca="1" si="260"/>
        <v>30.621172688303737</v>
      </c>
      <c r="P2235" s="144">
        <f t="shared" ca="1" si="260"/>
        <v>1</v>
      </c>
      <c r="Q2235" s="144">
        <f t="shared" ca="1" si="260"/>
        <v>0.76546233925290874</v>
      </c>
    </row>
    <row r="2236" spans="1:17" x14ac:dyDescent="0.25">
      <c r="A2236" s="145">
        <v>40534</v>
      </c>
      <c r="B2236" s="144">
        <v>1.3111999999999999</v>
      </c>
      <c r="C2236" s="144">
        <v>40.282499999999999</v>
      </c>
      <c r="D2236" s="144">
        <v>7.8715000000000002</v>
      </c>
      <c r="E2236" s="144">
        <v>109.68</v>
      </c>
      <c r="F2236" s="144">
        <v>0.84919999999999995</v>
      </c>
      <c r="G2236" s="144">
        <v>1.2502</v>
      </c>
      <c r="I2236" s="144">
        <v>1</v>
      </c>
      <c r="J2236" s="145">
        <f t="shared" si="254"/>
        <v>40534</v>
      </c>
      <c r="K2236" s="144">
        <f t="shared" ca="1" si="260"/>
        <v>0.95347773032336791</v>
      </c>
      <c r="L2236" s="144">
        <f t="shared" ca="1" si="260"/>
        <v>0.6476510067114094</v>
      </c>
      <c r="M2236" s="144">
        <f t="shared" ca="1" si="260"/>
        <v>83.648566198901776</v>
      </c>
      <c r="N2236" s="144">
        <f t="shared" ca="1" si="260"/>
        <v>6.0032794386821235</v>
      </c>
      <c r="O2236" s="144">
        <f t="shared" ca="1" si="260"/>
        <v>30.721857840146431</v>
      </c>
      <c r="P2236" s="144">
        <f t="shared" ca="1" si="260"/>
        <v>1</v>
      </c>
      <c r="Q2236" s="144">
        <f t="shared" ca="1" si="260"/>
        <v>0.76266015863331305</v>
      </c>
    </row>
    <row r="2237" spans="1:17" x14ac:dyDescent="0.25">
      <c r="A2237" s="145">
        <v>40533</v>
      </c>
      <c r="B2237" s="144">
        <v>1.3154999999999999</v>
      </c>
      <c r="C2237" s="144">
        <v>40.446800000000003</v>
      </c>
      <c r="D2237" s="144">
        <v>7.8620000000000001</v>
      </c>
      <c r="E2237" s="144">
        <v>110</v>
      </c>
      <c r="F2237" s="144">
        <v>0.85029999999999994</v>
      </c>
      <c r="G2237" s="144">
        <v>1.2613000000000001</v>
      </c>
      <c r="I2237" s="144">
        <v>1</v>
      </c>
      <c r="J2237" s="145">
        <f t="shared" si="254"/>
        <v>40533</v>
      </c>
      <c r="K2237" s="144">
        <f t="shared" ca="1" si="260"/>
        <v>0.95879893576586861</v>
      </c>
      <c r="L2237" s="144">
        <f t="shared" ca="1" si="260"/>
        <v>0.64637020144431778</v>
      </c>
      <c r="M2237" s="144">
        <f t="shared" ca="1" si="260"/>
        <v>83.618396047130375</v>
      </c>
      <c r="N2237" s="144">
        <f t="shared" ca="1" si="260"/>
        <v>5.976434815659446</v>
      </c>
      <c r="O2237" s="144">
        <f t="shared" ca="1" si="260"/>
        <v>30.746332193082484</v>
      </c>
      <c r="P2237" s="144">
        <f t="shared" ca="1" si="260"/>
        <v>1</v>
      </c>
      <c r="Q2237" s="144">
        <f t="shared" ca="1" si="260"/>
        <v>0.7601672367920943</v>
      </c>
    </row>
    <row r="2238" spans="1:17" x14ac:dyDescent="0.25">
      <c r="A2238" s="145">
        <v>40532</v>
      </c>
      <c r="B2238" s="144">
        <v>1.3147</v>
      </c>
      <c r="C2238" s="144">
        <v>40.454999999999998</v>
      </c>
      <c r="D2238" s="144">
        <v>7.8605</v>
      </c>
      <c r="E2238" s="144">
        <v>110.1</v>
      </c>
      <c r="F2238" s="144">
        <v>0.84619999999999995</v>
      </c>
      <c r="G2238" s="144">
        <v>1.2698</v>
      </c>
      <c r="I2238" s="144">
        <v>1</v>
      </c>
      <c r="J2238" s="145">
        <f t="shared" si="254"/>
        <v>40532</v>
      </c>
      <c r="K2238" s="144">
        <f t="shared" ca="1" si="260"/>
        <v>0.96584772191374457</v>
      </c>
      <c r="L2238" s="144">
        <f t="shared" ca="1" si="260"/>
        <v>0.64364493800867117</v>
      </c>
      <c r="M2238" s="144">
        <f t="shared" ca="1" si="260"/>
        <v>83.745341142465961</v>
      </c>
      <c r="N2238" s="144">
        <f t="shared" ca="1" si="260"/>
        <v>5.9789305544991258</v>
      </c>
      <c r="O2238" s="144">
        <f t="shared" ca="1" si="260"/>
        <v>30.771278618696279</v>
      </c>
      <c r="P2238" s="144">
        <f t="shared" ca="1" si="260"/>
        <v>1</v>
      </c>
      <c r="Q2238" s="144">
        <f t="shared" ca="1" si="260"/>
        <v>0.76062980147562187</v>
      </c>
    </row>
    <row r="2239" spans="1:17" x14ac:dyDescent="0.25">
      <c r="A2239" s="145">
        <v>40531</v>
      </c>
      <c r="B2239" s="144">
        <v>1.3260000000000001</v>
      </c>
      <c r="C2239" s="144">
        <v>40.718499999999999</v>
      </c>
      <c r="D2239" s="144">
        <v>7.8925000000000001</v>
      </c>
      <c r="E2239" s="144">
        <v>111.26</v>
      </c>
      <c r="F2239" s="144">
        <v>0.85185</v>
      </c>
      <c r="G2239" s="144">
        <v>1.2738</v>
      </c>
      <c r="I2239" s="144">
        <v>1</v>
      </c>
      <c r="J2239" s="145">
        <f t="shared" si="254"/>
        <v>40531</v>
      </c>
      <c r="K2239" s="144">
        <f t="shared" ca="1" si="260"/>
        <v>0.96063348416289596</v>
      </c>
      <c r="L2239" s="144">
        <f t="shared" ca="1" si="260"/>
        <v>0.64242081447963795</v>
      </c>
      <c r="M2239" s="144">
        <f t="shared" ca="1" si="260"/>
        <v>83.906485671191547</v>
      </c>
      <c r="N2239" s="144">
        <f t="shared" ca="1" si="260"/>
        <v>5.9521116138763199</v>
      </c>
      <c r="O2239" s="144">
        <f t="shared" ca="1" si="260"/>
        <v>30.707767722473601</v>
      </c>
      <c r="P2239" s="144">
        <f t="shared" ca="1" si="260"/>
        <v>1</v>
      </c>
      <c r="Q2239" s="144">
        <f t="shared" ca="1" si="260"/>
        <v>0.75414781297134237</v>
      </c>
    </row>
    <row r="2240" spans="1:17" x14ac:dyDescent="0.25">
      <c r="A2240" s="145">
        <v>40530</v>
      </c>
      <c r="B2240" s="144">
        <v>1.3260000000000001</v>
      </c>
      <c r="C2240" s="144">
        <v>40.718499999999999</v>
      </c>
      <c r="D2240" s="144">
        <v>7.8925000000000001</v>
      </c>
      <c r="E2240" s="144">
        <v>111.26</v>
      </c>
      <c r="F2240" s="144">
        <v>0.85185</v>
      </c>
      <c r="G2240" s="144">
        <v>1.2738</v>
      </c>
      <c r="I2240" s="144">
        <v>1</v>
      </c>
      <c r="J2240" s="145">
        <f t="shared" si="254"/>
        <v>40530</v>
      </c>
      <c r="K2240" s="144">
        <f t="shared" ca="1" si="260"/>
        <v>0.96063348416289596</v>
      </c>
      <c r="L2240" s="144">
        <f t="shared" ca="1" si="260"/>
        <v>0.64242081447963795</v>
      </c>
      <c r="M2240" s="144">
        <f t="shared" ca="1" si="260"/>
        <v>83.906485671191547</v>
      </c>
      <c r="N2240" s="144">
        <f t="shared" ca="1" si="260"/>
        <v>5.9521116138763199</v>
      </c>
      <c r="O2240" s="144">
        <f t="shared" ca="1" si="260"/>
        <v>30.707767722473601</v>
      </c>
      <c r="P2240" s="144">
        <f t="shared" ca="1" si="260"/>
        <v>1</v>
      </c>
      <c r="Q2240" s="144">
        <f t="shared" ca="1" si="260"/>
        <v>0.75414781297134237</v>
      </c>
    </row>
    <row r="2241" spans="1:17" x14ac:dyDescent="0.25">
      <c r="A2241" s="145">
        <v>40529</v>
      </c>
      <c r="B2241" s="144">
        <v>1.3260000000000001</v>
      </c>
      <c r="C2241" s="144">
        <v>40.718499999999999</v>
      </c>
      <c r="D2241" s="144">
        <v>7.8925000000000001</v>
      </c>
      <c r="E2241" s="144">
        <v>111.26</v>
      </c>
      <c r="F2241" s="144">
        <v>0.85185</v>
      </c>
      <c r="G2241" s="144">
        <v>1.2738</v>
      </c>
      <c r="I2241" s="144">
        <v>1</v>
      </c>
      <c r="J2241" s="145">
        <f t="shared" si="254"/>
        <v>40529</v>
      </c>
      <c r="K2241" s="144">
        <f t="shared" ca="1" si="260"/>
        <v>0.96063348416289596</v>
      </c>
      <c r="L2241" s="144">
        <f t="shared" ca="1" si="260"/>
        <v>0.64242081447963795</v>
      </c>
      <c r="M2241" s="144">
        <f t="shared" ca="1" si="260"/>
        <v>83.906485671191547</v>
      </c>
      <c r="N2241" s="144">
        <f t="shared" ca="1" si="260"/>
        <v>5.9521116138763199</v>
      </c>
      <c r="O2241" s="144">
        <f t="shared" ca="1" si="260"/>
        <v>30.707767722473601</v>
      </c>
      <c r="P2241" s="144">
        <f t="shared" ca="1" si="260"/>
        <v>1</v>
      </c>
      <c r="Q2241" s="144">
        <f t="shared" ca="1" si="260"/>
        <v>0.75414781297134237</v>
      </c>
    </row>
    <row r="2242" spans="1:17" x14ac:dyDescent="0.25">
      <c r="A2242" s="145">
        <v>40528</v>
      </c>
      <c r="B2242" s="144">
        <v>1.3238000000000001</v>
      </c>
      <c r="C2242" s="144">
        <v>40.673999999999999</v>
      </c>
      <c r="D2242" s="144">
        <v>7.8949999999999996</v>
      </c>
      <c r="E2242" s="144">
        <v>111.28</v>
      </c>
      <c r="F2242" s="144">
        <v>0.84794999999999998</v>
      </c>
      <c r="G2242" s="144">
        <v>1.2848999999999999</v>
      </c>
      <c r="I2242" s="144">
        <v>1</v>
      </c>
      <c r="J2242" s="145">
        <f t="shared" si="254"/>
        <v>40528</v>
      </c>
      <c r="K2242" s="144">
        <f t="shared" ca="1" si="260"/>
        <v>0.97061489651004673</v>
      </c>
      <c r="L2242" s="144">
        <f t="shared" ca="1" si="260"/>
        <v>0.6405423780027194</v>
      </c>
      <c r="M2242" s="144">
        <f t="shared" ca="1" si="260"/>
        <v>84.061036410333884</v>
      </c>
      <c r="N2242" s="144">
        <f t="shared" ca="1" si="260"/>
        <v>5.9638918265599026</v>
      </c>
      <c r="O2242" s="144">
        <f t="shared" ca="1" si="260"/>
        <v>30.725185073273906</v>
      </c>
      <c r="P2242" s="144">
        <f t="shared" ca="1" si="260"/>
        <v>1</v>
      </c>
      <c r="Q2242" s="144">
        <f t="shared" ca="1" si="260"/>
        <v>0.75540111799365461</v>
      </c>
    </row>
    <row r="2243" spans="1:17" x14ac:dyDescent="0.25">
      <c r="A2243" s="145">
        <v>40527</v>
      </c>
      <c r="B2243" s="144">
        <v>1.3360000000000001</v>
      </c>
      <c r="C2243" s="144">
        <v>40.9375</v>
      </c>
      <c r="D2243" s="144">
        <v>7.8659999999999997</v>
      </c>
      <c r="E2243" s="144">
        <v>111.88</v>
      </c>
      <c r="F2243" s="144">
        <v>0.85289999999999999</v>
      </c>
      <c r="G2243" s="144">
        <v>1.2826</v>
      </c>
      <c r="I2243" s="144">
        <v>1</v>
      </c>
      <c r="J2243" s="145">
        <f t="shared" si="254"/>
        <v>40527</v>
      </c>
      <c r="K2243" s="144">
        <f t="shared" ca="1" si="260"/>
        <v>0.96002994011976039</v>
      </c>
      <c r="L2243" s="144">
        <f t="shared" ca="1" si="260"/>
        <v>0.6383982035928143</v>
      </c>
      <c r="M2243" s="144">
        <f t="shared" ca="1" si="260"/>
        <v>83.742514970059872</v>
      </c>
      <c r="N2243" s="144">
        <f t="shared" ca="1" si="260"/>
        <v>5.887724550898203</v>
      </c>
      <c r="O2243" s="144">
        <f t="shared" ca="1" si="260"/>
        <v>30.641841317365266</v>
      </c>
      <c r="P2243" s="144">
        <f t="shared" ca="1" si="260"/>
        <v>1</v>
      </c>
      <c r="Q2243" s="144">
        <f t="shared" ca="1" si="260"/>
        <v>0.74850299401197595</v>
      </c>
    </row>
    <row r="2244" spans="1:17" x14ac:dyDescent="0.25">
      <c r="A2244" s="145">
        <v>40526</v>
      </c>
      <c r="B2244" s="144">
        <v>1.3434999999999999</v>
      </c>
      <c r="C2244" s="144">
        <v>41.244999999999997</v>
      </c>
      <c r="D2244" s="144">
        <v>7.8959999999999999</v>
      </c>
      <c r="E2244" s="144">
        <v>111.63</v>
      </c>
      <c r="F2244" s="144">
        <v>0.84865000000000002</v>
      </c>
      <c r="G2244" s="144">
        <v>1.2916000000000001</v>
      </c>
      <c r="I2244" s="144">
        <v>1</v>
      </c>
      <c r="J2244" s="145">
        <f t="shared" si="254"/>
        <v>40526</v>
      </c>
      <c r="K2244" s="144">
        <f t="shared" ca="1" si="260"/>
        <v>0.96136955712690741</v>
      </c>
      <c r="L2244" s="144">
        <f t="shared" ca="1" si="260"/>
        <v>0.63167100855973213</v>
      </c>
      <c r="M2244" s="144">
        <f t="shared" ca="1" si="260"/>
        <v>83.088946780796434</v>
      </c>
      <c r="N2244" s="144">
        <f t="shared" ca="1" si="260"/>
        <v>5.8771864532936364</v>
      </c>
      <c r="O2244" s="144">
        <f t="shared" ca="1" si="260"/>
        <v>30.699665053963528</v>
      </c>
      <c r="P2244" s="144">
        <f t="shared" ca="1" si="260"/>
        <v>1</v>
      </c>
      <c r="Q2244" s="144">
        <f t="shared" ca="1" si="260"/>
        <v>0.74432452549311501</v>
      </c>
    </row>
    <row r="2245" spans="1:17" x14ac:dyDescent="0.25">
      <c r="A2245" s="145">
        <v>40525</v>
      </c>
      <c r="B2245" s="144">
        <v>1.3267</v>
      </c>
      <c r="C2245" s="144">
        <v>40.972299999999997</v>
      </c>
      <c r="D2245" s="144">
        <v>7.9264999999999999</v>
      </c>
      <c r="E2245" s="144">
        <v>111.55</v>
      </c>
      <c r="F2245" s="144">
        <v>0.84375</v>
      </c>
      <c r="G2245" s="144">
        <v>1.2987</v>
      </c>
      <c r="I2245" s="144">
        <v>1</v>
      </c>
      <c r="J2245" s="145">
        <f t="shared" ref="J2245:J2308" si="261">A2245</f>
        <v>40525</v>
      </c>
      <c r="K2245" s="144">
        <f t="shared" ref="K2245:Q2254" ca="1" si="262">OFFSET($A2245,0,K$3)/OFFSET($A2245,0,$P$3)</f>
        <v>0.97889500263812468</v>
      </c>
      <c r="L2245" s="144">
        <f t="shared" ca="1" si="262"/>
        <v>0.63597648300293963</v>
      </c>
      <c r="M2245" s="144">
        <f t="shared" ca="1" si="262"/>
        <v>84.080801989899754</v>
      </c>
      <c r="N2245" s="144">
        <f t="shared" ca="1" si="262"/>
        <v>5.9745986281751717</v>
      </c>
      <c r="O2245" s="144">
        <f t="shared" ca="1" si="262"/>
        <v>30.88286726464159</v>
      </c>
      <c r="P2245" s="144">
        <f t="shared" ca="1" si="262"/>
        <v>1</v>
      </c>
      <c r="Q2245" s="144">
        <f t="shared" ca="1" si="262"/>
        <v>0.75374990578126178</v>
      </c>
    </row>
    <row r="2246" spans="1:17" x14ac:dyDescent="0.25">
      <c r="A2246" s="145">
        <v>40524</v>
      </c>
      <c r="B2246" s="144">
        <v>1.3244</v>
      </c>
      <c r="C2246" s="144">
        <v>40.919800000000002</v>
      </c>
      <c r="D2246" s="144">
        <v>7.9375</v>
      </c>
      <c r="E2246" s="144">
        <v>110.8</v>
      </c>
      <c r="F2246" s="144">
        <v>0.83714999999999995</v>
      </c>
      <c r="G2246" s="144">
        <v>1.2998000000000001</v>
      </c>
      <c r="I2246" s="144">
        <v>1</v>
      </c>
      <c r="J2246" s="145">
        <f t="shared" si="261"/>
        <v>40524</v>
      </c>
      <c r="K2246" s="144">
        <f t="shared" ca="1" si="262"/>
        <v>0.98142555119299313</v>
      </c>
      <c r="L2246" s="144">
        <f t="shared" ca="1" si="262"/>
        <v>0.63209755360918152</v>
      </c>
      <c r="M2246" s="144">
        <f t="shared" ca="1" si="262"/>
        <v>83.660525520990632</v>
      </c>
      <c r="N2246" s="144">
        <f t="shared" ca="1" si="262"/>
        <v>5.9932799758381154</v>
      </c>
      <c r="O2246" s="144">
        <f t="shared" ca="1" si="262"/>
        <v>30.896858954998493</v>
      </c>
      <c r="P2246" s="144">
        <f t="shared" ca="1" si="262"/>
        <v>1</v>
      </c>
      <c r="Q2246" s="144">
        <f t="shared" ca="1" si="262"/>
        <v>0.75505889459377828</v>
      </c>
    </row>
    <row r="2247" spans="1:17" x14ac:dyDescent="0.25">
      <c r="A2247" s="145">
        <v>40523</v>
      </c>
      <c r="B2247" s="144">
        <v>1.3244</v>
      </c>
      <c r="C2247" s="144">
        <v>40.919800000000002</v>
      </c>
      <c r="D2247" s="144">
        <v>7.9375</v>
      </c>
      <c r="E2247" s="144">
        <v>110.8</v>
      </c>
      <c r="F2247" s="144">
        <v>0.83714999999999995</v>
      </c>
      <c r="G2247" s="144">
        <v>1.2998000000000001</v>
      </c>
      <c r="I2247" s="144">
        <v>1</v>
      </c>
      <c r="J2247" s="145">
        <f t="shared" si="261"/>
        <v>40523</v>
      </c>
      <c r="K2247" s="144">
        <f t="shared" ca="1" si="262"/>
        <v>0.98142555119299313</v>
      </c>
      <c r="L2247" s="144">
        <f t="shared" ca="1" si="262"/>
        <v>0.63209755360918152</v>
      </c>
      <c r="M2247" s="144">
        <f t="shared" ca="1" si="262"/>
        <v>83.660525520990632</v>
      </c>
      <c r="N2247" s="144">
        <f t="shared" ca="1" si="262"/>
        <v>5.9932799758381154</v>
      </c>
      <c r="O2247" s="144">
        <f t="shared" ca="1" si="262"/>
        <v>30.896858954998493</v>
      </c>
      <c r="P2247" s="144">
        <f t="shared" ca="1" si="262"/>
        <v>1</v>
      </c>
      <c r="Q2247" s="144">
        <f t="shared" ca="1" si="262"/>
        <v>0.75505889459377828</v>
      </c>
    </row>
    <row r="2248" spans="1:17" x14ac:dyDescent="0.25">
      <c r="A2248" s="145">
        <v>40522</v>
      </c>
      <c r="B2248" s="144">
        <v>1.3244</v>
      </c>
      <c r="C2248" s="144">
        <v>40.919800000000002</v>
      </c>
      <c r="D2248" s="144">
        <v>7.9375</v>
      </c>
      <c r="E2248" s="144">
        <v>110.8</v>
      </c>
      <c r="F2248" s="144">
        <v>0.83714999999999995</v>
      </c>
      <c r="G2248" s="144">
        <v>1.2998000000000001</v>
      </c>
      <c r="I2248" s="144">
        <v>1</v>
      </c>
      <c r="J2248" s="145">
        <f t="shared" si="261"/>
        <v>40522</v>
      </c>
      <c r="K2248" s="144">
        <f t="shared" ca="1" si="262"/>
        <v>0.98142555119299313</v>
      </c>
      <c r="L2248" s="144">
        <f t="shared" ca="1" si="262"/>
        <v>0.63209755360918152</v>
      </c>
      <c r="M2248" s="144">
        <f t="shared" ca="1" si="262"/>
        <v>83.660525520990632</v>
      </c>
      <c r="N2248" s="144">
        <f t="shared" ca="1" si="262"/>
        <v>5.9932799758381154</v>
      </c>
      <c r="O2248" s="144">
        <f t="shared" ca="1" si="262"/>
        <v>30.896858954998493</v>
      </c>
      <c r="P2248" s="144">
        <f t="shared" ca="1" si="262"/>
        <v>1</v>
      </c>
      <c r="Q2248" s="144">
        <f t="shared" ca="1" si="262"/>
        <v>0.75505889459377828</v>
      </c>
    </row>
    <row r="2249" spans="1:17" x14ac:dyDescent="0.25">
      <c r="A2249" s="145">
        <v>40521</v>
      </c>
      <c r="B2249" s="144">
        <v>1.3213999999999999</v>
      </c>
      <c r="C2249" s="144">
        <v>40.913499999999999</v>
      </c>
      <c r="D2249" s="144">
        <v>7.9550000000000001</v>
      </c>
      <c r="E2249" s="144">
        <v>111.02</v>
      </c>
      <c r="F2249" s="144">
        <v>0.83819999999999995</v>
      </c>
      <c r="G2249" s="144">
        <v>1.306</v>
      </c>
      <c r="I2249" s="144">
        <v>1</v>
      </c>
      <c r="J2249" s="145">
        <f t="shared" si="261"/>
        <v>40521</v>
      </c>
      <c r="K2249" s="144">
        <f t="shared" ca="1" si="262"/>
        <v>0.98834569396095062</v>
      </c>
      <c r="L2249" s="144">
        <f t="shared" ca="1" si="262"/>
        <v>0.63432722869683666</v>
      </c>
      <c r="M2249" s="144">
        <f t="shared" ca="1" si="262"/>
        <v>84.016951717874989</v>
      </c>
      <c r="N2249" s="144">
        <f t="shared" ca="1" si="262"/>
        <v>6.0201301649765409</v>
      </c>
      <c r="O2249" s="144">
        <f t="shared" ca="1" si="262"/>
        <v>30.962237021341004</v>
      </c>
      <c r="P2249" s="144">
        <f t="shared" ca="1" si="262"/>
        <v>1</v>
      </c>
      <c r="Q2249" s="144">
        <f t="shared" ca="1" si="262"/>
        <v>0.75677311941879832</v>
      </c>
    </row>
    <row r="2250" spans="1:17" x14ac:dyDescent="0.25">
      <c r="A2250" s="145">
        <v>40520</v>
      </c>
      <c r="B2250" s="144">
        <v>1.32</v>
      </c>
      <c r="C2250" s="144">
        <v>41.24</v>
      </c>
      <c r="D2250" s="144">
        <v>7.9625000000000004</v>
      </c>
      <c r="E2250" s="144">
        <v>111.08</v>
      </c>
      <c r="F2250" s="144">
        <v>0.8367</v>
      </c>
      <c r="G2250" s="144">
        <v>1.306</v>
      </c>
      <c r="I2250" s="144">
        <v>1</v>
      </c>
      <c r="J2250" s="145">
        <f t="shared" si="261"/>
        <v>40520</v>
      </c>
      <c r="K2250" s="144">
        <f t="shared" ca="1" si="262"/>
        <v>0.98939393939393938</v>
      </c>
      <c r="L2250" s="144">
        <f t="shared" ca="1" si="262"/>
        <v>0.6338636363636363</v>
      </c>
      <c r="M2250" s="144">
        <f t="shared" ca="1" si="262"/>
        <v>84.151515151515142</v>
      </c>
      <c r="N2250" s="144">
        <f t="shared" ca="1" si="262"/>
        <v>6.0321969696969697</v>
      </c>
      <c r="O2250" s="144">
        <f t="shared" ca="1" si="262"/>
        <v>31.242424242424242</v>
      </c>
      <c r="P2250" s="144">
        <f t="shared" ca="1" si="262"/>
        <v>1</v>
      </c>
      <c r="Q2250" s="144">
        <f t="shared" ca="1" si="262"/>
        <v>0.75757575757575757</v>
      </c>
    </row>
    <row r="2251" spans="1:17" x14ac:dyDescent="0.25">
      <c r="A2251" s="145">
        <v>40519</v>
      </c>
      <c r="B2251" s="144">
        <v>1.3363</v>
      </c>
      <c r="C2251" s="144">
        <v>41.467199999999998</v>
      </c>
      <c r="D2251" s="144">
        <v>7.9660000000000002</v>
      </c>
      <c r="E2251" s="144">
        <v>110.43</v>
      </c>
      <c r="F2251" s="144">
        <v>0.84670000000000001</v>
      </c>
      <c r="G2251" s="144">
        <v>1.3062</v>
      </c>
      <c r="I2251" s="144">
        <v>1</v>
      </c>
      <c r="J2251" s="145">
        <f t="shared" si="261"/>
        <v>40519</v>
      </c>
      <c r="K2251" s="144">
        <f t="shared" ca="1" si="262"/>
        <v>0.97747511786275532</v>
      </c>
      <c r="L2251" s="144">
        <f t="shared" ca="1" si="262"/>
        <v>0.63361520616627998</v>
      </c>
      <c r="M2251" s="144">
        <f t="shared" ca="1" si="262"/>
        <v>82.638629050362951</v>
      </c>
      <c r="N2251" s="144">
        <f t="shared" ca="1" si="262"/>
        <v>5.9612362493452071</v>
      </c>
      <c r="O2251" s="144">
        <f t="shared" ca="1" si="262"/>
        <v>31.031355234603005</v>
      </c>
      <c r="P2251" s="144">
        <f t="shared" ca="1" si="262"/>
        <v>1</v>
      </c>
      <c r="Q2251" s="144">
        <f t="shared" ca="1" si="262"/>
        <v>0.74833495472573519</v>
      </c>
    </row>
    <row r="2252" spans="1:17" x14ac:dyDescent="0.25">
      <c r="A2252" s="145">
        <v>40518</v>
      </c>
      <c r="B2252" s="144">
        <v>1.3280000000000001</v>
      </c>
      <c r="C2252" s="144">
        <v>41.539499999999997</v>
      </c>
      <c r="D2252" s="144">
        <v>7.9785000000000004</v>
      </c>
      <c r="E2252" s="144">
        <v>110.06</v>
      </c>
      <c r="F2252" s="144">
        <v>0.84719999999999995</v>
      </c>
      <c r="G2252" s="144">
        <v>1.3084</v>
      </c>
      <c r="I2252" s="144">
        <v>1</v>
      </c>
      <c r="J2252" s="145">
        <f t="shared" si="261"/>
        <v>40518</v>
      </c>
      <c r="K2252" s="144">
        <f t="shared" ca="1" si="262"/>
        <v>0.98524096385542159</v>
      </c>
      <c r="L2252" s="144">
        <f t="shared" ca="1" si="262"/>
        <v>0.63795180722891565</v>
      </c>
      <c r="M2252" s="144">
        <f t="shared" ca="1" si="262"/>
        <v>82.876506024096386</v>
      </c>
      <c r="N2252" s="144">
        <f t="shared" ca="1" si="262"/>
        <v>6.0079066265060241</v>
      </c>
      <c r="O2252" s="144">
        <f t="shared" ca="1" si="262"/>
        <v>31.27974397590361</v>
      </c>
      <c r="P2252" s="144">
        <f t="shared" ca="1" si="262"/>
        <v>1</v>
      </c>
      <c r="Q2252" s="144">
        <f t="shared" ca="1" si="262"/>
        <v>0.75301204819277101</v>
      </c>
    </row>
    <row r="2253" spans="1:17" x14ac:dyDescent="0.25">
      <c r="A2253" s="145">
        <v>40517</v>
      </c>
      <c r="B2253" s="144">
        <v>1.3246</v>
      </c>
      <c r="C2253" s="144">
        <v>41.474499999999999</v>
      </c>
      <c r="D2253" s="144">
        <v>8.0050000000000008</v>
      </c>
      <c r="E2253" s="144">
        <v>110.86</v>
      </c>
      <c r="F2253" s="144">
        <v>0.84799999999999998</v>
      </c>
      <c r="G2253" s="144">
        <v>1.3143</v>
      </c>
      <c r="I2253" s="144">
        <v>1</v>
      </c>
      <c r="J2253" s="145">
        <f t="shared" si="261"/>
        <v>40517</v>
      </c>
      <c r="K2253" s="144">
        <f t="shared" ca="1" si="262"/>
        <v>0.99222406764306204</v>
      </c>
      <c r="L2253" s="144">
        <f t="shared" ca="1" si="262"/>
        <v>0.64019326589158987</v>
      </c>
      <c r="M2253" s="144">
        <f t="shared" ca="1" si="262"/>
        <v>83.693190397101006</v>
      </c>
      <c r="N2253" s="144">
        <f t="shared" ca="1" si="262"/>
        <v>6.0433338366299267</v>
      </c>
      <c r="O2253" s="144">
        <f t="shared" ca="1" si="262"/>
        <v>31.310961799788615</v>
      </c>
      <c r="P2253" s="144">
        <f t="shared" ca="1" si="262"/>
        <v>1</v>
      </c>
      <c r="Q2253" s="144">
        <f t="shared" ca="1" si="262"/>
        <v>0.75494488902310131</v>
      </c>
    </row>
    <row r="2254" spans="1:17" x14ac:dyDescent="0.25">
      <c r="A2254" s="145">
        <v>40516</v>
      </c>
      <c r="B2254" s="144">
        <v>1.3246</v>
      </c>
      <c r="C2254" s="144">
        <v>41.474499999999999</v>
      </c>
      <c r="D2254" s="144">
        <v>8.0050000000000008</v>
      </c>
      <c r="E2254" s="144">
        <v>110.86</v>
      </c>
      <c r="F2254" s="144">
        <v>0.84799999999999998</v>
      </c>
      <c r="G2254" s="144">
        <v>1.3143</v>
      </c>
      <c r="I2254" s="144">
        <v>1</v>
      </c>
      <c r="J2254" s="145">
        <f t="shared" si="261"/>
        <v>40516</v>
      </c>
      <c r="K2254" s="144">
        <f t="shared" ca="1" si="262"/>
        <v>0.99222406764306204</v>
      </c>
      <c r="L2254" s="144">
        <f t="shared" ca="1" si="262"/>
        <v>0.64019326589158987</v>
      </c>
      <c r="M2254" s="144">
        <f t="shared" ca="1" si="262"/>
        <v>83.693190397101006</v>
      </c>
      <c r="N2254" s="144">
        <f t="shared" ca="1" si="262"/>
        <v>6.0433338366299267</v>
      </c>
      <c r="O2254" s="144">
        <f t="shared" ca="1" si="262"/>
        <v>31.310961799788615</v>
      </c>
      <c r="P2254" s="144">
        <f t="shared" ca="1" si="262"/>
        <v>1</v>
      </c>
      <c r="Q2254" s="144">
        <f t="shared" ca="1" si="262"/>
        <v>0.75494488902310131</v>
      </c>
    </row>
    <row r="2255" spans="1:17" x14ac:dyDescent="0.25">
      <c r="A2255" s="145">
        <v>40515</v>
      </c>
      <c r="B2255" s="144">
        <v>1.3246</v>
      </c>
      <c r="C2255" s="144">
        <v>41.474499999999999</v>
      </c>
      <c r="D2255" s="144">
        <v>8.0050000000000008</v>
      </c>
      <c r="E2255" s="144">
        <v>110.86</v>
      </c>
      <c r="F2255" s="144">
        <v>0.84799999999999998</v>
      </c>
      <c r="G2255" s="144">
        <v>1.3143</v>
      </c>
      <c r="I2255" s="144">
        <v>1</v>
      </c>
      <c r="J2255" s="145">
        <f t="shared" si="261"/>
        <v>40515</v>
      </c>
      <c r="K2255" s="144">
        <f t="shared" ref="K2255:Q2264" ca="1" si="263">OFFSET($A2255,0,K$3)/OFFSET($A2255,0,$P$3)</f>
        <v>0.99222406764306204</v>
      </c>
      <c r="L2255" s="144">
        <f t="shared" ca="1" si="263"/>
        <v>0.64019326589158987</v>
      </c>
      <c r="M2255" s="144">
        <f t="shared" ca="1" si="263"/>
        <v>83.693190397101006</v>
      </c>
      <c r="N2255" s="144">
        <f t="shared" ca="1" si="263"/>
        <v>6.0433338366299267</v>
      </c>
      <c r="O2255" s="144">
        <f t="shared" ca="1" si="263"/>
        <v>31.310961799788615</v>
      </c>
      <c r="P2255" s="144">
        <f t="shared" ca="1" si="263"/>
        <v>1</v>
      </c>
      <c r="Q2255" s="144">
        <f t="shared" ca="1" si="263"/>
        <v>0.75494488902310131</v>
      </c>
    </row>
    <row r="2256" spans="1:17" x14ac:dyDescent="0.25">
      <c r="A2256" s="145">
        <v>40514</v>
      </c>
      <c r="B2256" s="144">
        <v>1.3154999999999999</v>
      </c>
      <c r="C2256" s="144">
        <v>41.298499999999997</v>
      </c>
      <c r="D2256" s="144">
        <v>8.06</v>
      </c>
      <c r="E2256" s="144">
        <v>110.97</v>
      </c>
      <c r="F2256" s="144">
        <v>0.84450000000000003</v>
      </c>
      <c r="G2256" s="144">
        <v>1.3160000000000001</v>
      </c>
      <c r="I2256" s="144">
        <v>1</v>
      </c>
      <c r="J2256" s="145">
        <f t="shared" si="261"/>
        <v>40514</v>
      </c>
      <c r="K2256" s="144">
        <f t="shared" ca="1" si="263"/>
        <v>1.0003800836183963</v>
      </c>
      <c r="L2256" s="144">
        <f t="shared" ca="1" si="263"/>
        <v>0.64196123147092365</v>
      </c>
      <c r="M2256" s="144">
        <f t="shared" ca="1" si="263"/>
        <v>84.355758266818711</v>
      </c>
      <c r="N2256" s="144">
        <f t="shared" ca="1" si="263"/>
        <v>6.1269479285442809</v>
      </c>
      <c r="O2256" s="144">
        <f t="shared" ca="1" si="263"/>
        <v>31.393766628658305</v>
      </c>
      <c r="P2256" s="144">
        <f t="shared" ca="1" si="263"/>
        <v>1</v>
      </c>
      <c r="Q2256" s="144">
        <f t="shared" ca="1" si="263"/>
        <v>0.7601672367920943</v>
      </c>
    </row>
    <row r="2257" spans="1:17" x14ac:dyDescent="0.25">
      <c r="A2257" s="145">
        <v>40513</v>
      </c>
      <c r="B2257" s="144">
        <v>1.3115000000000001</v>
      </c>
      <c r="C2257" s="144">
        <v>41.244500000000002</v>
      </c>
      <c r="D2257" s="144">
        <v>8.06</v>
      </c>
      <c r="E2257" s="144">
        <v>110.37</v>
      </c>
      <c r="F2257" s="144">
        <v>0.83930000000000005</v>
      </c>
      <c r="G2257" s="144">
        <v>1.3178000000000001</v>
      </c>
      <c r="I2257" s="144">
        <v>1</v>
      </c>
      <c r="J2257" s="145">
        <f t="shared" si="261"/>
        <v>40513</v>
      </c>
      <c r="K2257" s="144">
        <f t="shared" ca="1" si="263"/>
        <v>1.0048036599313763</v>
      </c>
      <c r="L2257" s="144">
        <f t="shared" ca="1" si="263"/>
        <v>0.63995425085779645</v>
      </c>
      <c r="M2257" s="144">
        <f t="shared" ca="1" si="263"/>
        <v>84.155547083492181</v>
      </c>
      <c r="N2257" s="144">
        <f t="shared" ca="1" si="263"/>
        <v>6.1456347693480744</v>
      </c>
      <c r="O2257" s="144">
        <f t="shared" ca="1" si="263"/>
        <v>31.448341593595121</v>
      </c>
      <c r="P2257" s="144">
        <f t="shared" ca="1" si="263"/>
        <v>1</v>
      </c>
      <c r="Q2257" s="144">
        <f t="shared" ca="1" si="263"/>
        <v>0.76248570339306132</v>
      </c>
    </row>
    <row r="2258" spans="1:17" x14ac:dyDescent="0.25">
      <c r="A2258" s="145">
        <v>40512</v>
      </c>
      <c r="B2258" s="144">
        <v>1.2998000000000001</v>
      </c>
      <c r="C2258" s="144">
        <v>40.954500000000003</v>
      </c>
      <c r="D2258" s="144">
        <v>8.0909999999999993</v>
      </c>
      <c r="E2258" s="144">
        <v>109</v>
      </c>
      <c r="F2258" s="144">
        <v>0.83765000000000001</v>
      </c>
      <c r="G2258" s="144">
        <v>1.2989999999999999</v>
      </c>
      <c r="I2258" s="144">
        <v>1</v>
      </c>
      <c r="J2258" s="145">
        <f t="shared" si="261"/>
        <v>40512</v>
      </c>
      <c r="K2258" s="144">
        <f t="shared" ca="1" si="263"/>
        <v>0.99938452069549155</v>
      </c>
      <c r="L2258" s="144">
        <f t="shared" ca="1" si="263"/>
        <v>0.64444529927681182</v>
      </c>
      <c r="M2258" s="144">
        <f t="shared" ca="1" si="263"/>
        <v>83.859055239267576</v>
      </c>
      <c r="N2258" s="144">
        <f t="shared" ca="1" si="263"/>
        <v>6.2248038159716872</v>
      </c>
      <c r="O2258" s="144">
        <f t="shared" ca="1" si="263"/>
        <v>31.508308970610862</v>
      </c>
      <c r="P2258" s="144">
        <f t="shared" ca="1" si="263"/>
        <v>1</v>
      </c>
      <c r="Q2258" s="144">
        <f t="shared" ca="1" si="263"/>
        <v>0.76934913063548238</v>
      </c>
    </row>
    <row r="2259" spans="1:17" x14ac:dyDescent="0.25">
      <c r="A2259" s="145">
        <v>40511</v>
      </c>
      <c r="B2259" s="144">
        <v>1.3146</v>
      </c>
      <c r="C2259" s="144">
        <v>41.157499999999999</v>
      </c>
      <c r="D2259" s="144">
        <v>8.1285000000000007</v>
      </c>
      <c r="E2259" s="144">
        <v>110.73</v>
      </c>
      <c r="F2259" s="144">
        <v>0.84399999999999997</v>
      </c>
      <c r="G2259" s="144">
        <v>1.3186</v>
      </c>
      <c r="I2259" s="144">
        <v>1</v>
      </c>
      <c r="J2259" s="145">
        <f t="shared" si="261"/>
        <v>40511</v>
      </c>
      <c r="K2259" s="144">
        <f t="shared" ca="1" si="263"/>
        <v>1.0030427506465844</v>
      </c>
      <c r="L2259" s="144">
        <f t="shared" ca="1" si="263"/>
        <v>0.64202038642933212</v>
      </c>
      <c r="M2259" s="144">
        <f t="shared" ca="1" si="263"/>
        <v>84.230944774075766</v>
      </c>
      <c r="N2259" s="144">
        <f t="shared" ca="1" si="263"/>
        <v>6.1832496576905527</v>
      </c>
      <c r="O2259" s="144">
        <f t="shared" ca="1" si="263"/>
        <v>31.308002434200517</v>
      </c>
      <c r="P2259" s="144">
        <f t="shared" ca="1" si="263"/>
        <v>1</v>
      </c>
      <c r="Q2259" s="144">
        <f t="shared" ca="1" si="263"/>
        <v>0.76068766164612811</v>
      </c>
    </row>
    <row r="2260" spans="1:17" x14ac:dyDescent="0.25">
      <c r="A2260" s="145">
        <v>40510</v>
      </c>
      <c r="B2260" s="144">
        <v>1.3225</v>
      </c>
      <c r="C2260" s="144">
        <v>41.539000000000001</v>
      </c>
      <c r="D2260" s="144">
        <v>8.1769999999999996</v>
      </c>
      <c r="E2260" s="144">
        <v>110.92</v>
      </c>
      <c r="F2260" s="144">
        <v>0.84470000000000001</v>
      </c>
      <c r="G2260" s="144">
        <v>1.3251999999999999</v>
      </c>
      <c r="I2260" s="144">
        <v>1</v>
      </c>
      <c r="J2260" s="145">
        <f t="shared" si="261"/>
        <v>40510</v>
      </c>
      <c r="K2260" s="144">
        <f t="shared" ca="1" si="263"/>
        <v>1.0020415879017013</v>
      </c>
      <c r="L2260" s="144">
        <f t="shared" ca="1" si="263"/>
        <v>0.63871455576559544</v>
      </c>
      <c r="M2260" s="144">
        <f t="shared" ca="1" si="263"/>
        <v>83.871455576559541</v>
      </c>
      <c r="N2260" s="144">
        <f t="shared" ca="1" si="263"/>
        <v>6.1829867674858221</v>
      </c>
      <c r="O2260" s="144">
        <f t="shared" ca="1" si="263"/>
        <v>31.40945179584121</v>
      </c>
      <c r="P2260" s="144">
        <f t="shared" ca="1" si="263"/>
        <v>1</v>
      </c>
      <c r="Q2260" s="144">
        <f t="shared" ca="1" si="263"/>
        <v>0.75614366729678639</v>
      </c>
    </row>
    <row r="2261" spans="1:17" x14ac:dyDescent="0.25">
      <c r="A2261" s="145">
        <v>40509</v>
      </c>
      <c r="B2261" s="144">
        <v>1.3225</v>
      </c>
      <c r="C2261" s="144">
        <v>41.539000000000001</v>
      </c>
      <c r="D2261" s="144">
        <v>8.1769999999999996</v>
      </c>
      <c r="E2261" s="144">
        <v>110.92</v>
      </c>
      <c r="F2261" s="144">
        <v>0.84470000000000001</v>
      </c>
      <c r="G2261" s="144">
        <v>1.3251999999999999</v>
      </c>
      <c r="I2261" s="144">
        <v>1</v>
      </c>
      <c r="J2261" s="145">
        <f t="shared" si="261"/>
        <v>40509</v>
      </c>
      <c r="K2261" s="144">
        <f t="shared" ca="1" si="263"/>
        <v>1.0020415879017013</v>
      </c>
      <c r="L2261" s="144">
        <f t="shared" ca="1" si="263"/>
        <v>0.63871455576559544</v>
      </c>
      <c r="M2261" s="144">
        <f t="shared" ca="1" si="263"/>
        <v>83.871455576559541</v>
      </c>
      <c r="N2261" s="144">
        <f t="shared" ca="1" si="263"/>
        <v>6.1829867674858221</v>
      </c>
      <c r="O2261" s="144">
        <f t="shared" ca="1" si="263"/>
        <v>31.40945179584121</v>
      </c>
      <c r="P2261" s="144">
        <f t="shared" ca="1" si="263"/>
        <v>1</v>
      </c>
      <c r="Q2261" s="144">
        <f t="shared" ca="1" si="263"/>
        <v>0.75614366729678639</v>
      </c>
    </row>
    <row r="2262" spans="1:17" x14ac:dyDescent="0.25">
      <c r="A2262" s="145">
        <v>40508</v>
      </c>
      <c r="B2262" s="144">
        <v>1.3225</v>
      </c>
      <c r="C2262" s="144">
        <v>41.539000000000001</v>
      </c>
      <c r="D2262" s="144">
        <v>8.1769999999999996</v>
      </c>
      <c r="E2262" s="144">
        <v>110.92</v>
      </c>
      <c r="F2262" s="144">
        <v>0.84470000000000001</v>
      </c>
      <c r="G2262" s="144">
        <v>1.3251999999999999</v>
      </c>
      <c r="I2262" s="144">
        <v>1</v>
      </c>
      <c r="J2262" s="145">
        <f t="shared" si="261"/>
        <v>40508</v>
      </c>
      <c r="K2262" s="144">
        <f t="shared" ca="1" si="263"/>
        <v>1.0020415879017013</v>
      </c>
      <c r="L2262" s="144">
        <f t="shared" ca="1" si="263"/>
        <v>0.63871455576559544</v>
      </c>
      <c r="M2262" s="144">
        <f t="shared" ca="1" si="263"/>
        <v>83.871455576559541</v>
      </c>
      <c r="N2262" s="144">
        <f t="shared" ca="1" si="263"/>
        <v>6.1829867674858221</v>
      </c>
      <c r="O2262" s="144">
        <f t="shared" ca="1" si="263"/>
        <v>31.40945179584121</v>
      </c>
      <c r="P2262" s="144">
        <f t="shared" ca="1" si="263"/>
        <v>1</v>
      </c>
      <c r="Q2262" s="144">
        <f t="shared" ca="1" si="263"/>
        <v>0.75614366729678639</v>
      </c>
    </row>
    <row r="2263" spans="1:17" x14ac:dyDescent="0.25">
      <c r="A2263" s="145">
        <v>40507</v>
      </c>
      <c r="B2263" s="144">
        <v>1.3321000000000001</v>
      </c>
      <c r="C2263" s="144">
        <v>41.651000000000003</v>
      </c>
      <c r="D2263" s="144">
        <v>8.1274999999999995</v>
      </c>
      <c r="E2263" s="144">
        <v>111.35</v>
      </c>
      <c r="F2263" s="144">
        <v>0.84645000000000004</v>
      </c>
      <c r="G2263" s="144">
        <v>1.3326</v>
      </c>
      <c r="I2263" s="144">
        <v>1</v>
      </c>
      <c r="J2263" s="145">
        <f t="shared" si="261"/>
        <v>40507</v>
      </c>
      <c r="K2263" s="144">
        <f t="shared" ca="1" si="263"/>
        <v>1.0003753471961565</v>
      </c>
      <c r="L2263" s="144">
        <f t="shared" ca="1" si="263"/>
        <v>0.6354252683732452</v>
      </c>
      <c r="M2263" s="144">
        <f t="shared" ca="1" si="263"/>
        <v>83.589820584040226</v>
      </c>
      <c r="N2263" s="144">
        <f t="shared" ca="1" si="263"/>
        <v>6.1012686735230082</v>
      </c>
      <c r="O2263" s="144">
        <f t="shared" ca="1" si="263"/>
        <v>31.267172134224158</v>
      </c>
      <c r="P2263" s="144">
        <f t="shared" ca="1" si="263"/>
        <v>1</v>
      </c>
      <c r="Q2263" s="144">
        <f t="shared" ca="1" si="263"/>
        <v>0.75069439231288937</v>
      </c>
    </row>
    <row r="2264" spans="1:17" x14ac:dyDescent="0.25">
      <c r="A2264" s="145">
        <v>40506</v>
      </c>
      <c r="B2264" s="144">
        <v>1.3339000000000001</v>
      </c>
      <c r="C2264" s="144">
        <v>41.813000000000002</v>
      </c>
      <c r="D2264" s="144">
        <v>8.1445000000000007</v>
      </c>
      <c r="E2264" s="144">
        <v>111.28</v>
      </c>
      <c r="F2264" s="144">
        <v>0.84379999999999999</v>
      </c>
      <c r="G2264" s="144">
        <v>1.3275999999999999</v>
      </c>
      <c r="I2264" s="144">
        <v>1</v>
      </c>
      <c r="J2264" s="145">
        <f t="shared" si="261"/>
        <v>40506</v>
      </c>
      <c r="K2264" s="144">
        <f t="shared" ca="1" si="263"/>
        <v>0.99527700727190926</v>
      </c>
      <c r="L2264" s="144">
        <f t="shared" ca="1" si="263"/>
        <v>0.63258115300997075</v>
      </c>
      <c r="M2264" s="144">
        <f t="shared" ca="1" si="263"/>
        <v>83.42454456855836</v>
      </c>
      <c r="N2264" s="144">
        <f t="shared" ca="1" si="263"/>
        <v>6.1057800434815208</v>
      </c>
      <c r="O2264" s="144">
        <f t="shared" ca="1" si="263"/>
        <v>31.346427768198517</v>
      </c>
      <c r="P2264" s="144">
        <f t="shared" ca="1" si="263"/>
        <v>1</v>
      </c>
      <c r="Q2264" s="144">
        <f t="shared" ca="1" si="263"/>
        <v>0.74968138541120022</v>
      </c>
    </row>
    <row r="2265" spans="1:17" x14ac:dyDescent="0.25">
      <c r="A2265" s="145">
        <v>40505</v>
      </c>
      <c r="B2265" s="144">
        <v>1.3495999999999999</v>
      </c>
      <c r="C2265" s="144">
        <v>42.304000000000002</v>
      </c>
      <c r="D2265" s="144">
        <v>8.2070000000000007</v>
      </c>
      <c r="E2265" s="144">
        <v>112.5</v>
      </c>
      <c r="F2265" s="144">
        <v>0.84794999999999998</v>
      </c>
      <c r="G2265" s="144">
        <v>1.3338000000000001</v>
      </c>
      <c r="I2265" s="144">
        <v>1</v>
      </c>
      <c r="J2265" s="145">
        <f t="shared" si="261"/>
        <v>40505</v>
      </c>
      <c r="K2265" s="144">
        <f t="shared" ref="K2265:Q2274" ca="1" si="264">OFFSET($A2265,0,K$3)/OFFSET($A2265,0,$P$3)</f>
        <v>0.98829282750444591</v>
      </c>
      <c r="L2265" s="144">
        <f t="shared" ca="1" si="264"/>
        <v>0.62829727326615292</v>
      </c>
      <c r="M2265" s="144">
        <f t="shared" ca="1" si="264"/>
        <v>83.35803200948429</v>
      </c>
      <c r="N2265" s="144">
        <f t="shared" ca="1" si="264"/>
        <v>6.0810610551274458</v>
      </c>
      <c r="O2265" s="144">
        <f t="shared" ca="1" si="264"/>
        <v>31.345583876704211</v>
      </c>
      <c r="P2265" s="144">
        <f t="shared" ca="1" si="264"/>
        <v>1</v>
      </c>
      <c r="Q2265" s="144">
        <f t="shared" ca="1" si="264"/>
        <v>0.74096028452874929</v>
      </c>
    </row>
    <row r="2266" spans="1:17" x14ac:dyDescent="0.25">
      <c r="A2266" s="145">
        <v>40504</v>
      </c>
      <c r="B2266" s="144">
        <v>1.3647</v>
      </c>
      <c r="C2266" s="144">
        <v>42.412500000000001</v>
      </c>
      <c r="D2266" s="144">
        <v>8.2070000000000007</v>
      </c>
      <c r="E2266" s="144">
        <v>113.97</v>
      </c>
      <c r="F2266" s="144">
        <v>0.85489999999999999</v>
      </c>
      <c r="G2266" s="144">
        <v>1.3505</v>
      </c>
      <c r="I2266" s="144">
        <v>1</v>
      </c>
      <c r="J2266" s="145">
        <f t="shared" si="261"/>
        <v>40504</v>
      </c>
      <c r="K2266" s="144">
        <f t="shared" ca="1" si="264"/>
        <v>0.98959478273613244</v>
      </c>
      <c r="L2266" s="144">
        <f t="shared" ca="1" si="264"/>
        <v>0.62643804499157318</v>
      </c>
      <c r="M2266" s="144">
        <f t="shared" ca="1" si="264"/>
        <v>83.512859969223996</v>
      </c>
      <c r="N2266" s="144">
        <f t="shared" ca="1" si="264"/>
        <v>6.0137759214479374</v>
      </c>
      <c r="O2266" s="144">
        <f t="shared" ca="1" si="264"/>
        <v>31.07825895801275</v>
      </c>
      <c r="P2266" s="144">
        <f t="shared" ca="1" si="264"/>
        <v>1</v>
      </c>
      <c r="Q2266" s="144">
        <f t="shared" ca="1" si="264"/>
        <v>0.7327617791455997</v>
      </c>
    </row>
    <row r="2267" spans="1:17" x14ac:dyDescent="0.25">
      <c r="A2267" s="145">
        <v>40503</v>
      </c>
      <c r="B2267" s="144">
        <v>1.3673999999999999</v>
      </c>
      <c r="C2267" s="144">
        <v>42.463000000000001</v>
      </c>
      <c r="D2267" s="144">
        <v>8.1999999999999993</v>
      </c>
      <c r="E2267" s="144">
        <v>114.09</v>
      </c>
      <c r="F2267" s="144">
        <v>0.85519999999999996</v>
      </c>
      <c r="G2267" s="144">
        <v>1.3607</v>
      </c>
      <c r="I2267" s="144">
        <v>1</v>
      </c>
      <c r="J2267" s="145">
        <f t="shared" si="261"/>
        <v>40503</v>
      </c>
      <c r="K2267" s="144">
        <f t="shared" ca="1" si="264"/>
        <v>0.99510019014187512</v>
      </c>
      <c r="L2267" s="144">
        <f t="shared" ca="1" si="264"/>
        <v>0.62542050606991373</v>
      </c>
      <c r="M2267" s="144">
        <f t="shared" ca="1" si="264"/>
        <v>83.435717419921019</v>
      </c>
      <c r="N2267" s="144">
        <f t="shared" ca="1" si="264"/>
        <v>5.9967822144215299</v>
      </c>
      <c r="O2267" s="144">
        <f t="shared" ca="1" si="264"/>
        <v>31.053824776948957</v>
      </c>
      <c r="P2267" s="144">
        <f t="shared" ca="1" si="264"/>
        <v>1</v>
      </c>
      <c r="Q2267" s="144">
        <f t="shared" ca="1" si="264"/>
        <v>0.73131490419774758</v>
      </c>
    </row>
    <row r="2268" spans="1:17" x14ac:dyDescent="0.25">
      <c r="A2268" s="145">
        <v>40502</v>
      </c>
      <c r="B2268" s="144">
        <v>1.3673999999999999</v>
      </c>
      <c r="C2268" s="144">
        <v>42.463000000000001</v>
      </c>
      <c r="D2268" s="144">
        <v>8.1999999999999993</v>
      </c>
      <c r="E2268" s="144">
        <v>114.09</v>
      </c>
      <c r="F2268" s="144">
        <v>0.85519999999999996</v>
      </c>
      <c r="G2268" s="144">
        <v>1.3607</v>
      </c>
      <c r="I2268" s="144">
        <v>1</v>
      </c>
      <c r="J2268" s="145">
        <f t="shared" si="261"/>
        <v>40502</v>
      </c>
      <c r="K2268" s="144">
        <f t="shared" ca="1" si="264"/>
        <v>0.99510019014187512</v>
      </c>
      <c r="L2268" s="144">
        <f t="shared" ca="1" si="264"/>
        <v>0.62542050606991373</v>
      </c>
      <c r="M2268" s="144">
        <f t="shared" ca="1" si="264"/>
        <v>83.435717419921019</v>
      </c>
      <c r="N2268" s="144">
        <f t="shared" ca="1" si="264"/>
        <v>5.9967822144215299</v>
      </c>
      <c r="O2268" s="144">
        <f t="shared" ca="1" si="264"/>
        <v>31.053824776948957</v>
      </c>
      <c r="P2268" s="144">
        <f t="shared" ca="1" si="264"/>
        <v>1</v>
      </c>
      <c r="Q2268" s="144">
        <f t="shared" ca="1" si="264"/>
        <v>0.73131490419774758</v>
      </c>
    </row>
    <row r="2269" spans="1:17" x14ac:dyDescent="0.25">
      <c r="A2269" s="145">
        <v>40501</v>
      </c>
      <c r="B2269" s="144">
        <v>1.3673999999999999</v>
      </c>
      <c r="C2269" s="144">
        <v>42.463000000000001</v>
      </c>
      <c r="D2269" s="144">
        <v>8.1999999999999993</v>
      </c>
      <c r="E2269" s="144">
        <v>114.09</v>
      </c>
      <c r="F2269" s="144">
        <v>0.85519999999999996</v>
      </c>
      <c r="G2269" s="144">
        <v>1.3607</v>
      </c>
      <c r="I2269" s="144">
        <v>1</v>
      </c>
      <c r="J2269" s="145">
        <f t="shared" si="261"/>
        <v>40501</v>
      </c>
      <c r="K2269" s="144">
        <f t="shared" ca="1" si="264"/>
        <v>0.99510019014187512</v>
      </c>
      <c r="L2269" s="144">
        <f t="shared" ca="1" si="264"/>
        <v>0.62542050606991373</v>
      </c>
      <c r="M2269" s="144">
        <f t="shared" ca="1" si="264"/>
        <v>83.435717419921019</v>
      </c>
      <c r="N2269" s="144">
        <f t="shared" ca="1" si="264"/>
        <v>5.9967822144215299</v>
      </c>
      <c r="O2269" s="144">
        <f t="shared" ca="1" si="264"/>
        <v>31.053824776948957</v>
      </c>
      <c r="P2269" s="144">
        <f t="shared" ca="1" si="264"/>
        <v>1</v>
      </c>
      <c r="Q2269" s="144">
        <f t="shared" ca="1" si="264"/>
        <v>0.73131490419774758</v>
      </c>
    </row>
    <row r="2270" spans="1:17" x14ac:dyDescent="0.25">
      <c r="A2270" s="145">
        <v>40500</v>
      </c>
      <c r="B2270" s="144">
        <v>1.3647</v>
      </c>
      <c r="C2270" s="144">
        <v>42.390999999999998</v>
      </c>
      <c r="D2270" s="144">
        <v>8.1620000000000008</v>
      </c>
      <c r="E2270" s="144">
        <v>113.72</v>
      </c>
      <c r="F2270" s="144">
        <v>0.85219999999999996</v>
      </c>
      <c r="G2270" s="144">
        <v>1.3474999999999999</v>
      </c>
      <c r="I2270" s="144">
        <v>1</v>
      </c>
      <c r="J2270" s="145">
        <f t="shared" si="261"/>
        <v>40500</v>
      </c>
      <c r="K2270" s="144">
        <f t="shared" ca="1" si="264"/>
        <v>0.98739649739869562</v>
      </c>
      <c r="L2270" s="144">
        <f t="shared" ca="1" si="264"/>
        <v>0.62445958818788005</v>
      </c>
      <c r="M2270" s="144">
        <f t="shared" ca="1" si="264"/>
        <v>83.329669524437605</v>
      </c>
      <c r="N2270" s="144">
        <f t="shared" ca="1" si="264"/>
        <v>5.9808016413863854</v>
      </c>
      <c r="O2270" s="144">
        <f t="shared" ca="1" si="264"/>
        <v>31.062504579761118</v>
      </c>
      <c r="P2270" s="144">
        <f t="shared" ca="1" si="264"/>
        <v>1</v>
      </c>
      <c r="Q2270" s="144">
        <f t="shared" ca="1" si="264"/>
        <v>0.7327617791455997</v>
      </c>
    </row>
    <row r="2271" spans="1:17" x14ac:dyDescent="0.25">
      <c r="A2271" s="145">
        <v>40499</v>
      </c>
      <c r="B2271" s="144">
        <v>1.3481000000000001</v>
      </c>
      <c r="C2271" s="144">
        <v>42.317300000000003</v>
      </c>
      <c r="D2271" s="144">
        <v>8.1850000000000005</v>
      </c>
      <c r="E2271" s="144">
        <v>112.5</v>
      </c>
      <c r="F2271" s="144">
        <v>0.84894999999999998</v>
      </c>
      <c r="G2271" s="144">
        <v>1.3426</v>
      </c>
      <c r="I2271" s="144">
        <v>1</v>
      </c>
      <c r="J2271" s="145">
        <f t="shared" si="261"/>
        <v>40499</v>
      </c>
      <c r="K2271" s="144">
        <f t="shared" ca="1" si="264"/>
        <v>0.99592018396261406</v>
      </c>
      <c r="L2271" s="144">
        <f t="shared" ca="1" si="264"/>
        <v>0.62973814998887323</v>
      </c>
      <c r="M2271" s="144">
        <f t="shared" ca="1" si="264"/>
        <v>83.450782582894433</v>
      </c>
      <c r="N2271" s="144">
        <f t="shared" ca="1" si="264"/>
        <v>6.0715080483643646</v>
      </c>
      <c r="O2271" s="144">
        <f t="shared" ca="1" si="264"/>
        <v>31.390327127067724</v>
      </c>
      <c r="P2271" s="144">
        <f t="shared" ca="1" si="264"/>
        <v>1</v>
      </c>
      <c r="Q2271" s="144">
        <f t="shared" ca="1" si="264"/>
        <v>0.74178473407017276</v>
      </c>
    </row>
    <row r="2272" spans="1:17" x14ac:dyDescent="0.25">
      <c r="A2272" s="145">
        <v>40498</v>
      </c>
      <c r="B2272" s="144">
        <v>1.3612</v>
      </c>
      <c r="C2272" s="144">
        <v>42.3215</v>
      </c>
      <c r="D2272" s="144">
        <v>8.1669999999999998</v>
      </c>
      <c r="E2272" s="144">
        <v>113.21</v>
      </c>
      <c r="F2272" s="144">
        <v>0.85099999999999998</v>
      </c>
      <c r="G2272" s="144">
        <v>1.3408</v>
      </c>
      <c r="I2272" s="144">
        <v>1</v>
      </c>
      <c r="J2272" s="145">
        <f t="shared" si="261"/>
        <v>40498</v>
      </c>
      <c r="K2272" s="144">
        <f t="shared" ca="1" si="264"/>
        <v>0.98501322362621213</v>
      </c>
      <c r="L2272" s="144">
        <f t="shared" ca="1" si="264"/>
        <v>0.62518366147516902</v>
      </c>
      <c r="M2272" s="144">
        <f t="shared" ca="1" si="264"/>
        <v>83.169262415515718</v>
      </c>
      <c r="N2272" s="144">
        <f t="shared" ca="1" si="264"/>
        <v>5.9998530708198645</v>
      </c>
      <c r="O2272" s="144">
        <f t="shared" ca="1" si="264"/>
        <v>31.091316485454012</v>
      </c>
      <c r="P2272" s="144">
        <f t="shared" ca="1" si="264"/>
        <v>1</v>
      </c>
      <c r="Q2272" s="144">
        <f t="shared" ca="1" si="264"/>
        <v>0.73464590067587421</v>
      </c>
    </row>
    <row r="2273" spans="1:17" x14ac:dyDescent="0.25">
      <c r="A2273" s="145">
        <v>40497</v>
      </c>
      <c r="B2273" s="144">
        <v>1.3626</v>
      </c>
      <c r="C2273" s="144">
        <v>42.196199999999997</v>
      </c>
      <c r="D2273" s="144">
        <v>8.1355000000000004</v>
      </c>
      <c r="E2273" s="144">
        <v>113.31</v>
      </c>
      <c r="F2273" s="144">
        <v>0.84789999999999999</v>
      </c>
      <c r="G2273" s="144">
        <v>1.3428</v>
      </c>
      <c r="I2273" s="144">
        <v>1</v>
      </c>
      <c r="J2273" s="145">
        <f t="shared" si="261"/>
        <v>40497</v>
      </c>
      <c r="K2273" s="144">
        <f t="shared" ca="1" si="264"/>
        <v>0.98546895640686916</v>
      </c>
      <c r="L2273" s="144">
        <f t="shared" ca="1" si="264"/>
        <v>0.62226625568765592</v>
      </c>
      <c r="M2273" s="144">
        <f t="shared" ca="1" si="264"/>
        <v>83.157199471598418</v>
      </c>
      <c r="N2273" s="144">
        <f t="shared" ca="1" si="264"/>
        <v>5.9705709672684577</v>
      </c>
      <c r="O2273" s="144">
        <f t="shared" ca="1" si="264"/>
        <v>30.967415235579036</v>
      </c>
      <c r="P2273" s="144">
        <f t="shared" ca="1" si="264"/>
        <v>1</v>
      </c>
      <c r="Q2273" s="144">
        <f t="shared" ca="1" si="264"/>
        <v>0.73389109056216051</v>
      </c>
    </row>
    <row r="2274" spans="1:17" x14ac:dyDescent="0.25">
      <c r="A2274" s="145">
        <v>40496</v>
      </c>
      <c r="B2274" s="144">
        <v>1.3711</v>
      </c>
      <c r="C2274" s="144">
        <v>42.17</v>
      </c>
      <c r="D2274" s="144">
        <v>8.1329999999999991</v>
      </c>
      <c r="E2274" s="144">
        <v>112.59</v>
      </c>
      <c r="F2274" s="144">
        <v>0.85070000000000001</v>
      </c>
      <c r="G2274" s="144">
        <v>1.3357000000000001</v>
      </c>
      <c r="I2274" s="144">
        <v>1</v>
      </c>
      <c r="J2274" s="145">
        <f t="shared" si="261"/>
        <v>40496</v>
      </c>
      <c r="K2274" s="144">
        <f t="shared" ca="1" si="264"/>
        <v>0.97418131427321142</v>
      </c>
      <c r="L2274" s="144">
        <f t="shared" ca="1" si="264"/>
        <v>0.62045073298811171</v>
      </c>
      <c r="M2274" s="144">
        <f t="shared" ca="1" si="264"/>
        <v>82.116548756472909</v>
      </c>
      <c r="N2274" s="144">
        <f t="shared" ca="1" si="264"/>
        <v>5.9317336445189985</v>
      </c>
      <c r="O2274" s="144">
        <f t="shared" ca="1" si="264"/>
        <v>30.756327036685875</v>
      </c>
      <c r="P2274" s="144">
        <f t="shared" ca="1" si="264"/>
        <v>1</v>
      </c>
      <c r="Q2274" s="144">
        <f t="shared" ca="1" si="264"/>
        <v>0.72934140471154552</v>
      </c>
    </row>
    <row r="2275" spans="1:17" x14ac:dyDescent="0.25">
      <c r="A2275" s="145">
        <v>40495</v>
      </c>
      <c r="B2275" s="144">
        <v>1.3711</v>
      </c>
      <c r="C2275" s="144">
        <v>42.17</v>
      </c>
      <c r="D2275" s="144">
        <v>8.1329999999999991</v>
      </c>
      <c r="E2275" s="144">
        <v>112.59</v>
      </c>
      <c r="F2275" s="144">
        <v>0.85070000000000001</v>
      </c>
      <c r="G2275" s="144">
        <v>1.3357000000000001</v>
      </c>
      <c r="I2275" s="144">
        <v>1</v>
      </c>
      <c r="J2275" s="145">
        <f t="shared" si="261"/>
        <v>40495</v>
      </c>
      <c r="K2275" s="144">
        <f t="shared" ref="K2275:Q2284" ca="1" si="265">OFFSET($A2275,0,K$3)/OFFSET($A2275,0,$P$3)</f>
        <v>0.97418131427321142</v>
      </c>
      <c r="L2275" s="144">
        <f t="shared" ca="1" si="265"/>
        <v>0.62045073298811171</v>
      </c>
      <c r="M2275" s="144">
        <f t="shared" ca="1" si="265"/>
        <v>82.116548756472909</v>
      </c>
      <c r="N2275" s="144">
        <f t="shared" ca="1" si="265"/>
        <v>5.9317336445189985</v>
      </c>
      <c r="O2275" s="144">
        <f t="shared" ca="1" si="265"/>
        <v>30.756327036685875</v>
      </c>
      <c r="P2275" s="144">
        <f t="shared" ca="1" si="265"/>
        <v>1</v>
      </c>
      <c r="Q2275" s="144">
        <f t="shared" ca="1" si="265"/>
        <v>0.72934140471154552</v>
      </c>
    </row>
    <row r="2276" spans="1:17" x14ac:dyDescent="0.25">
      <c r="A2276" s="145">
        <v>40494</v>
      </c>
      <c r="B2276" s="144">
        <v>1.3711</v>
      </c>
      <c r="C2276" s="144">
        <v>42.17</v>
      </c>
      <c r="D2276" s="144">
        <v>8.1329999999999991</v>
      </c>
      <c r="E2276" s="144">
        <v>112.59</v>
      </c>
      <c r="F2276" s="144">
        <v>0.85070000000000001</v>
      </c>
      <c r="G2276" s="144">
        <v>1.3357000000000001</v>
      </c>
      <c r="I2276" s="144">
        <v>1</v>
      </c>
      <c r="J2276" s="145">
        <f t="shared" si="261"/>
        <v>40494</v>
      </c>
      <c r="K2276" s="144">
        <f t="shared" ca="1" si="265"/>
        <v>0.97418131427321142</v>
      </c>
      <c r="L2276" s="144">
        <f t="shared" ca="1" si="265"/>
        <v>0.62045073298811171</v>
      </c>
      <c r="M2276" s="144">
        <f t="shared" ca="1" si="265"/>
        <v>82.116548756472909</v>
      </c>
      <c r="N2276" s="144">
        <f t="shared" ca="1" si="265"/>
        <v>5.9317336445189985</v>
      </c>
      <c r="O2276" s="144">
        <f t="shared" ca="1" si="265"/>
        <v>30.756327036685875</v>
      </c>
      <c r="P2276" s="144">
        <f t="shared" ca="1" si="265"/>
        <v>1</v>
      </c>
      <c r="Q2276" s="144">
        <f t="shared" ca="1" si="265"/>
        <v>0.72934140471154552</v>
      </c>
    </row>
    <row r="2277" spans="1:17" x14ac:dyDescent="0.25">
      <c r="A2277" s="145">
        <v>40493</v>
      </c>
      <c r="B2277" s="144">
        <v>1.37</v>
      </c>
      <c r="C2277" s="144">
        <v>41.921999999999997</v>
      </c>
      <c r="D2277" s="144">
        <v>8.0909999999999993</v>
      </c>
      <c r="E2277" s="144">
        <v>112.78</v>
      </c>
      <c r="F2277" s="144">
        <v>0.84909999999999997</v>
      </c>
      <c r="G2277" s="144">
        <v>1.3282</v>
      </c>
      <c r="I2277" s="144">
        <v>1</v>
      </c>
      <c r="J2277" s="145">
        <f t="shared" si="261"/>
        <v>40493</v>
      </c>
      <c r="K2277" s="144">
        <f t="shared" ca="1" si="265"/>
        <v>0.96948905109489047</v>
      </c>
      <c r="L2277" s="144">
        <f t="shared" ca="1" si="265"/>
        <v>0.61978102189781015</v>
      </c>
      <c r="M2277" s="144">
        <f t="shared" ca="1" si="265"/>
        <v>82.321167883211672</v>
      </c>
      <c r="N2277" s="144">
        <f t="shared" ca="1" si="265"/>
        <v>5.9058394160583934</v>
      </c>
      <c r="O2277" s="144">
        <f t="shared" ca="1" si="265"/>
        <v>30.599999999999994</v>
      </c>
      <c r="P2277" s="144">
        <f t="shared" ca="1" si="265"/>
        <v>1</v>
      </c>
      <c r="Q2277" s="144">
        <f t="shared" ca="1" si="265"/>
        <v>0.72992700729927007</v>
      </c>
    </row>
    <row r="2278" spans="1:17" x14ac:dyDescent="0.25">
      <c r="A2278" s="145">
        <v>40492</v>
      </c>
      <c r="B2278" s="144">
        <v>1.377</v>
      </c>
      <c r="C2278" s="144">
        <v>42.28</v>
      </c>
      <c r="D2278" s="144">
        <v>8.0760000000000005</v>
      </c>
      <c r="E2278" s="144">
        <v>113.48</v>
      </c>
      <c r="F2278" s="144">
        <v>0.85685</v>
      </c>
      <c r="G2278" s="144">
        <v>1.3402000000000001</v>
      </c>
      <c r="I2278" s="144">
        <v>1</v>
      </c>
      <c r="J2278" s="145">
        <f t="shared" si="261"/>
        <v>40492</v>
      </c>
      <c r="K2278" s="144">
        <f t="shared" ca="1" si="265"/>
        <v>0.97327523602033406</v>
      </c>
      <c r="L2278" s="144">
        <f t="shared" ca="1" si="265"/>
        <v>0.62225853304284673</v>
      </c>
      <c r="M2278" s="144">
        <f t="shared" ca="1" si="265"/>
        <v>82.41103848946986</v>
      </c>
      <c r="N2278" s="144">
        <f t="shared" ca="1" si="265"/>
        <v>5.8649237472766886</v>
      </c>
      <c r="O2278" s="144">
        <f t="shared" ca="1" si="265"/>
        <v>30.704429920116194</v>
      </c>
      <c r="P2278" s="144">
        <f t="shared" ca="1" si="265"/>
        <v>1</v>
      </c>
      <c r="Q2278" s="144">
        <f t="shared" ca="1" si="265"/>
        <v>0.72621641249092228</v>
      </c>
    </row>
    <row r="2279" spans="1:17" x14ac:dyDescent="0.25">
      <c r="A2279" s="145">
        <v>40491</v>
      </c>
      <c r="B2279" s="144">
        <v>1.3945000000000001</v>
      </c>
      <c r="C2279" s="144">
        <v>42.701700000000002</v>
      </c>
      <c r="D2279" s="144">
        <v>8.077</v>
      </c>
      <c r="E2279" s="144">
        <v>112.44</v>
      </c>
      <c r="F2279" s="144">
        <v>0.86234999999999995</v>
      </c>
      <c r="G2279" s="144">
        <v>1.3420000000000001</v>
      </c>
      <c r="I2279" s="144">
        <v>1</v>
      </c>
      <c r="J2279" s="145">
        <f t="shared" si="261"/>
        <v>40491</v>
      </c>
      <c r="K2279" s="144">
        <f t="shared" ca="1" si="265"/>
        <v>0.96235209752599504</v>
      </c>
      <c r="L2279" s="144">
        <f t="shared" ca="1" si="265"/>
        <v>0.6183936894944424</v>
      </c>
      <c r="M2279" s="144">
        <f t="shared" ca="1" si="265"/>
        <v>80.63105055575474</v>
      </c>
      <c r="N2279" s="144">
        <f t="shared" ca="1" si="265"/>
        <v>5.7920401577626386</v>
      </c>
      <c r="O2279" s="144">
        <f t="shared" ca="1" si="265"/>
        <v>30.621513087128005</v>
      </c>
      <c r="P2279" s="144">
        <f t="shared" ca="1" si="265"/>
        <v>1</v>
      </c>
      <c r="Q2279" s="144">
        <f t="shared" ca="1" si="265"/>
        <v>0.71710290426676226</v>
      </c>
    </row>
    <row r="2280" spans="1:17" x14ac:dyDescent="0.25">
      <c r="A2280" s="145">
        <v>40490</v>
      </c>
      <c r="B2280" s="144">
        <v>1.3916999999999999</v>
      </c>
      <c r="C2280" s="144">
        <v>42.814999999999998</v>
      </c>
      <c r="D2280" s="144">
        <v>8.0850000000000009</v>
      </c>
      <c r="E2280" s="144">
        <v>112.88</v>
      </c>
      <c r="F2280" s="144">
        <v>0.86270000000000002</v>
      </c>
      <c r="G2280" s="144">
        <v>1.3434999999999999</v>
      </c>
      <c r="I2280" s="144">
        <v>1</v>
      </c>
      <c r="J2280" s="145">
        <f t="shared" si="261"/>
        <v>40490</v>
      </c>
      <c r="K2280" s="144">
        <f t="shared" ca="1" si="265"/>
        <v>0.96536609901559245</v>
      </c>
      <c r="L2280" s="144">
        <f t="shared" ca="1" si="265"/>
        <v>0.61988934396780915</v>
      </c>
      <c r="M2280" s="144">
        <f t="shared" ca="1" si="265"/>
        <v>81.10943450456277</v>
      </c>
      <c r="N2280" s="144">
        <f t="shared" ca="1" si="265"/>
        <v>5.8094416900194012</v>
      </c>
      <c r="O2280" s="144">
        <f t="shared" ca="1" si="265"/>
        <v>30.764532586045842</v>
      </c>
      <c r="P2280" s="144">
        <f t="shared" ca="1" si="265"/>
        <v>1</v>
      </c>
      <c r="Q2280" s="144">
        <f t="shared" ca="1" si="265"/>
        <v>0.71854566357692029</v>
      </c>
    </row>
    <row r="2281" spans="1:17" x14ac:dyDescent="0.25">
      <c r="A2281" s="145">
        <v>40489</v>
      </c>
      <c r="B2281" s="144">
        <v>1.4084000000000001</v>
      </c>
      <c r="C2281" s="144">
        <v>43.31</v>
      </c>
      <c r="D2281" s="144">
        <v>8.1189999999999998</v>
      </c>
      <c r="E2281" s="144">
        <v>114.41</v>
      </c>
      <c r="F2281" s="144">
        <v>0.8679</v>
      </c>
      <c r="G2281" s="144">
        <v>1.3546</v>
      </c>
      <c r="I2281" s="144">
        <v>1</v>
      </c>
      <c r="J2281" s="145">
        <f t="shared" si="261"/>
        <v>40489</v>
      </c>
      <c r="K2281" s="144">
        <f t="shared" ca="1" si="265"/>
        <v>0.96180062482249351</v>
      </c>
      <c r="L2281" s="144">
        <f t="shared" ca="1" si="265"/>
        <v>0.61623118432263557</v>
      </c>
      <c r="M2281" s="144">
        <f t="shared" ca="1" si="265"/>
        <v>81.234024424879294</v>
      </c>
      <c r="N2281" s="144">
        <f t="shared" ca="1" si="265"/>
        <v>5.7646975291110474</v>
      </c>
      <c r="O2281" s="144">
        <f t="shared" ca="1" si="265"/>
        <v>30.751207043453565</v>
      </c>
      <c r="P2281" s="144">
        <f t="shared" ca="1" si="265"/>
        <v>1</v>
      </c>
      <c r="Q2281" s="144">
        <f t="shared" ca="1" si="265"/>
        <v>0.71002556092019309</v>
      </c>
    </row>
    <row r="2282" spans="1:17" x14ac:dyDescent="0.25">
      <c r="A2282" s="145">
        <v>40488</v>
      </c>
      <c r="B2282" s="144">
        <v>1.4084000000000001</v>
      </c>
      <c r="C2282" s="144">
        <v>43.31</v>
      </c>
      <c r="D2282" s="144">
        <v>8.1189999999999998</v>
      </c>
      <c r="E2282" s="144">
        <v>114.41</v>
      </c>
      <c r="F2282" s="144">
        <v>0.8679</v>
      </c>
      <c r="G2282" s="144">
        <v>1.3546</v>
      </c>
      <c r="I2282" s="144">
        <v>1</v>
      </c>
      <c r="J2282" s="145">
        <f t="shared" si="261"/>
        <v>40488</v>
      </c>
      <c r="K2282" s="144">
        <f t="shared" ca="1" si="265"/>
        <v>0.96180062482249351</v>
      </c>
      <c r="L2282" s="144">
        <f t="shared" ca="1" si="265"/>
        <v>0.61623118432263557</v>
      </c>
      <c r="M2282" s="144">
        <f t="shared" ca="1" si="265"/>
        <v>81.234024424879294</v>
      </c>
      <c r="N2282" s="144">
        <f t="shared" ca="1" si="265"/>
        <v>5.7646975291110474</v>
      </c>
      <c r="O2282" s="144">
        <f t="shared" ca="1" si="265"/>
        <v>30.751207043453565</v>
      </c>
      <c r="P2282" s="144">
        <f t="shared" ca="1" si="265"/>
        <v>1</v>
      </c>
      <c r="Q2282" s="144">
        <f t="shared" ca="1" si="265"/>
        <v>0.71002556092019309</v>
      </c>
    </row>
    <row r="2283" spans="1:17" x14ac:dyDescent="0.25">
      <c r="A2283" s="145">
        <v>40487</v>
      </c>
      <c r="B2283" s="144">
        <v>1.4084000000000001</v>
      </c>
      <c r="C2283" s="144">
        <v>43.31</v>
      </c>
      <c r="D2283" s="144">
        <v>8.1189999999999998</v>
      </c>
      <c r="E2283" s="144">
        <v>114.41</v>
      </c>
      <c r="F2283" s="144">
        <v>0.8679</v>
      </c>
      <c r="G2283" s="144">
        <v>1.3546</v>
      </c>
      <c r="I2283" s="144">
        <v>1</v>
      </c>
      <c r="J2283" s="145">
        <f t="shared" si="261"/>
        <v>40487</v>
      </c>
      <c r="K2283" s="144">
        <f t="shared" ca="1" si="265"/>
        <v>0.96180062482249351</v>
      </c>
      <c r="L2283" s="144">
        <f t="shared" ca="1" si="265"/>
        <v>0.61623118432263557</v>
      </c>
      <c r="M2283" s="144">
        <f t="shared" ca="1" si="265"/>
        <v>81.234024424879294</v>
      </c>
      <c r="N2283" s="144">
        <f t="shared" ca="1" si="265"/>
        <v>5.7646975291110474</v>
      </c>
      <c r="O2283" s="144">
        <f t="shared" ca="1" si="265"/>
        <v>30.751207043453565</v>
      </c>
      <c r="P2283" s="144">
        <f t="shared" ca="1" si="265"/>
        <v>1</v>
      </c>
      <c r="Q2283" s="144">
        <f t="shared" ca="1" si="265"/>
        <v>0.71002556092019309</v>
      </c>
    </row>
    <row r="2284" spans="1:17" x14ac:dyDescent="0.25">
      <c r="A2284" s="145">
        <v>40486</v>
      </c>
      <c r="B2284" s="144">
        <v>1.4244000000000001</v>
      </c>
      <c r="C2284" s="144">
        <v>43.43</v>
      </c>
      <c r="D2284" s="144">
        <v>8.1479999999999997</v>
      </c>
      <c r="E2284" s="144">
        <v>115.15</v>
      </c>
      <c r="F2284" s="144">
        <v>0.87585000000000002</v>
      </c>
      <c r="G2284" s="144">
        <v>1.3782000000000001</v>
      </c>
      <c r="I2284" s="144">
        <v>1</v>
      </c>
      <c r="J2284" s="145">
        <f t="shared" si="261"/>
        <v>40486</v>
      </c>
      <c r="K2284" s="144">
        <f t="shared" ca="1" si="265"/>
        <v>0.96756529064869423</v>
      </c>
      <c r="L2284" s="144">
        <f t="shared" ca="1" si="265"/>
        <v>0.61489048020219039</v>
      </c>
      <c r="M2284" s="144">
        <f t="shared" ca="1" si="265"/>
        <v>80.841055883178882</v>
      </c>
      <c r="N2284" s="144">
        <f t="shared" ca="1" si="265"/>
        <v>5.7203032855939338</v>
      </c>
      <c r="O2284" s="144">
        <f t="shared" ca="1" si="265"/>
        <v>30.490030890199378</v>
      </c>
      <c r="P2284" s="144">
        <f t="shared" ca="1" si="265"/>
        <v>1</v>
      </c>
      <c r="Q2284" s="144">
        <f t="shared" ca="1" si="265"/>
        <v>0.70204998595900026</v>
      </c>
    </row>
    <row r="2285" spans="1:17" x14ac:dyDescent="0.25">
      <c r="A2285" s="145">
        <v>40485</v>
      </c>
      <c r="B2285" s="144">
        <v>1.4014</v>
      </c>
      <c r="C2285" s="144">
        <v>43.188499999999998</v>
      </c>
      <c r="D2285" s="144">
        <v>8.2080000000000002</v>
      </c>
      <c r="E2285" s="144">
        <v>113.67</v>
      </c>
      <c r="F2285" s="144">
        <v>0.87029999999999996</v>
      </c>
      <c r="G2285" s="144">
        <v>1.3761000000000001</v>
      </c>
      <c r="I2285" s="144">
        <v>1</v>
      </c>
      <c r="J2285" s="145">
        <f t="shared" si="261"/>
        <v>40485</v>
      </c>
      <c r="K2285" s="144">
        <f t="shared" ref="K2285:Q2294" ca="1" si="266">OFFSET($A2285,0,K$3)/OFFSET($A2285,0,$P$3)</f>
        <v>0.98194662480376771</v>
      </c>
      <c r="L2285" s="144">
        <f t="shared" ca="1" si="266"/>
        <v>0.62102183530754962</v>
      </c>
      <c r="M2285" s="144">
        <f t="shared" ca="1" si="266"/>
        <v>81.111745397459686</v>
      </c>
      <c r="N2285" s="144">
        <f t="shared" ca="1" si="266"/>
        <v>5.8570001427144289</v>
      </c>
      <c r="O2285" s="144">
        <f t="shared" ca="1" si="266"/>
        <v>30.818110460967603</v>
      </c>
      <c r="P2285" s="144">
        <f t="shared" ca="1" si="266"/>
        <v>1</v>
      </c>
      <c r="Q2285" s="144">
        <f t="shared" ca="1" si="266"/>
        <v>0.71357214214357068</v>
      </c>
    </row>
    <row r="2286" spans="1:17" x14ac:dyDescent="0.25">
      <c r="A2286" s="145">
        <v>40484</v>
      </c>
      <c r="B2286" s="144">
        <v>1.4017999999999999</v>
      </c>
      <c r="C2286" s="144">
        <v>43.155500000000004</v>
      </c>
      <c r="D2286" s="144">
        <v>8.2029999999999994</v>
      </c>
      <c r="E2286" s="144">
        <v>113.18</v>
      </c>
      <c r="F2286" s="144">
        <v>0.87490000000000001</v>
      </c>
      <c r="G2286" s="144">
        <v>1.3766</v>
      </c>
      <c r="I2286" s="144">
        <v>1</v>
      </c>
      <c r="J2286" s="145">
        <f t="shared" si="261"/>
        <v>40484</v>
      </c>
      <c r="K2286" s="144">
        <f t="shared" ca="1" si="266"/>
        <v>0.98202311314024837</v>
      </c>
      <c r="L2286" s="144">
        <f t="shared" ca="1" si="266"/>
        <v>0.62412612355542874</v>
      </c>
      <c r="M2286" s="144">
        <f t="shared" ca="1" si="266"/>
        <v>80.739049793123129</v>
      </c>
      <c r="N2286" s="144">
        <f t="shared" ca="1" si="266"/>
        <v>5.8517620202596659</v>
      </c>
      <c r="O2286" s="144">
        <f t="shared" ca="1" si="266"/>
        <v>30.785775431587961</v>
      </c>
      <c r="P2286" s="144">
        <f t="shared" ca="1" si="266"/>
        <v>1</v>
      </c>
      <c r="Q2286" s="144">
        <f t="shared" ca="1" si="266"/>
        <v>0.71336852618062496</v>
      </c>
    </row>
    <row r="2287" spans="1:17" x14ac:dyDescent="0.25">
      <c r="A2287" s="145">
        <v>40483</v>
      </c>
      <c r="B2287" s="144">
        <v>1.3926000000000001</v>
      </c>
      <c r="C2287" s="144">
        <v>42.899299999999997</v>
      </c>
      <c r="D2287" s="144">
        <v>8.1455000000000002</v>
      </c>
      <c r="E2287" s="144">
        <v>111.94</v>
      </c>
      <c r="F2287" s="144">
        <v>0.86675000000000002</v>
      </c>
      <c r="G2287" s="144">
        <v>1.3755999999999999</v>
      </c>
      <c r="I2287" s="144">
        <v>1</v>
      </c>
      <c r="J2287" s="145">
        <f t="shared" si="261"/>
        <v>40483</v>
      </c>
      <c r="K2287" s="144">
        <f t="shared" ca="1" si="266"/>
        <v>0.98779261812437158</v>
      </c>
      <c r="L2287" s="144">
        <f t="shared" ca="1" si="266"/>
        <v>0.62239695533534389</v>
      </c>
      <c r="M2287" s="144">
        <f t="shared" ca="1" si="266"/>
        <v>80.382019244578487</v>
      </c>
      <c r="N2287" s="144">
        <f t="shared" ca="1" si="266"/>
        <v>5.8491311216429702</v>
      </c>
      <c r="O2287" s="144">
        <f t="shared" ca="1" si="266"/>
        <v>30.805184546890704</v>
      </c>
      <c r="P2287" s="144">
        <f t="shared" ca="1" si="266"/>
        <v>1</v>
      </c>
      <c r="Q2287" s="144">
        <f t="shared" ca="1" si="266"/>
        <v>0.71808128680166594</v>
      </c>
    </row>
    <row r="2288" spans="1:17" x14ac:dyDescent="0.25">
      <c r="A2288" s="145">
        <v>40482</v>
      </c>
      <c r="B2288" s="144">
        <v>1.3856999999999999</v>
      </c>
      <c r="C2288" s="144">
        <v>42.752299999999998</v>
      </c>
      <c r="D2288" s="144">
        <v>8.1920000000000002</v>
      </c>
      <c r="E2288" s="144">
        <v>111.87</v>
      </c>
      <c r="F2288" s="144">
        <v>0.86860000000000004</v>
      </c>
      <c r="G2288" s="144">
        <v>1.3708</v>
      </c>
      <c r="I2288" s="144">
        <v>1</v>
      </c>
      <c r="J2288" s="145">
        <f t="shared" si="261"/>
        <v>40482</v>
      </c>
      <c r="K2288" s="144">
        <f t="shared" ca="1" si="266"/>
        <v>0.989247311827957</v>
      </c>
      <c r="L2288" s="144">
        <f t="shared" ca="1" si="266"/>
        <v>0.62683120444540674</v>
      </c>
      <c r="M2288" s="144">
        <f t="shared" ca="1" si="266"/>
        <v>80.731760121238366</v>
      </c>
      <c r="N2288" s="144">
        <f t="shared" ca="1" si="266"/>
        <v>5.9118135238507614</v>
      </c>
      <c r="O2288" s="144">
        <f t="shared" ca="1" si="266"/>
        <v>30.85249332467345</v>
      </c>
      <c r="P2288" s="144">
        <f t="shared" ca="1" si="266"/>
        <v>1</v>
      </c>
      <c r="Q2288" s="144">
        <f t="shared" ca="1" si="266"/>
        <v>0.72165692429818873</v>
      </c>
    </row>
    <row r="2289" spans="1:17" x14ac:dyDescent="0.25">
      <c r="A2289" s="145">
        <v>40481</v>
      </c>
      <c r="B2289" s="144">
        <v>1.3856999999999999</v>
      </c>
      <c r="C2289" s="144">
        <v>42.752299999999998</v>
      </c>
      <c r="D2289" s="144">
        <v>8.1920000000000002</v>
      </c>
      <c r="E2289" s="144">
        <v>111.87</v>
      </c>
      <c r="F2289" s="144">
        <v>0.86860000000000004</v>
      </c>
      <c r="G2289" s="144">
        <v>1.3708</v>
      </c>
      <c r="I2289" s="144">
        <v>1</v>
      </c>
      <c r="J2289" s="145">
        <f t="shared" si="261"/>
        <v>40481</v>
      </c>
      <c r="K2289" s="144">
        <f t="shared" ca="1" si="266"/>
        <v>0.989247311827957</v>
      </c>
      <c r="L2289" s="144">
        <f t="shared" ca="1" si="266"/>
        <v>0.62683120444540674</v>
      </c>
      <c r="M2289" s="144">
        <f t="shared" ca="1" si="266"/>
        <v>80.731760121238366</v>
      </c>
      <c r="N2289" s="144">
        <f t="shared" ca="1" si="266"/>
        <v>5.9118135238507614</v>
      </c>
      <c r="O2289" s="144">
        <f t="shared" ca="1" si="266"/>
        <v>30.85249332467345</v>
      </c>
      <c r="P2289" s="144">
        <f t="shared" ca="1" si="266"/>
        <v>1</v>
      </c>
      <c r="Q2289" s="144">
        <f t="shared" ca="1" si="266"/>
        <v>0.72165692429818873</v>
      </c>
    </row>
    <row r="2290" spans="1:17" x14ac:dyDescent="0.25">
      <c r="A2290" s="145">
        <v>40480</v>
      </c>
      <c r="B2290" s="144">
        <v>1.3856999999999999</v>
      </c>
      <c r="C2290" s="144">
        <v>42.752299999999998</v>
      </c>
      <c r="D2290" s="144">
        <v>8.1920000000000002</v>
      </c>
      <c r="E2290" s="144">
        <v>111.87</v>
      </c>
      <c r="F2290" s="144">
        <v>0.86860000000000004</v>
      </c>
      <c r="G2290" s="144">
        <v>1.3708</v>
      </c>
      <c r="I2290" s="144">
        <v>1</v>
      </c>
      <c r="J2290" s="145">
        <f t="shared" si="261"/>
        <v>40480</v>
      </c>
      <c r="K2290" s="144">
        <f t="shared" ca="1" si="266"/>
        <v>0.989247311827957</v>
      </c>
      <c r="L2290" s="144">
        <f t="shared" ca="1" si="266"/>
        <v>0.62683120444540674</v>
      </c>
      <c r="M2290" s="144">
        <f t="shared" ca="1" si="266"/>
        <v>80.731760121238366</v>
      </c>
      <c r="N2290" s="144">
        <f t="shared" ca="1" si="266"/>
        <v>5.9118135238507614</v>
      </c>
      <c r="O2290" s="144">
        <f t="shared" ca="1" si="266"/>
        <v>30.85249332467345</v>
      </c>
      <c r="P2290" s="144">
        <f t="shared" ca="1" si="266"/>
        <v>1</v>
      </c>
      <c r="Q2290" s="144">
        <f t="shared" ca="1" si="266"/>
        <v>0.72165692429818873</v>
      </c>
    </row>
    <row r="2291" spans="1:17" x14ac:dyDescent="0.25">
      <c r="A2291" s="145">
        <v>40479</v>
      </c>
      <c r="B2291" s="144">
        <v>1.3856999999999999</v>
      </c>
      <c r="C2291" s="144">
        <v>42.55</v>
      </c>
      <c r="D2291" s="144">
        <v>8.15</v>
      </c>
      <c r="E2291" s="144">
        <v>112.57</v>
      </c>
      <c r="F2291" s="144">
        <v>0.87039999999999995</v>
      </c>
      <c r="G2291" s="144">
        <v>1.3668</v>
      </c>
      <c r="I2291" s="144">
        <v>1</v>
      </c>
      <c r="J2291" s="145">
        <f t="shared" si="261"/>
        <v>40479</v>
      </c>
      <c r="K2291" s="144">
        <f t="shared" ca="1" si="266"/>
        <v>0.98636068413076428</v>
      </c>
      <c r="L2291" s="144">
        <f t="shared" ca="1" si="266"/>
        <v>0.62813018690914335</v>
      </c>
      <c r="M2291" s="144">
        <f t="shared" ca="1" si="266"/>
        <v>81.236919968247093</v>
      </c>
      <c r="N2291" s="144">
        <f t="shared" ca="1" si="266"/>
        <v>5.8815039330302383</v>
      </c>
      <c r="O2291" s="144">
        <f t="shared" ca="1" si="266"/>
        <v>30.706502128887927</v>
      </c>
      <c r="P2291" s="144">
        <f t="shared" ca="1" si="266"/>
        <v>1</v>
      </c>
      <c r="Q2291" s="144">
        <f t="shared" ca="1" si="266"/>
        <v>0.72165692429818873</v>
      </c>
    </row>
    <row r="2292" spans="1:17" x14ac:dyDescent="0.25">
      <c r="A2292" s="145">
        <v>40478</v>
      </c>
      <c r="B2292" s="144">
        <v>1.3803000000000001</v>
      </c>
      <c r="C2292" s="144">
        <v>42.3172</v>
      </c>
      <c r="D2292" s="144">
        <v>8.1449999999999996</v>
      </c>
      <c r="E2292" s="144">
        <v>112.78</v>
      </c>
      <c r="F2292" s="144">
        <v>0.87234999999999996</v>
      </c>
      <c r="G2292" s="144">
        <v>1.3638999999999999</v>
      </c>
      <c r="I2292" s="144">
        <v>1</v>
      </c>
      <c r="J2292" s="145">
        <f t="shared" si="261"/>
        <v>40478</v>
      </c>
      <c r="K2292" s="144">
        <f t="shared" ca="1" si="266"/>
        <v>0.98811852495834229</v>
      </c>
      <c r="L2292" s="144">
        <f t="shared" ca="1" si="266"/>
        <v>0.63200028979207412</v>
      </c>
      <c r="M2292" s="144">
        <f t="shared" ca="1" si="266"/>
        <v>81.70687531696008</v>
      </c>
      <c r="N2292" s="144">
        <f t="shared" ca="1" si="266"/>
        <v>5.9008911106281241</v>
      </c>
      <c r="O2292" s="144">
        <f t="shared" ca="1" si="266"/>
        <v>30.65797290444106</v>
      </c>
      <c r="P2292" s="144">
        <f t="shared" ca="1" si="266"/>
        <v>1</v>
      </c>
      <c r="Q2292" s="144">
        <f t="shared" ca="1" si="266"/>
        <v>0.72448018546692738</v>
      </c>
    </row>
    <row r="2293" spans="1:17" x14ac:dyDescent="0.25">
      <c r="A2293" s="145">
        <v>40477</v>
      </c>
      <c r="B2293" s="144">
        <v>1.3912</v>
      </c>
      <c r="C2293" s="144">
        <v>42.287500000000001</v>
      </c>
      <c r="D2293" s="144">
        <v>8.1199999999999992</v>
      </c>
      <c r="E2293" s="144">
        <v>113.11</v>
      </c>
      <c r="F2293" s="144">
        <v>0.87685000000000002</v>
      </c>
      <c r="G2293" s="144">
        <v>1.3557999999999999</v>
      </c>
      <c r="I2293" s="144">
        <v>1</v>
      </c>
      <c r="J2293" s="145">
        <f t="shared" si="261"/>
        <v>40477</v>
      </c>
      <c r="K2293" s="144">
        <f t="shared" ca="1" si="266"/>
        <v>0.97455434157561815</v>
      </c>
      <c r="L2293" s="144">
        <f t="shared" ca="1" si="266"/>
        <v>0.63028320874065558</v>
      </c>
      <c r="M2293" s="144">
        <f t="shared" ca="1" si="266"/>
        <v>81.303910293271997</v>
      </c>
      <c r="N2293" s="144">
        <f t="shared" ca="1" si="266"/>
        <v>5.8366877515813682</v>
      </c>
      <c r="O2293" s="144">
        <f t="shared" ca="1" si="266"/>
        <v>30.39642035652674</v>
      </c>
      <c r="P2293" s="144">
        <f t="shared" ca="1" si="266"/>
        <v>1</v>
      </c>
      <c r="Q2293" s="144">
        <f t="shared" ca="1" si="266"/>
        <v>0.71880391029327195</v>
      </c>
    </row>
    <row r="2294" spans="1:17" x14ac:dyDescent="0.25">
      <c r="A2294" s="145">
        <v>40476</v>
      </c>
      <c r="B2294" s="144">
        <v>1.4031</v>
      </c>
      <c r="C2294" s="144">
        <v>42.470500000000001</v>
      </c>
      <c r="D2294" s="144">
        <v>8.0935000000000006</v>
      </c>
      <c r="E2294" s="144">
        <v>113.21</v>
      </c>
      <c r="F2294" s="144">
        <v>0.89254999999999995</v>
      </c>
      <c r="G2294" s="144">
        <v>1.3617999999999999</v>
      </c>
      <c r="I2294" s="144">
        <v>1</v>
      </c>
      <c r="J2294" s="145">
        <f t="shared" si="261"/>
        <v>40476</v>
      </c>
      <c r="K2294" s="144">
        <f t="shared" ca="1" si="266"/>
        <v>0.97056517710783252</v>
      </c>
      <c r="L2294" s="144">
        <f t="shared" ca="1" si="266"/>
        <v>0.63612714703157291</v>
      </c>
      <c r="M2294" s="144">
        <f t="shared" ca="1" si="266"/>
        <v>80.68562468819043</v>
      </c>
      <c r="N2294" s="144">
        <f t="shared" ca="1" si="266"/>
        <v>5.7682987670158941</v>
      </c>
      <c r="O2294" s="144">
        <f t="shared" ca="1" si="266"/>
        <v>30.269047109970778</v>
      </c>
      <c r="P2294" s="144">
        <f t="shared" ca="1" si="266"/>
        <v>1</v>
      </c>
      <c r="Q2294" s="144">
        <f t="shared" ca="1" si="266"/>
        <v>0.71270757608153379</v>
      </c>
    </row>
    <row r="2295" spans="1:17" x14ac:dyDescent="0.25">
      <c r="A2295" s="145">
        <v>40475</v>
      </c>
      <c r="B2295" s="144">
        <v>1.3934</v>
      </c>
      <c r="C2295" s="144">
        <v>42.450699999999998</v>
      </c>
      <c r="D2295" s="144">
        <v>8.1430000000000007</v>
      </c>
      <c r="E2295" s="144">
        <v>113.18</v>
      </c>
      <c r="F2295" s="144">
        <v>0.88729999999999998</v>
      </c>
      <c r="G2295" s="144">
        <v>1.3532999999999999</v>
      </c>
      <c r="I2295" s="144">
        <v>1</v>
      </c>
      <c r="J2295" s="145">
        <f t="shared" si="261"/>
        <v>40475</v>
      </c>
      <c r="K2295" s="144">
        <f t="shared" ref="K2295:Q2304" ca="1" si="267">OFFSET($A2295,0,K$3)/OFFSET($A2295,0,$P$3)</f>
        <v>0.97122147265681069</v>
      </c>
      <c r="L2295" s="144">
        <f t="shared" ca="1" si="267"/>
        <v>0.63678771350653074</v>
      </c>
      <c r="M2295" s="144">
        <f t="shared" ca="1" si="267"/>
        <v>81.225778670876991</v>
      </c>
      <c r="N2295" s="144">
        <f t="shared" ca="1" si="267"/>
        <v>5.8439787569972736</v>
      </c>
      <c r="O2295" s="144">
        <f t="shared" ca="1" si="267"/>
        <v>30.465551887469498</v>
      </c>
      <c r="P2295" s="144">
        <f t="shared" ca="1" si="267"/>
        <v>1</v>
      </c>
      <c r="Q2295" s="144">
        <f t="shared" ca="1" si="267"/>
        <v>0.71766901105210279</v>
      </c>
    </row>
    <row r="2296" spans="1:17" x14ac:dyDescent="0.25">
      <c r="A2296" s="145">
        <v>40474</v>
      </c>
      <c r="B2296" s="144">
        <v>1.3934</v>
      </c>
      <c r="C2296" s="144">
        <v>42.450699999999998</v>
      </c>
      <c r="D2296" s="144">
        <v>8.1430000000000007</v>
      </c>
      <c r="E2296" s="144">
        <v>113.18</v>
      </c>
      <c r="F2296" s="144">
        <v>0.88729999999999998</v>
      </c>
      <c r="G2296" s="144">
        <v>1.3532999999999999</v>
      </c>
      <c r="I2296" s="144">
        <v>1</v>
      </c>
      <c r="J2296" s="145">
        <f t="shared" si="261"/>
        <v>40474</v>
      </c>
      <c r="K2296" s="144">
        <f t="shared" ca="1" si="267"/>
        <v>0.97122147265681069</v>
      </c>
      <c r="L2296" s="144">
        <f t="shared" ca="1" si="267"/>
        <v>0.63678771350653074</v>
      </c>
      <c r="M2296" s="144">
        <f t="shared" ca="1" si="267"/>
        <v>81.225778670876991</v>
      </c>
      <c r="N2296" s="144">
        <f t="shared" ca="1" si="267"/>
        <v>5.8439787569972736</v>
      </c>
      <c r="O2296" s="144">
        <f t="shared" ca="1" si="267"/>
        <v>30.465551887469498</v>
      </c>
      <c r="P2296" s="144">
        <f t="shared" ca="1" si="267"/>
        <v>1</v>
      </c>
      <c r="Q2296" s="144">
        <f t="shared" ca="1" si="267"/>
        <v>0.71766901105210279</v>
      </c>
    </row>
    <row r="2297" spans="1:17" x14ac:dyDescent="0.25">
      <c r="A2297" s="145">
        <v>40473</v>
      </c>
      <c r="B2297" s="144">
        <v>1.3934</v>
      </c>
      <c r="C2297" s="144">
        <v>42.450699999999998</v>
      </c>
      <c r="D2297" s="144">
        <v>8.1430000000000007</v>
      </c>
      <c r="E2297" s="144">
        <v>113.18</v>
      </c>
      <c r="F2297" s="144">
        <v>0.88729999999999998</v>
      </c>
      <c r="G2297" s="144">
        <v>1.3532999999999999</v>
      </c>
      <c r="I2297" s="144">
        <v>1</v>
      </c>
      <c r="J2297" s="145">
        <f t="shared" si="261"/>
        <v>40473</v>
      </c>
      <c r="K2297" s="144">
        <f t="shared" ca="1" si="267"/>
        <v>0.97122147265681069</v>
      </c>
      <c r="L2297" s="144">
        <f t="shared" ca="1" si="267"/>
        <v>0.63678771350653074</v>
      </c>
      <c r="M2297" s="144">
        <f t="shared" ca="1" si="267"/>
        <v>81.225778670876991</v>
      </c>
      <c r="N2297" s="144">
        <f t="shared" ca="1" si="267"/>
        <v>5.8439787569972736</v>
      </c>
      <c r="O2297" s="144">
        <f t="shared" ca="1" si="267"/>
        <v>30.465551887469498</v>
      </c>
      <c r="P2297" s="144">
        <f t="shared" ca="1" si="267"/>
        <v>1</v>
      </c>
      <c r="Q2297" s="144">
        <f t="shared" ca="1" si="267"/>
        <v>0.71766901105210279</v>
      </c>
    </row>
    <row r="2298" spans="1:17" x14ac:dyDescent="0.25">
      <c r="A2298" s="145">
        <v>40472</v>
      </c>
      <c r="B2298" s="144">
        <v>1.4016</v>
      </c>
      <c r="C2298" s="144">
        <v>43.002800000000001</v>
      </c>
      <c r="D2298" s="144">
        <v>8.1385000000000005</v>
      </c>
      <c r="E2298" s="144">
        <v>113.65</v>
      </c>
      <c r="F2298" s="144">
        <v>0.89019999999999999</v>
      </c>
      <c r="G2298" s="144">
        <v>1.3492999999999999</v>
      </c>
      <c r="I2298" s="144">
        <v>1</v>
      </c>
      <c r="J2298" s="145">
        <f t="shared" si="261"/>
        <v>40472</v>
      </c>
      <c r="K2298" s="144">
        <f t="shared" ca="1" si="267"/>
        <v>0.96268550228310501</v>
      </c>
      <c r="L2298" s="144">
        <f t="shared" ca="1" si="267"/>
        <v>0.63513127853881279</v>
      </c>
      <c r="M2298" s="144">
        <f t="shared" ca="1" si="267"/>
        <v>81.085901826484019</v>
      </c>
      <c r="N2298" s="144">
        <f t="shared" ca="1" si="267"/>
        <v>5.8065781963470329</v>
      </c>
      <c r="O2298" s="144">
        <f t="shared" ca="1" si="267"/>
        <v>30.681221461187217</v>
      </c>
      <c r="P2298" s="144">
        <f t="shared" ca="1" si="267"/>
        <v>1</v>
      </c>
      <c r="Q2298" s="144">
        <f t="shared" ca="1" si="267"/>
        <v>0.7134703196347032</v>
      </c>
    </row>
    <row r="2299" spans="1:17" x14ac:dyDescent="0.25">
      <c r="A2299" s="145">
        <v>40471</v>
      </c>
      <c r="B2299" s="144">
        <v>1.3861000000000001</v>
      </c>
      <c r="C2299" s="144">
        <v>42.695</v>
      </c>
      <c r="D2299" s="144">
        <v>8.1585000000000001</v>
      </c>
      <c r="E2299" s="144">
        <v>112.59</v>
      </c>
      <c r="F2299" s="144">
        <v>0.88200000000000001</v>
      </c>
      <c r="G2299" s="144">
        <v>1.3354999999999999</v>
      </c>
      <c r="I2299" s="144">
        <v>1</v>
      </c>
      <c r="J2299" s="145">
        <f t="shared" si="261"/>
        <v>40471</v>
      </c>
      <c r="K2299" s="144">
        <f t="shared" ca="1" si="267"/>
        <v>0.96349469735228321</v>
      </c>
      <c r="L2299" s="144">
        <f t="shared" ca="1" si="267"/>
        <v>0.63631772599379555</v>
      </c>
      <c r="M2299" s="144">
        <f t="shared" ca="1" si="267"/>
        <v>81.227905634514102</v>
      </c>
      <c r="N2299" s="144">
        <f t="shared" ca="1" si="267"/>
        <v>5.885938965442608</v>
      </c>
      <c r="O2299" s="144">
        <f t="shared" ca="1" si="267"/>
        <v>30.802250919847051</v>
      </c>
      <c r="P2299" s="144">
        <f t="shared" ca="1" si="267"/>
        <v>1</v>
      </c>
      <c r="Q2299" s="144">
        <f t="shared" ca="1" si="267"/>
        <v>0.72144866892720583</v>
      </c>
    </row>
    <row r="2300" spans="1:17" x14ac:dyDescent="0.25">
      <c r="A2300" s="145">
        <v>40470</v>
      </c>
      <c r="B2300" s="144">
        <v>1.3858999999999999</v>
      </c>
      <c r="C2300" s="144">
        <v>42.29</v>
      </c>
      <c r="D2300" s="144">
        <v>8.1690000000000005</v>
      </c>
      <c r="E2300" s="144">
        <v>113.16</v>
      </c>
      <c r="F2300" s="144">
        <v>0.88060000000000005</v>
      </c>
      <c r="G2300" s="144">
        <v>1.3405</v>
      </c>
      <c r="I2300" s="144">
        <v>1</v>
      </c>
      <c r="J2300" s="145">
        <f t="shared" si="261"/>
        <v>40470</v>
      </c>
      <c r="K2300" s="144">
        <f t="shared" ca="1" si="267"/>
        <v>0.96724150371599693</v>
      </c>
      <c r="L2300" s="144">
        <f t="shared" ca="1" si="267"/>
        <v>0.63539937946460789</v>
      </c>
      <c r="M2300" s="144">
        <f t="shared" ca="1" si="267"/>
        <v>81.65091276426871</v>
      </c>
      <c r="N2300" s="144">
        <f t="shared" ca="1" si="267"/>
        <v>5.8943646727758141</v>
      </c>
      <c r="O2300" s="144">
        <f t="shared" ca="1" si="267"/>
        <v>30.514467133270799</v>
      </c>
      <c r="P2300" s="144">
        <f t="shared" ca="1" si="267"/>
        <v>1</v>
      </c>
      <c r="Q2300" s="144">
        <f t="shared" ca="1" si="267"/>
        <v>0.72155278158597302</v>
      </c>
    </row>
    <row r="2301" spans="1:17" x14ac:dyDescent="0.25">
      <c r="A2301" s="145">
        <v>40469</v>
      </c>
      <c r="B2301" s="144">
        <v>1.3895999999999999</v>
      </c>
      <c r="C2301" s="144">
        <v>42.357500000000002</v>
      </c>
      <c r="D2301" s="144">
        <v>8.15</v>
      </c>
      <c r="E2301" s="144">
        <v>113</v>
      </c>
      <c r="F2301" s="144">
        <v>0.87470000000000003</v>
      </c>
      <c r="G2301" s="144">
        <v>1.3359000000000001</v>
      </c>
      <c r="I2301" s="144">
        <v>1</v>
      </c>
      <c r="J2301" s="145">
        <f t="shared" si="261"/>
        <v>40469</v>
      </c>
      <c r="K2301" s="144">
        <f t="shared" ca="1" si="267"/>
        <v>0.96135578583765124</v>
      </c>
      <c r="L2301" s="144">
        <f t="shared" ca="1" si="267"/>
        <v>0.62946171560161202</v>
      </c>
      <c r="M2301" s="144">
        <f t="shared" ca="1" si="267"/>
        <v>81.318364997121478</v>
      </c>
      <c r="N2301" s="144">
        <f t="shared" ca="1" si="267"/>
        <v>5.8649971214738059</v>
      </c>
      <c r="O2301" s="144">
        <f t="shared" ca="1" si="267"/>
        <v>30.481793321819232</v>
      </c>
      <c r="P2301" s="144">
        <f t="shared" ca="1" si="267"/>
        <v>1</v>
      </c>
      <c r="Q2301" s="144">
        <f t="shared" ca="1" si="267"/>
        <v>0.71963154864709267</v>
      </c>
    </row>
    <row r="2302" spans="1:17" x14ac:dyDescent="0.25">
      <c r="A2302" s="145">
        <v>40468</v>
      </c>
      <c r="B2302" s="144">
        <v>1.4089</v>
      </c>
      <c r="C2302" s="144">
        <v>42.564999999999998</v>
      </c>
      <c r="D2302" s="144">
        <v>8.0924999999999994</v>
      </c>
      <c r="E2302" s="144">
        <v>114.28</v>
      </c>
      <c r="F2302" s="144">
        <v>0.87749999999999995</v>
      </c>
      <c r="G2302" s="144">
        <v>1.3423</v>
      </c>
      <c r="I2302" s="144">
        <v>1</v>
      </c>
      <c r="J2302" s="145">
        <f t="shared" si="261"/>
        <v>40468</v>
      </c>
      <c r="K2302" s="144">
        <f t="shared" ca="1" si="267"/>
        <v>0.9527290794236638</v>
      </c>
      <c r="L2302" s="144">
        <f t="shared" ca="1" si="267"/>
        <v>0.62282631840442892</v>
      </c>
      <c r="M2302" s="144">
        <f t="shared" ca="1" si="267"/>
        <v>81.112924976932362</v>
      </c>
      <c r="N2302" s="144">
        <f t="shared" ca="1" si="267"/>
        <v>5.7438427141741775</v>
      </c>
      <c r="O2302" s="144">
        <f t="shared" ca="1" si="267"/>
        <v>30.211512527503725</v>
      </c>
      <c r="P2302" s="144">
        <f t="shared" ca="1" si="267"/>
        <v>1</v>
      </c>
      <c r="Q2302" s="144">
        <f t="shared" ca="1" si="267"/>
        <v>0.70977358222726949</v>
      </c>
    </row>
    <row r="2303" spans="1:17" x14ac:dyDescent="0.25">
      <c r="A2303" s="145">
        <v>40467</v>
      </c>
      <c r="B2303" s="144">
        <v>1.4089</v>
      </c>
      <c r="C2303" s="144">
        <v>42.564999999999998</v>
      </c>
      <c r="D2303" s="144">
        <v>8.0924999999999994</v>
      </c>
      <c r="E2303" s="144">
        <v>114.28</v>
      </c>
      <c r="F2303" s="144">
        <v>0.87749999999999995</v>
      </c>
      <c r="G2303" s="144">
        <v>1.3423</v>
      </c>
      <c r="I2303" s="144">
        <v>1</v>
      </c>
      <c r="J2303" s="145">
        <f t="shared" si="261"/>
        <v>40467</v>
      </c>
      <c r="K2303" s="144">
        <f t="shared" ca="1" si="267"/>
        <v>0.9527290794236638</v>
      </c>
      <c r="L2303" s="144">
        <f t="shared" ca="1" si="267"/>
        <v>0.62282631840442892</v>
      </c>
      <c r="M2303" s="144">
        <f t="shared" ca="1" si="267"/>
        <v>81.112924976932362</v>
      </c>
      <c r="N2303" s="144">
        <f t="shared" ca="1" si="267"/>
        <v>5.7438427141741775</v>
      </c>
      <c r="O2303" s="144">
        <f t="shared" ca="1" si="267"/>
        <v>30.211512527503725</v>
      </c>
      <c r="P2303" s="144">
        <f t="shared" ca="1" si="267"/>
        <v>1</v>
      </c>
      <c r="Q2303" s="144">
        <f t="shared" ca="1" si="267"/>
        <v>0.70977358222726949</v>
      </c>
    </row>
    <row r="2304" spans="1:17" x14ac:dyDescent="0.25">
      <c r="A2304" s="145">
        <v>40466</v>
      </c>
      <c r="B2304" s="144">
        <v>1.4089</v>
      </c>
      <c r="C2304" s="144">
        <v>42.564999999999998</v>
      </c>
      <c r="D2304" s="144">
        <v>8.0924999999999994</v>
      </c>
      <c r="E2304" s="144">
        <v>114.28</v>
      </c>
      <c r="F2304" s="144">
        <v>0.87749999999999995</v>
      </c>
      <c r="G2304" s="144">
        <v>1.3423</v>
      </c>
      <c r="I2304" s="144">
        <v>1</v>
      </c>
      <c r="J2304" s="145">
        <f t="shared" si="261"/>
        <v>40466</v>
      </c>
      <c r="K2304" s="144">
        <f t="shared" ca="1" si="267"/>
        <v>0.9527290794236638</v>
      </c>
      <c r="L2304" s="144">
        <f t="shared" ca="1" si="267"/>
        <v>0.62282631840442892</v>
      </c>
      <c r="M2304" s="144">
        <f t="shared" ca="1" si="267"/>
        <v>81.112924976932362</v>
      </c>
      <c r="N2304" s="144">
        <f t="shared" ca="1" si="267"/>
        <v>5.7438427141741775</v>
      </c>
      <c r="O2304" s="144">
        <f t="shared" ca="1" si="267"/>
        <v>30.211512527503725</v>
      </c>
      <c r="P2304" s="144">
        <f t="shared" ca="1" si="267"/>
        <v>1</v>
      </c>
      <c r="Q2304" s="144">
        <f t="shared" ca="1" si="267"/>
        <v>0.70977358222726949</v>
      </c>
    </row>
    <row r="2305" spans="1:17" x14ac:dyDescent="0.25">
      <c r="A2305" s="145">
        <v>40465</v>
      </c>
      <c r="B2305" s="144">
        <v>1.4100999999999999</v>
      </c>
      <c r="C2305" s="144">
        <v>42.318800000000003</v>
      </c>
      <c r="D2305" s="144">
        <v>8.0694999999999997</v>
      </c>
      <c r="E2305" s="144">
        <v>114.43</v>
      </c>
      <c r="F2305" s="144">
        <v>0.87919999999999998</v>
      </c>
      <c r="G2305" s="144">
        <v>1.3386</v>
      </c>
      <c r="I2305" s="144">
        <v>1</v>
      </c>
      <c r="J2305" s="145">
        <f t="shared" si="261"/>
        <v>40465</v>
      </c>
      <c r="K2305" s="144">
        <f t="shared" ref="K2305:Q2314" ca="1" si="268">OFFSET($A2305,0,K$3)/OFFSET($A2305,0,$P$3)</f>
        <v>0.94929437628536995</v>
      </c>
      <c r="L2305" s="144">
        <f t="shared" ca="1" si="268"/>
        <v>0.62350187929934053</v>
      </c>
      <c r="M2305" s="144">
        <f t="shared" ca="1" si="268"/>
        <v>81.150273030281554</v>
      </c>
      <c r="N2305" s="144">
        <f t="shared" ca="1" si="268"/>
        <v>5.7226437841287856</v>
      </c>
      <c r="O2305" s="144">
        <f t="shared" ca="1" si="268"/>
        <v>30.011204879086595</v>
      </c>
      <c r="P2305" s="144">
        <f t="shared" ca="1" si="268"/>
        <v>1</v>
      </c>
      <c r="Q2305" s="144">
        <f t="shared" ca="1" si="268"/>
        <v>0.70916956244238005</v>
      </c>
    </row>
    <row r="2306" spans="1:17" x14ac:dyDescent="0.25">
      <c r="A2306" s="145">
        <v>40464</v>
      </c>
      <c r="B2306" s="144">
        <v>1.3957999999999999</v>
      </c>
      <c r="C2306" s="144">
        <v>42.005499999999998</v>
      </c>
      <c r="D2306" s="144">
        <v>8.1349999999999998</v>
      </c>
      <c r="E2306" s="144">
        <v>114.23</v>
      </c>
      <c r="F2306" s="144">
        <v>0.88119999999999998</v>
      </c>
      <c r="G2306" s="144">
        <v>1.3351999999999999</v>
      </c>
      <c r="I2306" s="144">
        <v>1</v>
      </c>
      <c r="J2306" s="145">
        <f t="shared" si="261"/>
        <v>40464</v>
      </c>
      <c r="K2306" s="144">
        <f t="shared" ca="1" si="268"/>
        <v>0.95658403782776902</v>
      </c>
      <c r="L2306" s="144">
        <f t="shared" ca="1" si="268"/>
        <v>0.63132253904570856</v>
      </c>
      <c r="M2306" s="144">
        <f t="shared" ca="1" si="268"/>
        <v>81.83837225963606</v>
      </c>
      <c r="N2306" s="144">
        <f t="shared" ca="1" si="268"/>
        <v>5.8281988823613702</v>
      </c>
      <c r="O2306" s="144">
        <f t="shared" ca="1" si="268"/>
        <v>30.094211205043703</v>
      </c>
      <c r="P2306" s="144">
        <f t="shared" ca="1" si="268"/>
        <v>1</v>
      </c>
      <c r="Q2306" s="144">
        <f t="shared" ca="1" si="268"/>
        <v>0.71643501934374554</v>
      </c>
    </row>
    <row r="2307" spans="1:17" x14ac:dyDescent="0.25">
      <c r="A2307" s="145">
        <v>40463</v>
      </c>
      <c r="B2307" s="144">
        <v>1.3833</v>
      </c>
      <c r="C2307" s="144">
        <v>41.68</v>
      </c>
      <c r="D2307" s="144">
        <v>8.1240000000000006</v>
      </c>
      <c r="E2307" s="144">
        <v>113.35</v>
      </c>
      <c r="F2307" s="144">
        <v>0.87360000000000004</v>
      </c>
      <c r="G2307" s="144">
        <v>1.3298000000000001</v>
      </c>
      <c r="I2307" s="144">
        <v>1</v>
      </c>
      <c r="J2307" s="145">
        <f t="shared" si="261"/>
        <v>40463</v>
      </c>
      <c r="K2307" s="144">
        <f t="shared" ca="1" si="268"/>
        <v>0.96132436926191001</v>
      </c>
      <c r="L2307" s="144">
        <f t="shared" ca="1" si="268"/>
        <v>0.63153328995879421</v>
      </c>
      <c r="M2307" s="144">
        <f t="shared" ca="1" si="268"/>
        <v>81.941733535747844</v>
      </c>
      <c r="N2307" s="144">
        <f t="shared" ca="1" si="268"/>
        <v>5.8729126003036223</v>
      </c>
      <c r="O2307" s="144">
        <f t="shared" ca="1" si="268"/>
        <v>30.130846526422324</v>
      </c>
      <c r="P2307" s="144">
        <f t="shared" ca="1" si="268"/>
        <v>1</v>
      </c>
      <c r="Q2307" s="144">
        <f t="shared" ca="1" si="268"/>
        <v>0.722908985758693</v>
      </c>
    </row>
    <row r="2308" spans="1:17" x14ac:dyDescent="0.25">
      <c r="A2308" s="145">
        <v>40462</v>
      </c>
      <c r="B2308" s="144">
        <v>1.3935999999999999</v>
      </c>
      <c r="C2308" s="144">
        <v>41.575000000000003</v>
      </c>
      <c r="D2308" s="144">
        <v>8.1234999999999999</v>
      </c>
      <c r="E2308" s="144">
        <v>114.24</v>
      </c>
      <c r="F2308" s="144">
        <v>0.87460000000000004</v>
      </c>
      <c r="G2308" s="144">
        <v>1.3411999999999999</v>
      </c>
      <c r="I2308" s="144">
        <v>1</v>
      </c>
      <c r="J2308" s="145">
        <f t="shared" si="261"/>
        <v>40462</v>
      </c>
      <c r="K2308" s="144">
        <f t="shared" ca="1" si="268"/>
        <v>0.96239954075774969</v>
      </c>
      <c r="L2308" s="144">
        <f t="shared" ca="1" si="268"/>
        <v>0.62758323765786461</v>
      </c>
      <c r="M2308" s="144">
        <f t="shared" ca="1" si="268"/>
        <v>81.974741676234217</v>
      </c>
      <c r="N2308" s="144">
        <f t="shared" ca="1" si="268"/>
        <v>5.8291475315729047</v>
      </c>
      <c r="O2308" s="144">
        <f t="shared" ca="1" si="268"/>
        <v>29.832807118254884</v>
      </c>
      <c r="P2308" s="144">
        <f t="shared" ca="1" si="268"/>
        <v>1</v>
      </c>
      <c r="Q2308" s="144">
        <f t="shared" ca="1" si="268"/>
        <v>0.71756601607347881</v>
      </c>
    </row>
    <row r="2309" spans="1:17" x14ac:dyDescent="0.25">
      <c r="A2309" s="145">
        <v>40461</v>
      </c>
      <c r="B2309" s="144">
        <v>1.3874</v>
      </c>
      <c r="C2309" s="144">
        <v>41.593000000000004</v>
      </c>
      <c r="D2309" s="144">
        <v>8.1</v>
      </c>
      <c r="E2309" s="144">
        <v>114.21</v>
      </c>
      <c r="F2309" s="144">
        <v>0.87509999999999999</v>
      </c>
      <c r="G2309" s="144">
        <v>1.3420000000000001</v>
      </c>
      <c r="I2309" s="144">
        <v>1</v>
      </c>
      <c r="J2309" s="145">
        <f t="shared" ref="J2309:J2372" si="269">A2309</f>
        <v>40461</v>
      </c>
      <c r="K2309" s="144">
        <f t="shared" ca="1" si="268"/>
        <v>0.96727692085916106</v>
      </c>
      <c r="L2309" s="144">
        <f t="shared" ca="1" si="268"/>
        <v>0.63074816202969586</v>
      </c>
      <c r="M2309" s="144">
        <f t="shared" ca="1" si="268"/>
        <v>82.319446446590746</v>
      </c>
      <c r="N2309" s="144">
        <f t="shared" ca="1" si="268"/>
        <v>5.8382586132333865</v>
      </c>
      <c r="O2309" s="144">
        <f t="shared" ca="1" si="268"/>
        <v>29.97909759261929</v>
      </c>
      <c r="P2309" s="144">
        <f t="shared" ca="1" si="268"/>
        <v>1</v>
      </c>
      <c r="Q2309" s="144">
        <f t="shared" ca="1" si="268"/>
        <v>0.72077266830041808</v>
      </c>
    </row>
    <row r="2310" spans="1:17" x14ac:dyDescent="0.25">
      <c r="A2310" s="145">
        <v>40460</v>
      </c>
      <c r="B2310" s="144">
        <v>1.3874</v>
      </c>
      <c r="C2310" s="144">
        <v>41.593000000000004</v>
      </c>
      <c r="D2310" s="144">
        <v>8.1</v>
      </c>
      <c r="E2310" s="144">
        <v>114.21</v>
      </c>
      <c r="F2310" s="144">
        <v>0.87509999999999999</v>
      </c>
      <c r="G2310" s="144">
        <v>1.3420000000000001</v>
      </c>
      <c r="I2310" s="144">
        <v>1</v>
      </c>
      <c r="J2310" s="145">
        <f t="shared" si="269"/>
        <v>40460</v>
      </c>
      <c r="K2310" s="144">
        <f t="shared" ca="1" si="268"/>
        <v>0.96727692085916106</v>
      </c>
      <c r="L2310" s="144">
        <f t="shared" ca="1" si="268"/>
        <v>0.63074816202969586</v>
      </c>
      <c r="M2310" s="144">
        <f t="shared" ca="1" si="268"/>
        <v>82.319446446590746</v>
      </c>
      <c r="N2310" s="144">
        <f t="shared" ca="1" si="268"/>
        <v>5.8382586132333865</v>
      </c>
      <c r="O2310" s="144">
        <f t="shared" ca="1" si="268"/>
        <v>29.97909759261929</v>
      </c>
      <c r="P2310" s="144">
        <f t="shared" ca="1" si="268"/>
        <v>1</v>
      </c>
      <c r="Q2310" s="144">
        <f t="shared" ca="1" si="268"/>
        <v>0.72077266830041808</v>
      </c>
    </row>
    <row r="2311" spans="1:17" x14ac:dyDescent="0.25">
      <c r="A2311" s="145">
        <v>40459</v>
      </c>
      <c r="B2311" s="144">
        <v>1.3874</v>
      </c>
      <c r="C2311" s="144">
        <v>41.593000000000004</v>
      </c>
      <c r="D2311" s="144">
        <v>8.1</v>
      </c>
      <c r="E2311" s="144">
        <v>114.21</v>
      </c>
      <c r="F2311" s="144">
        <v>0.87509999999999999</v>
      </c>
      <c r="G2311" s="144">
        <v>1.3420000000000001</v>
      </c>
      <c r="I2311" s="144">
        <v>1</v>
      </c>
      <c r="J2311" s="145">
        <f t="shared" si="269"/>
        <v>40459</v>
      </c>
      <c r="K2311" s="144">
        <f t="shared" ca="1" si="268"/>
        <v>0.96727692085916106</v>
      </c>
      <c r="L2311" s="144">
        <f t="shared" ca="1" si="268"/>
        <v>0.63074816202969586</v>
      </c>
      <c r="M2311" s="144">
        <f t="shared" ca="1" si="268"/>
        <v>82.319446446590746</v>
      </c>
      <c r="N2311" s="144">
        <f t="shared" ca="1" si="268"/>
        <v>5.8382586132333865</v>
      </c>
      <c r="O2311" s="144">
        <f t="shared" ca="1" si="268"/>
        <v>29.97909759261929</v>
      </c>
      <c r="P2311" s="144">
        <f t="shared" ca="1" si="268"/>
        <v>1</v>
      </c>
      <c r="Q2311" s="144">
        <f t="shared" ca="1" si="268"/>
        <v>0.72077266830041808</v>
      </c>
    </row>
    <row r="2312" spans="1:17" x14ac:dyDescent="0.25">
      <c r="A2312" s="145">
        <v>40458</v>
      </c>
      <c r="B2312" s="144">
        <v>1.397</v>
      </c>
      <c r="C2312" s="144">
        <v>41.5745</v>
      </c>
      <c r="D2312" s="144">
        <v>8.0830000000000002</v>
      </c>
      <c r="E2312" s="144">
        <v>115.1</v>
      </c>
      <c r="F2312" s="144">
        <v>0.87465000000000004</v>
      </c>
      <c r="G2312" s="144">
        <v>1.3414999999999999</v>
      </c>
      <c r="I2312" s="144">
        <v>1</v>
      </c>
      <c r="J2312" s="145">
        <f t="shared" si="269"/>
        <v>40458</v>
      </c>
      <c r="K2312" s="144">
        <f t="shared" ca="1" si="268"/>
        <v>0.96027201145311369</v>
      </c>
      <c r="L2312" s="144">
        <f t="shared" ca="1" si="268"/>
        <v>0.62609162491052262</v>
      </c>
      <c r="M2312" s="144">
        <f t="shared" ca="1" si="268"/>
        <v>82.39083750894774</v>
      </c>
      <c r="N2312" s="144">
        <f t="shared" ca="1" si="268"/>
        <v>5.7859699355762348</v>
      </c>
      <c r="O2312" s="144">
        <f t="shared" ca="1" si="268"/>
        <v>29.759842519685041</v>
      </c>
      <c r="P2312" s="144">
        <f t="shared" ca="1" si="268"/>
        <v>1</v>
      </c>
      <c r="Q2312" s="144">
        <f t="shared" ca="1" si="268"/>
        <v>0.71581961345740874</v>
      </c>
    </row>
    <row r="2313" spans="1:17" x14ac:dyDescent="0.25">
      <c r="A2313" s="145">
        <v>40457</v>
      </c>
      <c r="B2313" s="144">
        <v>1.3855999999999999</v>
      </c>
      <c r="C2313" s="144">
        <v>41.36</v>
      </c>
      <c r="D2313" s="144">
        <v>8.0340000000000007</v>
      </c>
      <c r="E2313" s="144">
        <v>114.98</v>
      </c>
      <c r="F2313" s="144">
        <v>0.87260000000000004</v>
      </c>
      <c r="G2313" s="144">
        <v>1.3361000000000001</v>
      </c>
      <c r="I2313" s="144">
        <v>1</v>
      </c>
      <c r="J2313" s="145">
        <f t="shared" si="269"/>
        <v>40457</v>
      </c>
      <c r="K2313" s="144">
        <f t="shared" ca="1" si="268"/>
        <v>0.96427540415704394</v>
      </c>
      <c r="L2313" s="144">
        <f t="shared" ca="1" si="268"/>
        <v>0.62976327944572752</v>
      </c>
      <c r="M2313" s="144">
        <f t="shared" ca="1" si="268"/>
        <v>82.982101616628185</v>
      </c>
      <c r="N2313" s="144">
        <f t="shared" ca="1" si="268"/>
        <v>5.7982101616628183</v>
      </c>
      <c r="O2313" s="144">
        <f t="shared" ca="1" si="268"/>
        <v>29.849884526558892</v>
      </c>
      <c r="P2313" s="144">
        <f t="shared" ca="1" si="268"/>
        <v>1</v>
      </c>
      <c r="Q2313" s="144">
        <f t="shared" ca="1" si="268"/>
        <v>0.72170900692840645</v>
      </c>
    </row>
    <row r="2314" spans="1:17" x14ac:dyDescent="0.25">
      <c r="A2314" s="145">
        <v>40456</v>
      </c>
      <c r="B2314" s="144">
        <v>1.3779999999999999</v>
      </c>
      <c r="C2314" s="144">
        <v>41.64</v>
      </c>
      <c r="D2314" s="144">
        <v>8.0410000000000004</v>
      </c>
      <c r="E2314" s="144">
        <v>114.8</v>
      </c>
      <c r="F2314" s="144">
        <v>0.86670000000000003</v>
      </c>
      <c r="G2314" s="144">
        <v>1.3348</v>
      </c>
      <c r="I2314" s="144">
        <v>1</v>
      </c>
      <c r="J2314" s="145">
        <f t="shared" si="269"/>
        <v>40456</v>
      </c>
      <c r="K2314" s="144">
        <f t="shared" ca="1" si="268"/>
        <v>0.96865021770682158</v>
      </c>
      <c r="L2314" s="144">
        <f t="shared" ca="1" si="268"/>
        <v>0.62895500725689413</v>
      </c>
      <c r="M2314" s="144">
        <f t="shared" ca="1" si="268"/>
        <v>83.309143686502182</v>
      </c>
      <c r="N2314" s="144">
        <f t="shared" ca="1" si="268"/>
        <v>5.835268505079827</v>
      </c>
      <c r="O2314" s="144">
        <f t="shared" ca="1" si="268"/>
        <v>30.217706821480409</v>
      </c>
      <c r="P2314" s="144">
        <f t="shared" ca="1" si="268"/>
        <v>1</v>
      </c>
      <c r="Q2314" s="144">
        <f t="shared" ca="1" si="268"/>
        <v>0.72568940493468803</v>
      </c>
    </row>
    <row r="2315" spans="1:17" x14ac:dyDescent="0.25">
      <c r="A2315" s="145">
        <v>40455</v>
      </c>
      <c r="B2315" s="144">
        <v>1.3705000000000001</v>
      </c>
      <c r="C2315" s="144">
        <v>41.804499999999997</v>
      </c>
      <c r="D2315" s="144">
        <v>8.0299999999999994</v>
      </c>
      <c r="E2315" s="144">
        <v>114.1</v>
      </c>
      <c r="F2315" s="144">
        <v>0.86560000000000004</v>
      </c>
      <c r="G2315" s="144">
        <v>1.3327</v>
      </c>
      <c r="I2315" s="144">
        <v>1</v>
      </c>
      <c r="J2315" s="145">
        <f t="shared" si="269"/>
        <v>40455</v>
      </c>
      <c r="K2315" s="144">
        <f t="shared" ref="K2315:Q2324" ca="1" si="270">OFFSET($A2315,0,K$3)/OFFSET($A2315,0,$P$3)</f>
        <v>0.97241882524626044</v>
      </c>
      <c r="L2315" s="144">
        <f t="shared" ca="1" si="270"/>
        <v>0.63159430864647936</v>
      </c>
      <c r="M2315" s="144">
        <f t="shared" ca="1" si="270"/>
        <v>83.254286756658146</v>
      </c>
      <c r="N2315" s="144">
        <f t="shared" ca="1" si="270"/>
        <v>5.8591754834002181</v>
      </c>
      <c r="O2315" s="144">
        <f t="shared" ca="1" si="270"/>
        <v>30.503101058008024</v>
      </c>
      <c r="P2315" s="144">
        <f t="shared" ca="1" si="270"/>
        <v>1</v>
      </c>
      <c r="Q2315" s="144">
        <f t="shared" ca="1" si="270"/>
        <v>0.72966070777088654</v>
      </c>
    </row>
    <row r="2316" spans="1:17" x14ac:dyDescent="0.25">
      <c r="A2316" s="145">
        <v>40454</v>
      </c>
      <c r="B2316" s="144">
        <v>1.3726</v>
      </c>
      <c r="C2316" s="144">
        <v>41.8</v>
      </c>
      <c r="D2316" s="144">
        <v>8.0399999999999991</v>
      </c>
      <c r="E2316" s="144">
        <v>114.26</v>
      </c>
      <c r="F2316" s="144">
        <v>0.86760000000000004</v>
      </c>
      <c r="G2316" s="144">
        <v>1.3423</v>
      </c>
      <c r="I2316" s="144">
        <v>1</v>
      </c>
      <c r="J2316" s="145">
        <f t="shared" si="269"/>
        <v>40454</v>
      </c>
      <c r="K2316" s="144">
        <f t="shared" ca="1" si="270"/>
        <v>0.97792510563893342</v>
      </c>
      <c r="L2316" s="144">
        <f t="shared" ca="1" si="270"/>
        <v>0.63208509398222357</v>
      </c>
      <c r="M2316" s="144">
        <f t="shared" ca="1" si="270"/>
        <v>83.243479527903247</v>
      </c>
      <c r="N2316" s="144">
        <f t="shared" ca="1" si="270"/>
        <v>5.8574967215503415</v>
      </c>
      <c r="O2316" s="144">
        <f t="shared" ca="1" si="270"/>
        <v>30.45315459711496</v>
      </c>
      <c r="P2316" s="144">
        <f t="shared" ca="1" si="270"/>
        <v>1</v>
      </c>
      <c r="Q2316" s="144">
        <f t="shared" ca="1" si="270"/>
        <v>0.72854436835203262</v>
      </c>
    </row>
    <row r="2317" spans="1:17" x14ac:dyDescent="0.25">
      <c r="A2317" s="145">
        <v>40453</v>
      </c>
      <c r="B2317" s="144">
        <v>1.3726</v>
      </c>
      <c r="C2317" s="144">
        <v>41.8</v>
      </c>
      <c r="D2317" s="144">
        <v>8.0399999999999991</v>
      </c>
      <c r="E2317" s="144">
        <v>114.26</v>
      </c>
      <c r="F2317" s="144">
        <v>0.86760000000000004</v>
      </c>
      <c r="G2317" s="144">
        <v>1.3423</v>
      </c>
      <c r="I2317" s="144">
        <v>1</v>
      </c>
      <c r="J2317" s="145">
        <f t="shared" si="269"/>
        <v>40453</v>
      </c>
      <c r="K2317" s="144">
        <f t="shared" ca="1" si="270"/>
        <v>0.97792510563893342</v>
      </c>
      <c r="L2317" s="144">
        <f t="shared" ca="1" si="270"/>
        <v>0.63208509398222357</v>
      </c>
      <c r="M2317" s="144">
        <f t="shared" ca="1" si="270"/>
        <v>83.243479527903247</v>
      </c>
      <c r="N2317" s="144">
        <f t="shared" ca="1" si="270"/>
        <v>5.8574967215503415</v>
      </c>
      <c r="O2317" s="144">
        <f t="shared" ca="1" si="270"/>
        <v>30.45315459711496</v>
      </c>
      <c r="P2317" s="144">
        <f t="shared" ca="1" si="270"/>
        <v>1</v>
      </c>
      <c r="Q2317" s="144">
        <f t="shared" ca="1" si="270"/>
        <v>0.72854436835203262</v>
      </c>
    </row>
    <row r="2318" spans="1:17" x14ac:dyDescent="0.25">
      <c r="A2318" s="145">
        <v>40452</v>
      </c>
      <c r="B2318" s="144">
        <v>1.3726</v>
      </c>
      <c r="C2318" s="144">
        <v>41.8</v>
      </c>
      <c r="D2318" s="144">
        <v>8.0399999999999991</v>
      </c>
      <c r="E2318" s="144">
        <v>114.26</v>
      </c>
      <c r="F2318" s="144">
        <v>0.86760000000000004</v>
      </c>
      <c r="G2318" s="144">
        <v>1.3423</v>
      </c>
      <c r="I2318" s="144">
        <v>1</v>
      </c>
      <c r="J2318" s="145">
        <f t="shared" si="269"/>
        <v>40452</v>
      </c>
      <c r="K2318" s="144">
        <f t="shared" ca="1" si="270"/>
        <v>0.97792510563893342</v>
      </c>
      <c r="L2318" s="144">
        <f t="shared" ca="1" si="270"/>
        <v>0.63208509398222357</v>
      </c>
      <c r="M2318" s="144">
        <f t="shared" ca="1" si="270"/>
        <v>83.243479527903247</v>
      </c>
      <c r="N2318" s="144">
        <f t="shared" ca="1" si="270"/>
        <v>5.8574967215503415</v>
      </c>
      <c r="O2318" s="144">
        <f t="shared" ca="1" si="270"/>
        <v>30.45315459711496</v>
      </c>
      <c r="P2318" s="144">
        <f t="shared" ca="1" si="270"/>
        <v>1</v>
      </c>
      <c r="Q2318" s="144">
        <f t="shared" ca="1" si="270"/>
        <v>0.72854436835203262</v>
      </c>
    </row>
    <row r="2319" spans="1:17" x14ac:dyDescent="0.25">
      <c r="A2319" s="145">
        <v>40451</v>
      </c>
      <c r="B2319" s="144">
        <v>1.3648</v>
      </c>
      <c r="C2319" s="144">
        <v>41.692300000000003</v>
      </c>
      <c r="D2319" s="144">
        <v>7.968</v>
      </c>
      <c r="E2319" s="144">
        <v>113.68</v>
      </c>
      <c r="F2319" s="144">
        <v>0.85994999999999999</v>
      </c>
      <c r="G2319" s="144">
        <v>1.3287</v>
      </c>
      <c r="I2319" s="144">
        <v>1</v>
      </c>
      <c r="J2319" s="145">
        <f t="shared" si="269"/>
        <v>40451</v>
      </c>
      <c r="K2319" s="144">
        <f t="shared" ca="1" si="270"/>
        <v>0.97354923798358728</v>
      </c>
      <c r="L2319" s="144">
        <f t="shared" ca="1" si="270"/>
        <v>0.6300923212192262</v>
      </c>
      <c r="M2319" s="144">
        <f t="shared" ca="1" si="270"/>
        <v>83.294255568581477</v>
      </c>
      <c r="N2319" s="144">
        <f t="shared" ca="1" si="270"/>
        <v>5.8382180539273154</v>
      </c>
      <c r="O2319" s="144">
        <f t="shared" ca="1" si="270"/>
        <v>30.548285463071515</v>
      </c>
      <c r="P2319" s="144">
        <f t="shared" ca="1" si="270"/>
        <v>1</v>
      </c>
      <c r="Q2319" s="144">
        <f t="shared" ca="1" si="270"/>
        <v>0.73270808909730367</v>
      </c>
    </row>
    <row r="2320" spans="1:17" x14ac:dyDescent="0.25">
      <c r="A2320" s="145">
        <v>40450</v>
      </c>
      <c r="B2320" s="144">
        <v>1.3611</v>
      </c>
      <c r="C2320" s="144">
        <v>41.372500000000002</v>
      </c>
      <c r="D2320" s="144">
        <v>7.9669999999999996</v>
      </c>
      <c r="E2320" s="144">
        <v>113.85</v>
      </c>
      <c r="F2320" s="144">
        <v>0.86180000000000001</v>
      </c>
      <c r="G2320" s="144">
        <v>1.3294999999999999</v>
      </c>
      <c r="I2320" s="144">
        <v>1</v>
      </c>
      <c r="J2320" s="145">
        <f t="shared" si="269"/>
        <v>40450</v>
      </c>
      <c r="K2320" s="144">
        <f t="shared" ca="1" si="270"/>
        <v>0.9767834839468077</v>
      </c>
      <c r="L2320" s="144">
        <f t="shared" ca="1" si="270"/>
        <v>0.63316435236206015</v>
      </c>
      <c r="M2320" s="144">
        <f t="shared" ca="1" si="270"/>
        <v>83.645580780251265</v>
      </c>
      <c r="N2320" s="144">
        <f t="shared" ca="1" si="270"/>
        <v>5.8533539049298362</v>
      </c>
      <c r="O2320" s="144">
        <f t="shared" ca="1" si="270"/>
        <v>30.396370582617003</v>
      </c>
      <c r="P2320" s="144">
        <f t="shared" ca="1" si="270"/>
        <v>1</v>
      </c>
      <c r="Q2320" s="144">
        <f t="shared" ca="1" si="270"/>
        <v>0.73469987510102119</v>
      </c>
    </row>
    <row r="2321" spans="1:17" x14ac:dyDescent="0.25">
      <c r="A2321" s="145">
        <v>40449</v>
      </c>
      <c r="B2321" s="144">
        <v>1.3460000000000001</v>
      </c>
      <c r="C2321" s="144">
        <v>41.15</v>
      </c>
      <c r="D2321" s="144">
        <v>7.9669999999999996</v>
      </c>
      <c r="E2321" s="144">
        <v>113.22</v>
      </c>
      <c r="F2321" s="144">
        <v>0.84984999999999999</v>
      </c>
      <c r="G2321" s="144">
        <v>1.3271999999999999</v>
      </c>
      <c r="I2321" s="144">
        <v>1</v>
      </c>
      <c r="J2321" s="145">
        <f t="shared" si="269"/>
        <v>40449</v>
      </c>
      <c r="K2321" s="144">
        <f t="shared" ca="1" si="270"/>
        <v>0.98603268945022282</v>
      </c>
      <c r="L2321" s="144">
        <f t="shared" ca="1" si="270"/>
        <v>0.63138930163447249</v>
      </c>
      <c r="M2321" s="144">
        <f t="shared" ca="1" si="270"/>
        <v>84.115898959881122</v>
      </c>
      <c r="N2321" s="144">
        <f t="shared" ca="1" si="270"/>
        <v>5.9190193164933129</v>
      </c>
      <c r="O2321" s="144">
        <f t="shared" ca="1" si="270"/>
        <v>30.572065378900444</v>
      </c>
      <c r="P2321" s="144">
        <f t="shared" ca="1" si="270"/>
        <v>1</v>
      </c>
      <c r="Q2321" s="144">
        <f t="shared" ca="1" si="270"/>
        <v>0.74294205052005935</v>
      </c>
    </row>
    <row r="2322" spans="1:17" x14ac:dyDescent="0.25">
      <c r="A2322" s="145">
        <v>40448</v>
      </c>
      <c r="B2322" s="144">
        <v>1.3476999999999999</v>
      </c>
      <c r="C2322" s="144">
        <v>41.223500000000001</v>
      </c>
      <c r="D2322" s="144">
        <v>7.9145000000000003</v>
      </c>
      <c r="E2322" s="144">
        <v>113.52</v>
      </c>
      <c r="F2322" s="144">
        <v>0.85040000000000004</v>
      </c>
      <c r="G2322" s="144">
        <v>1.3257000000000001</v>
      </c>
      <c r="I2322" s="144">
        <v>1</v>
      </c>
      <c r="J2322" s="145">
        <f t="shared" si="269"/>
        <v>40448</v>
      </c>
      <c r="K2322" s="144">
        <f t="shared" ca="1" si="270"/>
        <v>0.98367589226088903</v>
      </c>
      <c r="L2322" s="144">
        <f t="shared" ca="1" si="270"/>
        <v>0.63100096460636645</v>
      </c>
      <c r="M2322" s="144">
        <f t="shared" ca="1" si="270"/>
        <v>84.232395933813166</v>
      </c>
      <c r="N2322" s="144">
        <f t="shared" ca="1" si="270"/>
        <v>5.8725977591452114</v>
      </c>
      <c r="O2322" s="144">
        <f t="shared" ca="1" si="270"/>
        <v>30.588038881056619</v>
      </c>
      <c r="P2322" s="144">
        <f t="shared" ca="1" si="270"/>
        <v>1</v>
      </c>
      <c r="Q2322" s="144">
        <f t="shared" ca="1" si="270"/>
        <v>0.74200489723232177</v>
      </c>
    </row>
    <row r="2323" spans="1:17" x14ac:dyDescent="0.25">
      <c r="A2323" s="145">
        <v>40447</v>
      </c>
      <c r="B2323" s="144">
        <v>1.3411999999999999</v>
      </c>
      <c r="C2323" s="144">
        <v>41.374000000000002</v>
      </c>
      <c r="D2323" s="144">
        <v>7.9474999999999998</v>
      </c>
      <c r="E2323" s="144">
        <v>113.2</v>
      </c>
      <c r="F2323" s="144">
        <v>0.85345000000000004</v>
      </c>
      <c r="G2323" s="144">
        <v>1.3163</v>
      </c>
      <c r="I2323" s="144">
        <v>1</v>
      </c>
      <c r="J2323" s="145">
        <f t="shared" si="269"/>
        <v>40447</v>
      </c>
      <c r="K2323" s="144">
        <f t="shared" ca="1" si="270"/>
        <v>0.98143453623620647</v>
      </c>
      <c r="L2323" s="144">
        <f t="shared" ca="1" si="270"/>
        <v>0.63633313450641227</v>
      </c>
      <c r="M2323" s="144">
        <f t="shared" ca="1" si="270"/>
        <v>84.402028034595887</v>
      </c>
      <c r="N2323" s="144">
        <f t="shared" ca="1" si="270"/>
        <v>5.9256635848493886</v>
      </c>
      <c r="O2323" s="144">
        <f t="shared" ca="1" si="270"/>
        <v>30.848493886072177</v>
      </c>
      <c r="P2323" s="144">
        <f t="shared" ca="1" si="270"/>
        <v>1</v>
      </c>
      <c r="Q2323" s="144">
        <f t="shared" ca="1" si="270"/>
        <v>0.74560095436922158</v>
      </c>
    </row>
    <row r="2324" spans="1:17" x14ac:dyDescent="0.25">
      <c r="A2324" s="145">
        <v>40446</v>
      </c>
      <c r="B2324" s="144">
        <v>1.3411999999999999</v>
      </c>
      <c r="C2324" s="144">
        <v>41.374000000000002</v>
      </c>
      <c r="D2324" s="144">
        <v>7.9474999999999998</v>
      </c>
      <c r="E2324" s="144">
        <v>113.2</v>
      </c>
      <c r="F2324" s="144">
        <v>0.85345000000000004</v>
      </c>
      <c r="G2324" s="144">
        <v>1.3163</v>
      </c>
      <c r="I2324" s="144">
        <v>1</v>
      </c>
      <c r="J2324" s="145">
        <f t="shared" si="269"/>
        <v>40446</v>
      </c>
      <c r="K2324" s="144">
        <f t="shared" ca="1" si="270"/>
        <v>0.98143453623620647</v>
      </c>
      <c r="L2324" s="144">
        <f t="shared" ca="1" si="270"/>
        <v>0.63633313450641227</v>
      </c>
      <c r="M2324" s="144">
        <f t="shared" ca="1" si="270"/>
        <v>84.402028034595887</v>
      </c>
      <c r="N2324" s="144">
        <f t="shared" ca="1" si="270"/>
        <v>5.9256635848493886</v>
      </c>
      <c r="O2324" s="144">
        <f t="shared" ca="1" si="270"/>
        <v>30.848493886072177</v>
      </c>
      <c r="P2324" s="144">
        <f t="shared" ca="1" si="270"/>
        <v>1</v>
      </c>
      <c r="Q2324" s="144">
        <f t="shared" ca="1" si="270"/>
        <v>0.74560095436922158</v>
      </c>
    </row>
    <row r="2325" spans="1:17" x14ac:dyDescent="0.25">
      <c r="A2325" s="145">
        <v>40445</v>
      </c>
      <c r="B2325" s="144">
        <v>1.3411999999999999</v>
      </c>
      <c r="C2325" s="144">
        <v>41.374000000000002</v>
      </c>
      <c r="D2325" s="144">
        <v>7.9474999999999998</v>
      </c>
      <c r="E2325" s="144">
        <v>113.2</v>
      </c>
      <c r="F2325" s="144">
        <v>0.85345000000000004</v>
      </c>
      <c r="G2325" s="144">
        <v>1.3163</v>
      </c>
      <c r="I2325" s="144">
        <v>1</v>
      </c>
      <c r="J2325" s="145">
        <f t="shared" si="269"/>
        <v>40445</v>
      </c>
      <c r="K2325" s="144">
        <f t="shared" ref="K2325:Q2334" ca="1" si="271">OFFSET($A2325,0,K$3)/OFFSET($A2325,0,$P$3)</f>
        <v>0.98143453623620647</v>
      </c>
      <c r="L2325" s="144">
        <f t="shared" ca="1" si="271"/>
        <v>0.63633313450641227</v>
      </c>
      <c r="M2325" s="144">
        <f t="shared" ca="1" si="271"/>
        <v>84.402028034595887</v>
      </c>
      <c r="N2325" s="144">
        <f t="shared" ca="1" si="271"/>
        <v>5.9256635848493886</v>
      </c>
      <c r="O2325" s="144">
        <f t="shared" ca="1" si="271"/>
        <v>30.848493886072177</v>
      </c>
      <c r="P2325" s="144">
        <f t="shared" ca="1" si="271"/>
        <v>1</v>
      </c>
      <c r="Q2325" s="144">
        <f t="shared" ca="1" si="271"/>
        <v>0.74560095436922158</v>
      </c>
    </row>
    <row r="2326" spans="1:17" x14ac:dyDescent="0.25">
      <c r="A2326" s="145">
        <v>40444</v>
      </c>
      <c r="B2326" s="144">
        <v>1.3323</v>
      </c>
      <c r="C2326" s="144">
        <v>41.355699999999999</v>
      </c>
      <c r="D2326" s="144">
        <v>7.9195000000000002</v>
      </c>
      <c r="E2326" s="144">
        <v>112.49</v>
      </c>
      <c r="F2326" s="144">
        <v>0.85050000000000003</v>
      </c>
      <c r="G2326" s="144">
        <v>1.3138000000000001</v>
      </c>
      <c r="I2326" s="144">
        <v>1</v>
      </c>
      <c r="J2326" s="145">
        <f t="shared" si="269"/>
        <v>40444</v>
      </c>
      <c r="K2326" s="144">
        <f t="shared" ca="1" si="271"/>
        <v>0.98611423853486457</v>
      </c>
      <c r="L2326" s="144">
        <f t="shared" ca="1" si="271"/>
        <v>0.63836973654582307</v>
      </c>
      <c r="M2326" s="144">
        <f t="shared" ca="1" si="271"/>
        <v>84.432935525031894</v>
      </c>
      <c r="N2326" s="144">
        <f t="shared" ca="1" si="271"/>
        <v>5.944231779629213</v>
      </c>
      <c r="O2326" s="144">
        <f t="shared" ca="1" si="271"/>
        <v>31.040831644524506</v>
      </c>
      <c r="P2326" s="144">
        <f t="shared" ca="1" si="271"/>
        <v>1</v>
      </c>
      <c r="Q2326" s="144">
        <f t="shared" ca="1" si="271"/>
        <v>0.75058170081813402</v>
      </c>
    </row>
    <row r="2327" spans="1:17" x14ac:dyDescent="0.25">
      <c r="A2327" s="145">
        <v>40443</v>
      </c>
      <c r="B2327" s="144">
        <v>1.3364</v>
      </c>
      <c r="C2327" s="144">
        <v>41.456000000000003</v>
      </c>
      <c r="D2327" s="144">
        <v>7.8964999999999996</v>
      </c>
      <c r="E2327" s="144">
        <v>113.14</v>
      </c>
      <c r="F2327" s="144">
        <v>0.85529999999999995</v>
      </c>
      <c r="G2327" s="144">
        <v>1.3217000000000001</v>
      </c>
      <c r="I2327" s="144">
        <v>1</v>
      </c>
      <c r="J2327" s="145">
        <f t="shared" si="269"/>
        <v>40443</v>
      </c>
      <c r="K2327" s="144">
        <f t="shared" ca="1" si="271"/>
        <v>0.9890002993115834</v>
      </c>
      <c r="L2327" s="144">
        <f t="shared" ca="1" si="271"/>
        <v>0.64000299311583353</v>
      </c>
      <c r="M2327" s="144">
        <f t="shared" ca="1" si="271"/>
        <v>84.660281352888362</v>
      </c>
      <c r="N2327" s="144">
        <f t="shared" ca="1" si="271"/>
        <v>5.9087847949715648</v>
      </c>
      <c r="O2327" s="144">
        <f t="shared" ca="1" si="271"/>
        <v>31.020652499251721</v>
      </c>
      <c r="P2327" s="144">
        <f t="shared" ca="1" si="271"/>
        <v>1</v>
      </c>
      <c r="Q2327" s="144">
        <f t="shared" ca="1" si="271"/>
        <v>0.74827895839568992</v>
      </c>
    </row>
    <row r="2328" spans="1:17" x14ac:dyDescent="0.25">
      <c r="A2328" s="145">
        <v>40442</v>
      </c>
      <c r="B2328" s="144">
        <v>1.3120000000000001</v>
      </c>
      <c r="C2328" s="144">
        <v>40.795499999999997</v>
      </c>
      <c r="D2328" s="144">
        <v>7.9295</v>
      </c>
      <c r="E2328" s="144">
        <v>112.05</v>
      </c>
      <c r="F2328" s="144">
        <v>0.84545000000000003</v>
      </c>
      <c r="G2328" s="144">
        <v>1.3156000000000001</v>
      </c>
      <c r="I2328" s="144">
        <v>1</v>
      </c>
      <c r="J2328" s="145">
        <f t="shared" si="269"/>
        <v>40442</v>
      </c>
      <c r="K2328" s="144">
        <f t="shared" ca="1" si="271"/>
        <v>1.0027439024390243</v>
      </c>
      <c r="L2328" s="144">
        <f t="shared" ca="1" si="271"/>
        <v>0.64439786585365855</v>
      </c>
      <c r="M2328" s="144">
        <f t="shared" ca="1" si="271"/>
        <v>85.403963414634134</v>
      </c>
      <c r="N2328" s="144">
        <f t="shared" ca="1" si="271"/>
        <v>6.0438262195121952</v>
      </c>
      <c r="O2328" s="144">
        <f t="shared" ca="1" si="271"/>
        <v>31.094131097560972</v>
      </c>
      <c r="P2328" s="144">
        <f t="shared" ca="1" si="271"/>
        <v>1</v>
      </c>
      <c r="Q2328" s="144">
        <f t="shared" ca="1" si="271"/>
        <v>0.76219512195121952</v>
      </c>
    </row>
    <row r="2329" spans="1:17" x14ac:dyDescent="0.25">
      <c r="A2329" s="145">
        <v>40441</v>
      </c>
      <c r="B2329" s="144">
        <v>1.3073999999999999</v>
      </c>
      <c r="C2329" s="144">
        <v>40.549999999999997</v>
      </c>
      <c r="D2329" s="144">
        <v>7.9539999999999997</v>
      </c>
      <c r="E2329" s="144">
        <v>112.07</v>
      </c>
      <c r="F2329" s="144">
        <v>0.83830000000000005</v>
      </c>
      <c r="G2329" s="144">
        <v>1.3160000000000001</v>
      </c>
      <c r="I2329" s="144">
        <v>1</v>
      </c>
      <c r="J2329" s="145">
        <f t="shared" si="269"/>
        <v>40441</v>
      </c>
      <c r="K2329" s="144">
        <f t="shared" ca="1" si="271"/>
        <v>1.006577940951507</v>
      </c>
      <c r="L2329" s="144">
        <f t="shared" ca="1" si="271"/>
        <v>0.64119626740094848</v>
      </c>
      <c r="M2329" s="144">
        <f t="shared" ca="1" si="271"/>
        <v>85.719749120391612</v>
      </c>
      <c r="N2329" s="144">
        <f t="shared" ca="1" si="271"/>
        <v>6.0838305032889703</v>
      </c>
      <c r="O2329" s="144">
        <f t="shared" ca="1" si="271"/>
        <v>31.015756463209424</v>
      </c>
      <c r="P2329" s="144">
        <f t="shared" ca="1" si="271"/>
        <v>1</v>
      </c>
      <c r="Q2329" s="144">
        <f t="shared" ca="1" si="271"/>
        <v>0.76487685482637302</v>
      </c>
    </row>
    <row r="2330" spans="1:17" x14ac:dyDescent="0.25">
      <c r="A2330" s="145">
        <v>40440</v>
      </c>
      <c r="B2330" s="144">
        <v>1.306</v>
      </c>
      <c r="C2330" s="144">
        <v>40.484999999999999</v>
      </c>
      <c r="D2330" s="144">
        <v>7.9649999999999999</v>
      </c>
      <c r="E2330" s="144">
        <v>111.98</v>
      </c>
      <c r="F2330" s="144">
        <v>0.83574999999999999</v>
      </c>
      <c r="G2330" s="144">
        <v>1.321</v>
      </c>
      <c r="I2330" s="144">
        <v>1</v>
      </c>
      <c r="J2330" s="145">
        <f t="shared" si="269"/>
        <v>40440</v>
      </c>
      <c r="K2330" s="144">
        <f t="shared" ca="1" si="271"/>
        <v>1.0114854517611025</v>
      </c>
      <c r="L2330" s="144">
        <f t="shared" ca="1" si="271"/>
        <v>0.63993108728943338</v>
      </c>
      <c r="M2330" s="144">
        <f t="shared" ca="1" si="271"/>
        <v>85.742725880551305</v>
      </c>
      <c r="N2330" s="144">
        <f t="shared" ca="1" si="271"/>
        <v>6.0987748851454819</v>
      </c>
      <c r="O2330" s="144">
        <f t="shared" ca="1" si="271"/>
        <v>30.999234303215925</v>
      </c>
      <c r="P2330" s="144">
        <f t="shared" ca="1" si="271"/>
        <v>1</v>
      </c>
      <c r="Q2330" s="144">
        <f t="shared" ca="1" si="271"/>
        <v>0.76569678407350683</v>
      </c>
    </row>
    <row r="2331" spans="1:17" x14ac:dyDescent="0.25">
      <c r="A2331" s="145">
        <v>40439</v>
      </c>
      <c r="B2331" s="144">
        <v>1.306</v>
      </c>
      <c r="C2331" s="144">
        <v>40.484999999999999</v>
      </c>
      <c r="D2331" s="144">
        <v>7.9649999999999999</v>
      </c>
      <c r="E2331" s="144">
        <v>111.98</v>
      </c>
      <c r="F2331" s="144">
        <v>0.83574999999999999</v>
      </c>
      <c r="G2331" s="144">
        <v>1.321</v>
      </c>
      <c r="I2331" s="144">
        <v>1</v>
      </c>
      <c r="J2331" s="145">
        <f t="shared" si="269"/>
        <v>40439</v>
      </c>
      <c r="K2331" s="144">
        <f t="shared" ca="1" si="271"/>
        <v>1.0114854517611025</v>
      </c>
      <c r="L2331" s="144">
        <f t="shared" ca="1" si="271"/>
        <v>0.63993108728943338</v>
      </c>
      <c r="M2331" s="144">
        <f t="shared" ca="1" si="271"/>
        <v>85.742725880551305</v>
      </c>
      <c r="N2331" s="144">
        <f t="shared" ca="1" si="271"/>
        <v>6.0987748851454819</v>
      </c>
      <c r="O2331" s="144">
        <f t="shared" ca="1" si="271"/>
        <v>30.999234303215925</v>
      </c>
      <c r="P2331" s="144">
        <f t="shared" ca="1" si="271"/>
        <v>1</v>
      </c>
      <c r="Q2331" s="144">
        <f t="shared" ca="1" si="271"/>
        <v>0.76569678407350683</v>
      </c>
    </row>
    <row r="2332" spans="1:17" x14ac:dyDescent="0.25">
      <c r="A2332" s="145">
        <v>40438</v>
      </c>
      <c r="B2332" s="144">
        <v>1.306</v>
      </c>
      <c r="C2332" s="144">
        <v>40.484999999999999</v>
      </c>
      <c r="D2332" s="144">
        <v>7.9649999999999999</v>
      </c>
      <c r="E2332" s="144">
        <v>111.98</v>
      </c>
      <c r="F2332" s="144">
        <v>0.83574999999999999</v>
      </c>
      <c r="G2332" s="144">
        <v>1.321</v>
      </c>
      <c r="I2332" s="144">
        <v>1</v>
      </c>
      <c r="J2332" s="145">
        <f t="shared" si="269"/>
        <v>40438</v>
      </c>
      <c r="K2332" s="144">
        <f t="shared" ca="1" si="271"/>
        <v>1.0114854517611025</v>
      </c>
      <c r="L2332" s="144">
        <f t="shared" ca="1" si="271"/>
        <v>0.63993108728943338</v>
      </c>
      <c r="M2332" s="144">
        <f t="shared" ca="1" si="271"/>
        <v>85.742725880551305</v>
      </c>
      <c r="N2332" s="144">
        <f t="shared" ca="1" si="271"/>
        <v>6.0987748851454819</v>
      </c>
      <c r="O2332" s="144">
        <f t="shared" ca="1" si="271"/>
        <v>30.999234303215925</v>
      </c>
      <c r="P2332" s="144">
        <f t="shared" ca="1" si="271"/>
        <v>1</v>
      </c>
      <c r="Q2332" s="144">
        <f t="shared" ca="1" si="271"/>
        <v>0.76569678407350683</v>
      </c>
    </row>
    <row r="2333" spans="1:17" x14ac:dyDescent="0.25">
      <c r="A2333" s="145">
        <v>40437</v>
      </c>
      <c r="B2333" s="144">
        <v>1.3078000000000001</v>
      </c>
      <c r="C2333" s="144">
        <v>40.587499999999999</v>
      </c>
      <c r="D2333" s="144">
        <v>7.9554999999999998</v>
      </c>
      <c r="E2333" s="144">
        <v>111.93</v>
      </c>
      <c r="F2333" s="144">
        <v>0.83720000000000006</v>
      </c>
      <c r="G2333" s="144">
        <v>1.3225</v>
      </c>
      <c r="I2333" s="144">
        <v>1</v>
      </c>
      <c r="J2333" s="145">
        <f t="shared" si="269"/>
        <v>40437</v>
      </c>
      <c r="K2333" s="144">
        <f t="shared" ca="1" si="271"/>
        <v>1.0112402508028751</v>
      </c>
      <c r="L2333" s="144">
        <f t="shared" ca="1" si="271"/>
        <v>0.64015904572564608</v>
      </c>
      <c r="M2333" s="144">
        <f t="shared" ca="1" si="271"/>
        <v>85.586481113320076</v>
      </c>
      <c r="N2333" s="144">
        <f t="shared" ca="1" si="271"/>
        <v>6.083116684508334</v>
      </c>
      <c r="O2333" s="144">
        <f t="shared" ca="1" si="271"/>
        <v>31.034944181067438</v>
      </c>
      <c r="P2333" s="144">
        <f t="shared" ca="1" si="271"/>
        <v>1</v>
      </c>
      <c r="Q2333" s="144">
        <f t="shared" ca="1" si="271"/>
        <v>0.76464291176020793</v>
      </c>
    </row>
    <row r="2334" spans="1:17" x14ac:dyDescent="0.25">
      <c r="A2334" s="145">
        <v>40436</v>
      </c>
      <c r="B2334" s="144">
        <v>1.2988999999999999</v>
      </c>
      <c r="C2334" s="144">
        <v>40.1</v>
      </c>
      <c r="D2334" s="144">
        <v>7.8970000000000002</v>
      </c>
      <c r="E2334" s="144">
        <v>111.04</v>
      </c>
      <c r="F2334" s="144">
        <v>0.83550000000000002</v>
      </c>
      <c r="G2334" s="144">
        <v>1.3019000000000001</v>
      </c>
      <c r="I2334" s="144">
        <v>1</v>
      </c>
      <c r="J2334" s="145">
        <f t="shared" si="269"/>
        <v>40436</v>
      </c>
      <c r="K2334" s="144">
        <f t="shared" ca="1" si="271"/>
        <v>1.0023096466240666</v>
      </c>
      <c r="L2334" s="144">
        <f t="shared" ca="1" si="271"/>
        <v>0.64323658480252521</v>
      </c>
      <c r="M2334" s="144">
        <f t="shared" ca="1" si="271"/>
        <v>85.487720378782058</v>
      </c>
      <c r="N2334" s="144">
        <f t="shared" ca="1" si="271"/>
        <v>6.0797597967510972</v>
      </c>
      <c r="O2334" s="144">
        <f t="shared" ca="1" si="271"/>
        <v>30.872276541689125</v>
      </c>
      <c r="P2334" s="144">
        <f t="shared" ca="1" si="271"/>
        <v>1</v>
      </c>
      <c r="Q2334" s="144">
        <f t="shared" ca="1" si="271"/>
        <v>0.76988220802217266</v>
      </c>
    </row>
    <row r="2335" spans="1:17" x14ac:dyDescent="0.25">
      <c r="A2335" s="145">
        <v>40435</v>
      </c>
      <c r="B2335" s="144">
        <v>1.2849999999999999</v>
      </c>
      <c r="C2335" s="144">
        <v>39.557000000000002</v>
      </c>
      <c r="D2335" s="144">
        <v>7.8780000000000001</v>
      </c>
      <c r="E2335" s="144">
        <v>107.04</v>
      </c>
      <c r="F2335" s="144">
        <v>0.83430000000000004</v>
      </c>
      <c r="G2335" s="144">
        <v>1.2910999999999999</v>
      </c>
      <c r="I2335" s="144">
        <v>1</v>
      </c>
      <c r="J2335" s="145">
        <f t="shared" si="269"/>
        <v>40435</v>
      </c>
      <c r="K2335" s="144">
        <f t="shared" ref="K2335:Q2344" ca="1" si="272">OFFSET($A2335,0,K$3)/OFFSET($A2335,0,$P$3)</f>
        <v>1.0047470817120623</v>
      </c>
      <c r="L2335" s="144">
        <f t="shared" ca="1" si="272"/>
        <v>0.64926070038910511</v>
      </c>
      <c r="M2335" s="144">
        <f t="shared" ca="1" si="272"/>
        <v>83.299610894941651</v>
      </c>
      <c r="N2335" s="144">
        <f t="shared" ca="1" si="272"/>
        <v>6.1307392996108954</v>
      </c>
      <c r="O2335" s="144">
        <f t="shared" ca="1" si="272"/>
        <v>30.783657587548642</v>
      </c>
      <c r="P2335" s="144">
        <f t="shared" ca="1" si="272"/>
        <v>1</v>
      </c>
      <c r="Q2335" s="144">
        <f t="shared" ca="1" si="272"/>
        <v>0.77821011673151752</v>
      </c>
    </row>
    <row r="2336" spans="1:17" x14ac:dyDescent="0.25">
      <c r="A2336" s="145">
        <v>40434</v>
      </c>
      <c r="B2336" s="144">
        <v>1.2801</v>
      </c>
      <c r="C2336" s="144">
        <v>39.332500000000003</v>
      </c>
      <c r="D2336" s="144">
        <v>7.8520000000000003</v>
      </c>
      <c r="E2336" s="144">
        <v>107.69</v>
      </c>
      <c r="F2336" s="144">
        <v>0.83120000000000005</v>
      </c>
      <c r="G2336" s="144">
        <v>1.2990999999999999</v>
      </c>
      <c r="I2336" s="144">
        <v>1</v>
      </c>
      <c r="J2336" s="145">
        <f t="shared" si="269"/>
        <v>40434</v>
      </c>
      <c r="K2336" s="144">
        <f t="shared" ca="1" si="272"/>
        <v>1.0148425904226233</v>
      </c>
      <c r="L2336" s="144">
        <f t="shared" ca="1" si="272"/>
        <v>0.64932427154128591</v>
      </c>
      <c r="M2336" s="144">
        <f t="shared" ca="1" si="272"/>
        <v>84.126240137489262</v>
      </c>
      <c r="N2336" s="144">
        <f t="shared" ca="1" si="272"/>
        <v>6.1338957893914543</v>
      </c>
      <c r="O2336" s="144">
        <f t="shared" ca="1" si="272"/>
        <v>30.726115147254124</v>
      </c>
      <c r="P2336" s="144">
        <f t="shared" ca="1" si="272"/>
        <v>1</v>
      </c>
      <c r="Q2336" s="144">
        <f t="shared" ca="1" si="272"/>
        <v>0.78118896961174911</v>
      </c>
    </row>
    <row r="2337" spans="1:17" x14ac:dyDescent="0.25">
      <c r="A2337" s="145">
        <v>40433</v>
      </c>
      <c r="B2337" s="144">
        <v>1.2725</v>
      </c>
      <c r="C2337" s="144">
        <v>39.281999999999996</v>
      </c>
      <c r="D2337" s="144">
        <v>7.8760000000000003</v>
      </c>
      <c r="E2337" s="144">
        <v>106.84</v>
      </c>
      <c r="F2337" s="144">
        <v>0.82340000000000002</v>
      </c>
      <c r="G2337" s="144">
        <v>1.302</v>
      </c>
      <c r="I2337" s="144">
        <v>1</v>
      </c>
      <c r="J2337" s="145">
        <f t="shared" si="269"/>
        <v>40433</v>
      </c>
      <c r="K2337" s="144">
        <f t="shared" ca="1" si="272"/>
        <v>1.0231827111984284</v>
      </c>
      <c r="L2337" s="144">
        <f t="shared" ca="1" si="272"/>
        <v>0.64707269155206293</v>
      </c>
      <c r="M2337" s="144">
        <f t="shared" ca="1" si="272"/>
        <v>83.960707269155208</v>
      </c>
      <c r="N2337" s="144">
        <f t="shared" ca="1" si="272"/>
        <v>6.1893909626719061</v>
      </c>
      <c r="O2337" s="144">
        <f t="shared" ca="1" si="272"/>
        <v>30.869941060903731</v>
      </c>
      <c r="P2337" s="144">
        <f t="shared" ca="1" si="272"/>
        <v>1</v>
      </c>
      <c r="Q2337" s="144">
        <f t="shared" ca="1" si="272"/>
        <v>0.78585461689587432</v>
      </c>
    </row>
    <row r="2338" spans="1:17" x14ac:dyDescent="0.25">
      <c r="A2338" s="145">
        <v>40432</v>
      </c>
      <c r="B2338" s="144">
        <v>1.2725</v>
      </c>
      <c r="C2338" s="144">
        <v>39.281999999999996</v>
      </c>
      <c r="D2338" s="144">
        <v>7.8760000000000003</v>
      </c>
      <c r="E2338" s="144">
        <v>106.84</v>
      </c>
      <c r="F2338" s="144">
        <v>0.82340000000000002</v>
      </c>
      <c r="G2338" s="144">
        <v>1.302</v>
      </c>
      <c r="I2338" s="144">
        <v>1</v>
      </c>
      <c r="J2338" s="145">
        <f t="shared" si="269"/>
        <v>40432</v>
      </c>
      <c r="K2338" s="144">
        <f t="shared" ca="1" si="272"/>
        <v>1.0231827111984284</v>
      </c>
      <c r="L2338" s="144">
        <f t="shared" ca="1" si="272"/>
        <v>0.64707269155206293</v>
      </c>
      <c r="M2338" s="144">
        <f t="shared" ca="1" si="272"/>
        <v>83.960707269155208</v>
      </c>
      <c r="N2338" s="144">
        <f t="shared" ca="1" si="272"/>
        <v>6.1893909626719061</v>
      </c>
      <c r="O2338" s="144">
        <f t="shared" ca="1" si="272"/>
        <v>30.869941060903731</v>
      </c>
      <c r="P2338" s="144">
        <f t="shared" ca="1" si="272"/>
        <v>1</v>
      </c>
      <c r="Q2338" s="144">
        <f t="shared" ca="1" si="272"/>
        <v>0.78585461689587432</v>
      </c>
    </row>
    <row r="2339" spans="1:17" x14ac:dyDescent="0.25">
      <c r="A2339" s="145">
        <v>40431</v>
      </c>
      <c r="B2339" s="144">
        <v>1.2725</v>
      </c>
      <c r="C2339" s="144">
        <v>39.281999999999996</v>
      </c>
      <c r="D2339" s="144">
        <v>7.8760000000000003</v>
      </c>
      <c r="E2339" s="144">
        <v>106.84</v>
      </c>
      <c r="F2339" s="144">
        <v>0.82340000000000002</v>
      </c>
      <c r="G2339" s="144">
        <v>1.302</v>
      </c>
      <c r="I2339" s="144">
        <v>1</v>
      </c>
      <c r="J2339" s="145">
        <f t="shared" si="269"/>
        <v>40431</v>
      </c>
      <c r="K2339" s="144">
        <f t="shared" ca="1" si="272"/>
        <v>1.0231827111984284</v>
      </c>
      <c r="L2339" s="144">
        <f t="shared" ca="1" si="272"/>
        <v>0.64707269155206293</v>
      </c>
      <c r="M2339" s="144">
        <f t="shared" ca="1" si="272"/>
        <v>83.960707269155208</v>
      </c>
      <c r="N2339" s="144">
        <f t="shared" ca="1" si="272"/>
        <v>6.1893909626719061</v>
      </c>
      <c r="O2339" s="144">
        <f t="shared" ca="1" si="272"/>
        <v>30.869941060903731</v>
      </c>
      <c r="P2339" s="144">
        <f t="shared" ca="1" si="272"/>
        <v>1</v>
      </c>
      <c r="Q2339" s="144">
        <f t="shared" ca="1" si="272"/>
        <v>0.78585461689587432</v>
      </c>
    </row>
    <row r="2340" spans="1:17" x14ac:dyDescent="0.25">
      <c r="A2340" s="145">
        <v>40430</v>
      </c>
      <c r="B2340" s="144">
        <v>1.2715000000000001</v>
      </c>
      <c r="C2340" s="144">
        <v>39.276299999999999</v>
      </c>
      <c r="D2340" s="144">
        <v>7.8724999999999996</v>
      </c>
      <c r="E2340" s="144">
        <v>106.46</v>
      </c>
      <c r="F2340" s="144">
        <v>0.82579999999999998</v>
      </c>
      <c r="G2340" s="144">
        <v>1.2859</v>
      </c>
      <c r="I2340" s="144">
        <v>1</v>
      </c>
      <c r="J2340" s="145">
        <f t="shared" si="269"/>
        <v>40430</v>
      </c>
      <c r="K2340" s="144">
        <f t="shared" ca="1" si="272"/>
        <v>1.0113252064490759</v>
      </c>
      <c r="L2340" s="144">
        <f t="shared" ca="1" si="272"/>
        <v>0.64946913094769954</v>
      </c>
      <c r="M2340" s="144">
        <f t="shared" ca="1" si="272"/>
        <v>83.727880456154139</v>
      </c>
      <c r="N2340" s="144">
        <f t="shared" ca="1" si="272"/>
        <v>6.1915060951631924</v>
      </c>
      <c r="O2340" s="144">
        <f t="shared" ca="1" si="272"/>
        <v>30.889736531655522</v>
      </c>
      <c r="P2340" s="144">
        <f t="shared" ca="1" si="272"/>
        <v>1</v>
      </c>
      <c r="Q2340" s="144">
        <f t="shared" ca="1" si="272"/>
        <v>0.78647267007471489</v>
      </c>
    </row>
    <row r="2341" spans="1:17" x14ac:dyDescent="0.25">
      <c r="A2341" s="145">
        <v>40429</v>
      </c>
      <c r="B2341" s="144">
        <v>1.2697000000000001</v>
      </c>
      <c r="C2341" s="144">
        <v>39.2301</v>
      </c>
      <c r="D2341" s="144">
        <v>7.8810000000000002</v>
      </c>
      <c r="E2341" s="144">
        <v>106.41</v>
      </c>
      <c r="F2341" s="144">
        <v>0.82204999999999995</v>
      </c>
      <c r="G2341" s="144">
        <v>1.2837000000000001</v>
      </c>
      <c r="I2341" s="144">
        <v>1</v>
      </c>
      <c r="J2341" s="145">
        <f t="shared" si="269"/>
        <v>40429</v>
      </c>
      <c r="K2341" s="144">
        <f t="shared" ca="1" si="272"/>
        <v>1.0110262266677168</v>
      </c>
      <c r="L2341" s="144">
        <f t="shared" ca="1" si="272"/>
        <v>0.64743640229975574</v>
      </c>
      <c r="M2341" s="144">
        <f t="shared" ca="1" si="272"/>
        <v>83.807198550838777</v>
      </c>
      <c r="N2341" s="144">
        <f t="shared" ca="1" si="272"/>
        <v>6.2069780263054266</v>
      </c>
      <c r="O2341" s="144">
        <f t="shared" ca="1" si="272"/>
        <v>30.897141056942584</v>
      </c>
      <c r="P2341" s="144">
        <f t="shared" ca="1" si="272"/>
        <v>1</v>
      </c>
      <c r="Q2341" s="144">
        <f t="shared" ca="1" si="272"/>
        <v>0.78758761912262731</v>
      </c>
    </row>
    <row r="2342" spans="1:17" x14ac:dyDescent="0.25">
      <c r="A2342" s="145">
        <v>40428</v>
      </c>
      <c r="B2342" s="144">
        <v>1.2744</v>
      </c>
      <c r="C2342" s="144">
        <v>39.253700000000002</v>
      </c>
      <c r="D2342" s="144">
        <v>7.891</v>
      </c>
      <c r="E2342" s="144">
        <v>106.86</v>
      </c>
      <c r="F2342" s="144">
        <v>0.83160000000000001</v>
      </c>
      <c r="G2342" s="144">
        <v>1.2903</v>
      </c>
      <c r="I2342" s="144">
        <v>1</v>
      </c>
      <c r="J2342" s="145">
        <f t="shared" si="269"/>
        <v>40428</v>
      </c>
      <c r="K2342" s="144">
        <f t="shared" ca="1" si="272"/>
        <v>1.0124764595103579</v>
      </c>
      <c r="L2342" s="144">
        <f t="shared" ca="1" si="272"/>
        <v>0.65254237288135597</v>
      </c>
      <c r="M2342" s="144">
        <f t="shared" ca="1" si="272"/>
        <v>83.851224105461398</v>
      </c>
      <c r="N2342" s="144">
        <f t="shared" ca="1" si="272"/>
        <v>6.1919334588826116</v>
      </c>
      <c r="O2342" s="144">
        <f t="shared" ca="1" si="272"/>
        <v>30.801710608914</v>
      </c>
      <c r="P2342" s="144">
        <f t="shared" ca="1" si="272"/>
        <v>1</v>
      </c>
      <c r="Q2342" s="144">
        <f t="shared" ca="1" si="272"/>
        <v>0.78468298807281855</v>
      </c>
    </row>
    <row r="2343" spans="1:17" x14ac:dyDescent="0.25">
      <c r="A2343" s="145">
        <v>40427</v>
      </c>
      <c r="B2343" s="144">
        <v>1.2874000000000001</v>
      </c>
      <c r="C2343" s="144">
        <v>39.439799999999998</v>
      </c>
      <c r="D2343" s="144">
        <v>7.88</v>
      </c>
      <c r="E2343" s="144">
        <v>108.42</v>
      </c>
      <c r="F2343" s="144">
        <v>0.83825000000000005</v>
      </c>
      <c r="G2343" s="144">
        <v>1.3069999999999999</v>
      </c>
      <c r="I2343" s="144">
        <v>1</v>
      </c>
      <c r="J2343" s="145">
        <f t="shared" si="269"/>
        <v>40427</v>
      </c>
      <c r="K2343" s="144">
        <f t="shared" ca="1" si="272"/>
        <v>1.0152244834550255</v>
      </c>
      <c r="L2343" s="144">
        <f t="shared" ca="1" si="272"/>
        <v>0.65111853347832838</v>
      </c>
      <c r="M2343" s="144">
        <f t="shared" ca="1" si="272"/>
        <v>84.216249805810151</v>
      </c>
      <c r="N2343" s="144">
        <f t="shared" ca="1" si="272"/>
        <v>6.120863756408264</v>
      </c>
      <c r="O2343" s="144">
        <f t="shared" ca="1" si="272"/>
        <v>30.635233804567342</v>
      </c>
      <c r="P2343" s="144">
        <f t="shared" ca="1" si="272"/>
        <v>1</v>
      </c>
      <c r="Q2343" s="144">
        <f t="shared" ca="1" si="272"/>
        <v>0.77675935995028733</v>
      </c>
    </row>
    <row r="2344" spans="1:17" x14ac:dyDescent="0.25">
      <c r="A2344" s="145">
        <v>40426</v>
      </c>
      <c r="B2344" s="144">
        <v>1.2834000000000001</v>
      </c>
      <c r="C2344" s="144">
        <v>39.381999999999998</v>
      </c>
      <c r="D2344" s="144">
        <v>7.8890000000000002</v>
      </c>
      <c r="E2344" s="144">
        <v>108.38</v>
      </c>
      <c r="F2344" s="144">
        <v>0.83320000000000005</v>
      </c>
      <c r="G2344" s="144">
        <v>1.3043</v>
      </c>
      <c r="I2344" s="144">
        <v>1</v>
      </c>
      <c r="J2344" s="145">
        <f t="shared" si="269"/>
        <v>40426</v>
      </c>
      <c r="K2344" s="144">
        <f t="shared" ca="1" si="272"/>
        <v>1.0162848683185288</v>
      </c>
      <c r="L2344" s="144">
        <f t="shared" ca="1" si="272"/>
        <v>0.64921302789465485</v>
      </c>
      <c r="M2344" s="144">
        <f t="shared" ca="1" si="272"/>
        <v>84.447561165653724</v>
      </c>
      <c r="N2344" s="144">
        <f t="shared" ca="1" si="272"/>
        <v>6.1469534050179213</v>
      </c>
      <c r="O2344" s="144">
        <f t="shared" ca="1" si="272"/>
        <v>30.685678666043319</v>
      </c>
      <c r="P2344" s="144">
        <f t="shared" ca="1" si="272"/>
        <v>1</v>
      </c>
      <c r="Q2344" s="144">
        <f t="shared" ca="1" si="272"/>
        <v>0.77918030232195723</v>
      </c>
    </row>
    <row r="2345" spans="1:17" x14ac:dyDescent="0.25">
      <c r="A2345" s="145">
        <v>40425</v>
      </c>
      <c r="B2345" s="144">
        <v>1.2834000000000001</v>
      </c>
      <c r="C2345" s="144">
        <v>39.381999999999998</v>
      </c>
      <c r="D2345" s="144">
        <v>7.8890000000000002</v>
      </c>
      <c r="E2345" s="144">
        <v>108.38</v>
      </c>
      <c r="F2345" s="144">
        <v>0.83320000000000005</v>
      </c>
      <c r="G2345" s="144">
        <v>1.3043</v>
      </c>
      <c r="I2345" s="144">
        <v>1</v>
      </c>
      <c r="J2345" s="145">
        <f t="shared" si="269"/>
        <v>40425</v>
      </c>
      <c r="K2345" s="144">
        <f t="shared" ref="K2345:Q2354" ca="1" si="273">OFFSET($A2345,0,K$3)/OFFSET($A2345,0,$P$3)</f>
        <v>1.0162848683185288</v>
      </c>
      <c r="L2345" s="144">
        <f t="shared" ca="1" si="273"/>
        <v>0.64921302789465485</v>
      </c>
      <c r="M2345" s="144">
        <f t="shared" ca="1" si="273"/>
        <v>84.447561165653724</v>
      </c>
      <c r="N2345" s="144">
        <f t="shared" ca="1" si="273"/>
        <v>6.1469534050179213</v>
      </c>
      <c r="O2345" s="144">
        <f t="shared" ca="1" si="273"/>
        <v>30.685678666043319</v>
      </c>
      <c r="P2345" s="144">
        <f t="shared" ca="1" si="273"/>
        <v>1</v>
      </c>
      <c r="Q2345" s="144">
        <f t="shared" ca="1" si="273"/>
        <v>0.77918030232195723</v>
      </c>
    </row>
    <row r="2346" spans="1:17" x14ac:dyDescent="0.25">
      <c r="A2346" s="145">
        <v>40424</v>
      </c>
      <c r="B2346" s="144">
        <v>1.2834000000000001</v>
      </c>
      <c r="C2346" s="144">
        <v>39.381999999999998</v>
      </c>
      <c r="D2346" s="144">
        <v>7.8890000000000002</v>
      </c>
      <c r="E2346" s="144">
        <v>108.38</v>
      </c>
      <c r="F2346" s="144">
        <v>0.83320000000000005</v>
      </c>
      <c r="G2346" s="144">
        <v>1.3043</v>
      </c>
      <c r="I2346" s="144">
        <v>1</v>
      </c>
      <c r="J2346" s="145">
        <f t="shared" si="269"/>
        <v>40424</v>
      </c>
      <c r="K2346" s="144">
        <f t="shared" ca="1" si="273"/>
        <v>1.0162848683185288</v>
      </c>
      <c r="L2346" s="144">
        <f t="shared" ca="1" si="273"/>
        <v>0.64921302789465485</v>
      </c>
      <c r="M2346" s="144">
        <f t="shared" ca="1" si="273"/>
        <v>84.447561165653724</v>
      </c>
      <c r="N2346" s="144">
        <f t="shared" ca="1" si="273"/>
        <v>6.1469534050179213</v>
      </c>
      <c r="O2346" s="144">
        <f t="shared" ca="1" si="273"/>
        <v>30.685678666043319</v>
      </c>
      <c r="P2346" s="144">
        <f t="shared" ca="1" si="273"/>
        <v>1</v>
      </c>
      <c r="Q2346" s="144">
        <f t="shared" ca="1" si="273"/>
        <v>0.77918030232195723</v>
      </c>
    </row>
    <row r="2347" spans="1:17" x14ac:dyDescent="0.25">
      <c r="A2347" s="145">
        <v>40423</v>
      </c>
      <c r="B2347" s="144">
        <v>1.2818000000000001</v>
      </c>
      <c r="C2347" s="144">
        <v>39.387999999999998</v>
      </c>
      <c r="D2347" s="144">
        <v>7.9009999999999998</v>
      </c>
      <c r="E2347" s="144">
        <v>107.81</v>
      </c>
      <c r="F2347" s="144">
        <v>0.83274999999999999</v>
      </c>
      <c r="G2347" s="144">
        <v>1.2952999999999999</v>
      </c>
      <c r="I2347" s="144">
        <v>1</v>
      </c>
      <c r="J2347" s="145">
        <f t="shared" si="269"/>
        <v>40423</v>
      </c>
      <c r="K2347" s="144">
        <f t="shared" ca="1" si="273"/>
        <v>1.0105320642845996</v>
      </c>
      <c r="L2347" s="144">
        <f t="shared" ca="1" si="273"/>
        <v>0.64967233577781247</v>
      </c>
      <c r="M2347" s="144">
        <f t="shared" ca="1" si="273"/>
        <v>84.108285223903877</v>
      </c>
      <c r="N2347" s="144">
        <f t="shared" ca="1" si="273"/>
        <v>6.1639881416757678</v>
      </c>
      <c r="O2347" s="144">
        <f t="shared" ca="1" si="273"/>
        <v>30.728662817912308</v>
      </c>
      <c r="P2347" s="144">
        <f t="shared" ca="1" si="273"/>
        <v>1</v>
      </c>
      <c r="Q2347" s="144">
        <f t="shared" ca="1" si="273"/>
        <v>0.78015290997035414</v>
      </c>
    </row>
    <row r="2348" spans="1:17" x14ac:dyDescent="0.25">
      <c r="A2348" s="145">
        <v>40422</v>
      </c>
      <c r="B2348" s="144">
        <v>1.28</v>
      </c>
      <c r="C2348" s="144">
        <v>39.357199999999999</v>
      </c>
      <c r="D2348" s="144">
        <v>7.9424999999999999</v>
      </c>
      <c r="E2348" s="144">
        <v>107.54</v>
      </c>
      <c r="F2348" s="144">
        <v>0.83104999999999996</v>
      </c>
      <c r="G2348" s="144">
        <v>1.2967</v>
      </c>
      <c r="I2348" s="144">
        <v>1</v>
      </c>
      <c r="J2348" s="145">
        <f t="shared" si="269"/>
        <v>40422</v>
      </c>
      <c r="K2348" s="144">
        <f t="shared" ca="1" si="273"/>
        <v>1.0130468749999999</v>
      </c>
      <c r="L2348" s="144">
        <f t="shared" ca="1" si="273"/>
        <v>0.64925781249999992</v>
      </c>
      <c r="M2348" s="144">
        <f t="shared" ca="1" si="273"/>
        <v>84.015625</v>
      </c>
      <c r="N2348" s="144">
        <f t="shared" ca="1" si="273"/>
        <v>6.205078125</v>
      </c>
      <c r="O2348" s="144">
        <f t="shared" ca="1" si="273"/>
        <v>30.747812499999998</v>
      </c>
      <c r="P2348" s="144">
        <f t="shared" ca="1" si="273"/>
        <v>1</v>
      </c>
      <c r="Q2348" s="144">
        <f t="shared" ca="1" si="273"/>
        <v>0.78125</v>
      </c>
    </row>
    <row r="2349" spans="1:17" x14ac:dyDescent="0.25">
      <c r="A2349" s="145">
        <v>40421</v>
      </c>
      <c r="B2349" s="144">
        <v>1.268</v>
      </c>
      <c r="C2349" s="144">
        <v>39.1038</v>
      </c>
      <c r="D2349" s="144">
        <v>8.0244999999999997</v>
      </c>
      <c r="E2349" s="144">
        <v>107.07</v>
      </c>
      <c r="F2349" s="144">
        <v>0.82479999999999998</v>
      </c>
      <c r="G2349" s="144">
        <v>1.2935000000000001</v>
      </c>
      <c r="I2349" s="144">
        <v>1</v>
      </c>
      <c r="J2349" s="145">
        <f t="shared" si="269"/>
        <v>40421</v>
      </c>
      <c r="K2349" s="144">
        <f t="shared" ca="1" si="273"/>
        <v>1.0201104100946372</v>
      </c>
      <c r="L2349" s="144">
        <f t="shared" ca="1" si="273"/>
        <v>0.65047318611987381</v>
      </c>
      <c r="M2349" s="144">
        <f t="shared" ca="1" si="273"/>
        <v>84.440063091482642</v>
      </c>
      <c r="N2349" s="144">
        <f t="shared" ca="1" si="273"/>
        <v>6.3284700315457414</v>
      </c>
      <c r="O2349" s="144">
        <f t="shared" ca="1" si="273"/>
        <v>30.838958990536277</v>
      </c>
      <c r="P2349" s="144">
        <f t="shared" ca="1" si="273"/>
        <v>1</v>
      </c>
      <c r="Q2349" s="144">
        <f t="shared" ca="1" si="273"/>
        <v>0.78864353312302837</v>
      </c>
    </row>
    <row r="2350" spans="1:17" x14ac:dyDescent="0.25">
      <c r="A2350" s="145">
        <v>40420</v>
      </c>
      <c r="B2350" s="144">
        <v>1.27</v>
      </c>
      <c r="C2350" s="144">
        <v>39.004600000000003</v>
      </c>
      <c r="D2350" s="144">
        <v>7.9649999999999999</v>
      </c>
      <c r="E2350" s="144">
        <v>107.54</v>
      </c>
      <c r="F2350" s="144">
        <v>0.8165</v>
      </c>
      <c r="G2350" s="144">
        <v>1.3055000000000001</v>
      </c>
      <c r="I2350" s="144">
        <v>1</v>
      </c>
      <c r="J2350" s="145">
        <f t="shared" si="269"/>
        <v>40420</v>
      </c>
      <c r="K2350" s="144">
        <f t="shared" ca="1" si="273"/>
        <v>1.0279527559055119</v>
      </c>
      <c r="L2350" s="144">
        <f t="shared" ca="1" si="273"/>
        <v>0.6429133858267716</v>
      </c>
      <c r="M2350" s="144">
        <f t="shared" ca="1" si="273"/>
        <v>84.677165354330711</v>
      </c>
      <c r="N2350" s="144">
        <f t="shared" ca="1" si="273"/>
        <v>6.2716535433070861</v>
      </c>
      <c r="O2350" s="144">
        <f t="shared" ca="1" si="273"/>
        <v>30.71228346456693</v>
      </c>
      <c r="P2350" s="144">
        <f t="shared" ca="1" si="273"/>
        <v>1</v>
      </c>
      <c r="Q2350" s="144">
        <f t="shared" ca="1" si="273"/>
        <v>0.78740157480314954</v>
      </c>
    </row>
    <row r="2351" spans="1:17" x14ac:dyDescent="0.25">
      <c r="A2351" s="145">
        <v>40419</v>
      </c>
      <c r="B2351" s="144">
        <v>1.2713000000000001</v>
      </c>
      <c r="C2351" s="144">
        <v>39.07</v>
      </c>
      <c r="D2351" s="144">
        <v>7.9785000000000004</v>
      </c>
      <c r="E2351" s="144">
        <v>107.74</v>
      </c>
      <c r="F2351" s="144">
        <v>0.8206</v>
      </c>
      <c r="G2351" s="144">
        <v>1.3004</v>
      </c>
      <c r="I2351" s="144">
        <v>1</v>
      </c>
      <c r="J2351" s="145">
        <f t="shared" si="269"/>
        <v>40419</v>
      </c>
      <c r="K2351" s="144">
        <f t="shared" ca="1" si="273"/>
        <v>1.0228899551640054</v>
      </c>
      <c r="L2351" s="144">
        <f t="shared" ca="1" si="273"/>
        <v>0.64548100369700301</v>
      </c>
      <c r="M2351" s="144">
        <f t="shared" ca="1" si="273"/>
        <v>84.74789585463698</v>
      </c>
      <c r="N2351" s="144">
        <f t="shared" ca="1" si="273"/>
        <v>6.2758593565641467</v>
      </c>
      <c r="O2351" s="144">
        <f t="shared" ca="1" si="273"/>
        <v>30.732321245968691</v>
      </c>
      <c r="P2351" s="144">
        <f t="shared" ca="1" si="273"/>
        <v>1</v>
      </c>
      <c r="Q2351" s="144">
        <f t="shared" ca="1" si="273"/>
        <v>0.78659639738849985</v>
      </c>
    </row>
    <row r="2352" spans="1:17" x14ac:dyDescent="0.25">
      <c r="A2352" s="145">
        <v>40418</v>
      </c>
      <c r="B2352" s="144">
        <v>1.2713000000000001</v>
      </c>
      <c r="C2352" s="144">
        <v>39.07</v>
      </c>
      <c r="D2352" s="144">
        <v>7.9785000000000004</v>
      </c>
      <c r="E2352" s="144">
        <v>107.74</v>
      </c>
      <c r="F2352" s="144">
        <v>0.8206</v>
      </c>
      <c r="G2352" s="144">
        <v>1.3004</v>
      </c>
      <c r="I2352" s="144">
        <v>1</v>
      </c>
      <c r="J2352" s="145">
        <f t="shared" si="269"/>
        <v>40418</v>
      </c>
      <c r="K2352" s="144">
        <f t="shared" ca="1" si="273"/>
        <v>1.0228899551640054</v>
      </c>
      <c r="L2352" s="144">
        <f t="shared" ca="1" si="273"/>
        <v>0.64548100369700301</v>
      </c>
      <c r="M2352" s="144">
        <f t="shared" ca="1" si="273"/>
        <v>84.74789585463698</v>
      </c>
      <c r="N2352" s="144">
        <f t="shared" ca="1" si="273"/>
        <v>6.2758593565641467</v>
      </c>
      <c r="O2352" s="144">
        <f t="shared" ca="1" si="273"/>
        <v>30.732321245968691</v>
      </c>
      <c r="P2352" s="144">
        <f t="shared" ca="1" si="273"/>
        <v>1</v>
      </c>
      <c r="Q2352" s="144">
        <f t="shared" ca="1" si="273"/>
        <v>0.78659639738849985</v>
      </c>
    </row>
    <row r="2353" spans="1:17" x14ac:dyDescent="0.25">
      <c r="A2353" s="145">
        <v>40417</v>
      </c>
      <c r="B2353" s="144">
        <v>1.2713000000000001</v>
      </c>
      <c r="C2353" s="144">
        <v>39.07</v>
      </c>
      <c r="D2353" s="144">
        <v>7.9785000000000004</v>
      </c>
      <c r="E2353" s="144">
        <v>107.74</v>
      </c>
      <c r="F2353" s="144">
        <v>0.8206</v>
      </c>
      <c r="G2353" s="144">
        <v>1.3004</v>
      </c>
      <c r="I2353" s="144">
        <v>1</v>
      </c>
      <c r="J2353" s="145">
        <f t="shared" si="269"/>
        <v>40417</v>
      </c>
      <c r="K2353" s="144">
        <f t="shared" ca="1" si="273"/>
        <v>1.0228899551640054</v>
      </c>
      <c r="L2353" s="144">
        <f t="shared" ca="1" si="273"/>
        <v>0.64548100369700301</v>
      </c>
      <c r="M2353" s="144">
        <f t="shared" ca="1" si="273"/>
        <v>84.74789585463698</v>
      </c>
      <c r="N2353" s="144">
        <f t="shared" ca="1" si="273"/>
        <v>6.2758593565641467</v>
      </c>
      <c r="O2353" s="144">
        <f t="shared" ca="1" si="273"/>
        <v>30.732321245968691</v>
      </c>
      <c r="P2353" s="144">
        <f t="shared" ca="1" si="273"/>
        <v>1</v>
      </c>
      <c r="Q2353" s="144">
        <f t="shared" ca="1" si="273"/>
        <v>0.78659639738849985</v>
      </c>
    </row>
    <row r="2354" spans="1:17" x14ac:dyDescent="0.25">
      <c r="A2354" s="145">
        <v>40416</v>
      </c>
      <c r="B2354" s="144">
        <v>1.2693000000000001</v>
      </c>
      <c r="C2354" s="144">
        <v>39.088999999999999</v>
      </c>
      <c r="D2354" s="144">
        <v>8.0039999999999996</v>
      </c>
      <c r="E2354" s="144">
        <v>107.15</v>
      </c>
      <c r="F2354" s="144">
        <v>0.81745000000000001</v>
      </c>
      <c r="G2354" s="144">
        <v>1.3027</v>
      </c>
      <c r="I2354" s="144">
        <v>1</v>
      </c>
      <c r="J2354" s="145">
        <f t="shared" si="269"/>
        <v>40416</v>
      </c>
      <c r="K2354" s="144">
        <f t="shared" ca="1" si="273"/>
        <v>1.0263137162215394</v>
      </c>
      <c r="L2354" s="144">
        <f t="shared" ca="1" si="273"/>
        <v>0.64401638698495234</v>
      </c>
      <c r="M2354" s="144">
        <f t="shared" ca="1" si="273"/>
        <v>84.416607578980532</v>
      </c>
      <c r="N2354" s="144">
        <f t="shared" ca="1" si="273"/>
        <v>6.3058378633892689</v>
      </c>
      <c r="O2354" s="144">
        <f t="shared" ca="1" si="273"/>
        <v>30.79571417316631</v>
      </c>
      <c r="P2354" s="144">
        <f t="shared" ca="1" si="273"/>
        <v>1</v>
      </c>
      <c r="Q2354" s="144">
        <f t="shared" ca="1" si="273"/>
        <v>0.78783581501615052</v>
      </c>
    </row>
    <row r="2355" spans="1:17" x14ac:dyDescent="0.25">
      <c r="A2355" s="145">
        <v>40415</v>
      </c>
      <c r="B2355" s="144">
        <v>1.2613000000000001</v>
      </c>
      <c r="C2355" s="144">
        <v>39.029000000000003</v>
      </c>
      <c r="D2355" s="144">
        <v>8.0165000000000006</v>
      </c>
      <c r="E2355" s="144">
        <v>106.49</v>
      </c>
      <c r="F2355" s="144">
        <v>0.81850000000000001</v>
      </c>
      <c r="G2355" s="144">
        <v>1.2994000000000001</v>
      </c>
      <c r="I2355" s="144">
        <v>1</v>
      </c>
      <c r="J2355" s="145">
        <f t="shared" si="269"/>
        <v>40415</v>
      </c>
      <c r="K2355" s="144">
        <f t="shared" ref="K2355:Q2364" ca="1" si="274">OFFSET($A2355,0,K$3)/OFFSET($A2355,0,$P$3)</f>
        <v>1.0302069293585983</v>
      </c>
      <c r="L2355" s="144">
        <f t="shared" ca="1" si="274"/>
        <v>0.64893363989534603</v>
      </c>
      <c r="M2355" s="144">
        <f t="shared" ca="1" si="274"/>
        <v>84.428763973677945</v>
      </c>
      <c r="N2355" s="144">
        <f t="shared" ca="1" si="274"/>
        <v>6.3557440735748827</v>
      </c>
      <c r="O2355" s="144">
        <f t="shared" ca="1" si="274"/>
        <v>30.943471021961468</v>
      </c>
      <c r="P2355" s="144">
        <f t="shared" ca="1" si="274"/>
        <v>1</v>
      </c>
      <c r="Q2355" s="144">
        <f t="shared" ca="1" si="274"/>
        <v>0.79283279156425901</v>
      </c>
    </row>
    <row r="2356" spans="1:17" x14ac:dyDescent="0.25">
      <c r="A2356" s="145">
        <v>40414</v>
      </c>
      <c r="B2356" s="144">
        <v>1.2611000000000001</v>
      </c>
      <c r="C2356" s="144">
        <v>38.965499999999999</v>
      </c>
      <c r="D2356" s="144">
        <v>7.9409999999999998</v>
      </c>
      <c r="E2356" s="144">
        <v>106.19</v>
      </c>
      <c r="F2356" s="144">
        <v>0.81930000000000003</v>
      </c>
      <c r="G2356" s="144">
        <v>1.3156000000000001</v>
      </c>
      <c r="I2356" s="144">
        <v>1</v>
      </c>
      <c r="J2356" s="145">
        <f t="shared" si="269"/>
        <v>40414</v>
      </c>
      <c r="K2356" s="144">
        <f t="shared" ca="1" si="274"/>
        <v>1.043216239790659</v>
      </c>
      <c r="L2356" s="144">
        <f t="shared" ca="1" si="274"/>
        <v>0.64967092221076839</v>
      </c>
      <c r="M2356" s="144">
        <f t="shared" ca="1" si="274"/>
        <v>84.204266116882081</v>
      </c>
      <c r="N2356" s="144">
        <f t="shared" ca="1" si="274"/>
        <v>6.2968836729839026</v>
      </c>
      <c r="O2356" s="144">
        <f t="shared" ca="1" si="274"/>
        <v>30.898025533264608</v>
      </c>
      <c r="P2356" s="144">
        <f t="shared" ca="1" si="274"/>
        <v>1</v>
      </c>
      <c r="Q2356" s="144">
        <f t="shared" ca="1" si="274"/>
        <v>0.79295852826897151</v>
      </c>
    </row>
    <row r="2357" spans="1:17" x14ac:dyDescent="0.25">
      <c r="A2357" s="145">
        <v>40413</v>
      </c>
      <c r="B2357" s="144">
        <v>1.2704</v>
      </c>
      <c r="C2357" s="144">
        <v>38.912999999999997</v>
      </c>
      <c r="D2357" s="144">
        <v>7.9029999999999996</v>
      </c>
      <c r="E2357" s="144">
        <v>108.23</v>
      </c>
      <c r="F2357" s="144">
        <v>0.81689999999999996</v>
      </c>
      <c r="G2357" s="144">
        <v>1.3160000000000001</v>
      </c>
      <c r="I2357" s="144">
        <v>1</v>
      </c>
      <c r="J2357" s="145">
        <f t="shared" si="269"/>
        <v>40413</v>
      </c>
      <c r="K2357" s="144">
        <f t="shared" ca="1" si="274"/>
        <v>1.0358942065491183</v>
      </c>
      <c r="L2357" s="144">
        <f t="shared" ca="1" si="274"/>
        <v>0.64302581863979846</v>
      </c>
      <c r="M2357" s="144">
        <f t="shared" ca="1" si="274"/>
        <v>85.193639798488675</v>
      </c>
      <c r="N2357" s="144">
        <f t="shared" ca="1" si="274"/>
        <v>6.2208753148614608</v>
      </c>
      <c r="O2357" s="144">
        <f t="shared" ca="1" si="274"/>
        <v>30.63051007556675</v>
      </c>
      <c r="P2357" s="144">
        <f t="shared" ca="1" si="274"/>
        <v>1</v>
      </c>
      <c r="Q2357" s="144">
        <f t="shared" ca="1" si="274"/>
        <v>0.7871536523929471</v>
      </c>
    </row>
    <row r="2358" spans="1:17" x14ac:dyDescent="0.25">
      <c r="A2358" s="145">
        <v>40412</v>
      </c>
      <c r="B2358" s="144">
        <v>1.2710999999999999</v>
      </c>
      <c r="C2358" s="144">
        <v>38.919899999999998</v>
      </c>
      <c r="D2358" s="144">
        <v>7.9640000000000004</v>
      </c>
      <c r="E2358" s="144">
        <v>108.54</v>
      </c>
      <c r="F2358" s="144">
        <v>0.81910000000000005</v>
      </c>
      <c r="G2358" s="144">
        <v>1.3150999999999999</v>
      </c>
      <c r="I2358" s="144">
        <v>1</v>
      </c>
      <c r="J2358" s="145">
        <f t="shared" si="269"/>
        <v>40412</v>
      </c>
      <c r="K2358" s="144">
        <f t="shared" ca="1" si="274"/>
        <v>1.0346156872000629</v>
      </c>
      <c r="L2358" s="144">
        <f t="shared" ca="1" si="274"/>
        <v>0.64440248603571715</v>
      </c>
      <c r="M2358" s="144">
        <f t="shared" ca="1" si="274"/>
        <v>85.390606561246173</v>
      </c>
      <c r="N2358" s="144">
        <f t="shared" ca="1" si="274"/>
        <v>6.2654393832113922</v>
      </c>
      <c r="O2358" s="144">
        <f t="shared" ca="1" si="274"/>
        <v>30.619070096766581</v>
      </c>
      <c r="P2358" s="144">
        <f t="shared" ca="1" si="274"/>
        <v>1</v>
      </c>
      <c r="Q2358" s="144">
        <f t="shared" ca="1" si="274"/>
        <v>0.78672016363779407</v>
      </c>
    </row>
    <row r="2359" spans="1:17" x14ac:dyDescent="0.25">
      <c r="A2359" s="145">
        <v>40411</v>
      </c>
      <c r="B2359" s="144">
        <v>1.2710999999999999</v>
      </c>
      <c r="C2359" s="144">
        <v>38.919899999999998</v>
      </c>
      <c r="D2359" s="144">
        <v>7.9640000000000004</v>
      </c>
      <c r="E2359" s="144">
        <v>108.54</v>
      </c>
      <c r="F2359" s="144">
        <v>0.81910000000000005</v>
      </c>
      <c r="G2359" s="144">
        <v>1.3150999999999999</v>
      </c>
      <c r="I2359" s="144">
        <v>1</v>
      </c>
      <c r="J2359" s="145">
        <f t="shared" si="269"/>
        <v>40411</v>
      </c>
      <c r="K2359" s="144">
        <f t="shared" ca="1" si="274"/>
        <v>1.0346156872000629</v>
      </c>
      <c r="L2359" s="144">
        <f t="shared" ca="1" si="274"/>
        <v>0.64440248603571715</v>
      </c>
      <c r="M2359" s="144">
        <f t="shared" ca="1" si="274"/>
        <v>85.390606561246173</v>
      </c>
      <c r="N2359" s="144">
        <f t="shared" ca="1" si="274"/>
        <v>6.2654393832113922</v>
      </c>
      <c r="O2359" s="144">
        <f t="shared" ca="1" si="274"/>
        <v>30.619070096766581</v>
      </c>
      <c r="P2359" s="144">
        <f t="shared" ca="1" si="274"/>
        <v>1</v>
      </c>
      <c r="Q2359" s="144">
        <f t="shared" ca="1" si="274"/>
        <v>0.78672016363779407</v>
      </c>
    </row>
    <row r="2360" spans="1:17" x14ac:dyDescent="0.25">
      <c r="A2360" s="145">
        <v>40410</v>
      </c>
      <c r="B2360" s="144">
        <v>1.2710999999999999</v>
      </c>
      <c r="C2360" s="144">
        <v>38.919899999999998</v>
      </c>
      <c r="D2360" s="144">
        <v>7.9640000000000004</v>
      </c>
      <c r="E2360" s="144">
        <v>108.54</v>
      </c>
      <c r="F2360" s="144">
        <v>0.81910000000000005</v>
      </c>
      <c r="G2360" s="144">
        <v>1.3150999999999999</v>
      </c>
      <c r="I2360" s="144">
        <v>1</v>
      </c>
      <c r="J2360" s="145">
        <f t="shared" si="269"/>
        <v>40410</v>
      </c>
      <c r="K2360" s="144">
        <f t="shared" ca="1" si="274"/>
        <v>1.0346156872000629</v>
      </c>
      <c r="L2360" s="144">
        <f t="shared" ca="1" si="274"/>
        <v>0.64440248603571715</v>
      </c>
      <c r="M2360" s="144">
        <f t="shared" ca="1" si="274"/>
        <v>85.390606561246173</v>
      </c>
      <c r="N2360" s="144">
        <f t="shared" ca="1" si="274"/>
        <v>6.2654393832113922</v>
      </c>
      <c r="O2360" s="144">
        <f t="shared" ca="1" si="274"/>
        <v>30.619070096766581</v>
      </c>
      <c r="P2360" s="144">
        <f t="shared" ca="1" si="274"/>
        <v>1</v>
      </c>
      <c r="Q2360" s="144">
        <f t="shared" ca="1" si="274"/>
        <v>0.78672016363779407</v>
      </c>
    </row>
    <row r="2361" spans="1:17" x14ac:dyDescent="0.25">
      <c r="A2361" s="145">
        <v>40409</v>
      </c>
      <c r="B2361" s="144">
        <v>1.2836000000000001</v>
      </c>
      <c r="C2361" s="144">
        <v>39.090800000000002</v>
      </c>
      <c r="D2361" s="144">
        <v>7.8944999999999999</v>
      </c>
      <c r="E2361" s="144">
        <v>109.82</v>
      </c>
      <c r="F2361" s="144">
        <v>0.82055</v>
      </c>
      <c r="G2361" s="144">
        <v>1.3331</v>
      </c>
      <c r="I2361" s="144">
        <v>1</v>
      </c>
      <c r="J2361" s="145">
        <f t="shared" si="269"/>
        <v>40409</v>
      </c>
      <c r="K2361" s="144">
        <f t="shared" ca="1" si="274"/>
        <v>1.0385634153942036</v>
      </c>
      <c r="L2361" s="144">
        <f t="shared" ca="1" si="274"/>
        <v>0.63925677781240253</v>
      </c>
      <c r="M2361" s="144">
        <f t="shared" ca="1" si="274"/>
        <v>85.556248052352743</v>
      </c>
      <c r="N2361" s="144">
        <f t="shared" ca="1" si="274"/>
        <v>6.1502804612028665</v>
      </c>
      <c r="O2361" s="144">
        <f t="shared" ca="1" si="274"/>
        <v>30.454035525085697</v>
      </c>
      <c r="P2361" s="144">
        <f t="shared" ca="1" si="274"/>
        <v>1</v>
      </c>
      <c r="Q2361" s="144">
        <f t="shared" ca="1" si="274"/>
        <v>0.77905889685260199</v>
      </c>
    </row>
    <row r="2362" spans="1:17" x14ac:dyDescent="0.25">
      <c r="A2362" s="145">
        <v>40408</v>
      </c>
      <c r="B2362" s="144">
        <v>1.288</v>
      </c>
      <c r="C2362" s="144">
        <v>39.1614</v>
      </c>
      <c r="D2362" s="144">
        <v>7.93</v>
      </c>
      <c r="E2362" s="144">
        <v>109.93</v>
      </c>
      <c r="F2362" s="144">
        <v>0.82330000000000003</v>
      </c>
      <c r="G2362" s="144">
        <v>1.3423</v>
      </c>
      <c r="I2362" s="144">
        <v>1</v>
      </c>
      <c r="J2362" s="145">
        <f t="shared" si="269"/>
        <v>40408</v>
      </c>
      <c r="K2362" s="144">
        <f t="shared" ca="1" si="274"/>
        <v>1.0421583850931677</v>
      </c>
      <c r="L2362" s="144">
        <f t="shared" ca="1" si="274"/>
        <v>0.63920807453416151</v>
      </c>
      <c r="M2362" s="144">
        <f t="shared" ca="1" si="274"/>
        <v>85.349378881987576</v>
      </c>
      <c r="N2362" s="144">
        <f t="shared" ca="1" si="274"/>
        <v>6.1568322981366457</v>
      </c>
      <c r="O2362" s="144">
        <f t="shared" ca="1" si="274"/>
        <v>30.404813664596272</v>
      </c>
      <c r="P2362" s="144">
        <f t="shared" ca="1" si="274"/>
        <v>1</v>
      </c>
      <c r="Q2362" s="144">
        <f t="shared" ca="1" si="274"/>
        <v>0.77639751552795033</v>
      </c>
    </row>
    <row r="2363" spans="1:17" x14ac:dyDescent="0.25">
      <c r="A2363" s="145">
        <v>40407</v>
      </c>
      <c r="B2363" s="144">
        <v>1.286</v>
      </c>
      <c r="C2363" s="144">
        <v>39.114400000000003</v>
      </c>
      <c r="D2363" s="144">
        <v>7.9065000000000003</v>
      </c>
      <c r="E2363" s="144">
        <v>109.66</v>
      </c>
      <c r="F2363" s="144">
        <v>0.82299999999999995</v>
      </c>
      <c r="G2363" s="144">
        <v>1.3411</v>
      </c>
      <c r="I2363" s="144">
        <v>1</v>
      </c>
      <c r="J2363" s="145">
        <f t="shared" si="269"/>
        <v>40407</v>
      </c>
      <c r="K2363" s="144">
        <f t="shared" ca="1" si="274"/>
        <v>1.0428460342146189</v>
      </c>
      <c r="L2363" s="144">
        <f t="shared" ca="1" si="274"/>
        <v>0.63996889580093308</v>
      </c>
      <c r="M2363" s="144">
        <f t="shared" ca="1" si="274"/>
        <v>85.272161741835149</v>
      </c>
      <c r="N2363" s="144">
        <f t="shared" ca="1" si="274"/>
        <v>6.1481337480559874</v>
      </c>
      <c r="O2363" s="144">
        <f t="shared" ca="1" si="274"/>
        <v>30.415552099533439</v>
      </c>
      <c r="P2363" s="144">
        <f t="shared" ca="1" si="274"/>
        <v>1</v>
      </c>
      <c r="Q2363" s="144">
        <f t="shared" ca="1" si="274"/>
        <v>0.77760497667185069</v>
      </c>
    </row>
    <row r="2364" spans="1:17" x14ac:dyDescent="0.25">
      <c r="A2364" s="145">
        <v>40406</v>
      </c>
      <c r="B2364" s="144">
        <v>1.282</v>
      </c>
      <c r="C2364" s="144">
        <v>39.1325</v>
      </c>
      <c r="D2364" s="144">
        <v>7.9539999999999997</v>
      </c>
      <c r="E2364" s="144">
        <v>109.49</v>
      </c>
      <c r="F2364" s="144">
        <v>0.82110000000000005</v>
      </c>
      <c r="G2364" s="144">
        <v>1.335</v>
      </c>
      <c r="I2364" s="144">
        <v>1</v>
      </c>
      <c r="J2364" s="145">
        <f t="shared" si="269"/>
        <v>40406</v>
      </c>
      <c r="K2364" s="144">
        <f t="shared" ca="1" si="274"/>
        <v>1.0413416536661466</v>
      </c>
      <c r="L2364" s="144">
        <f t="shared" ca="1" si="274"/>
        <v>0.64048361934477382</v>
      </c>
      <c r="M2364" s="144">
        <f t="shared" ca="1" si="274"/>
        <v>85.405616224648981</v>
      </c>
      <c r="N2364" s="144">
        <f t="shared" ca="1" si="274"/>
        <v>6.204368174726989</v>
      </c>
      <c r="O2364" s="144">
        <f t="shared" ca="1" si="274"/>
        <v>30.524570982839315</v>
      </c>
      <c r="P2364" s="144">
        <f t="shared" ca="1" si="274"/>
        <v>1</v>
      </c>
      <c r="Q2364" s="144">
        <f t="shared" ca="1" si="274"/>
        <v>0.78003120124804992</v>
      </c>
    </row>
    <row r="2365" spans="1:17" x14ac:dyDescent="0.25">
      <c r="A2365" s="145">
        <v>40405</v>
      </c>
      <c r="B2365" s="144">
        <v>1.2799</v>
      </c>
      <c r="C2365" s="144">
        <v>39.118299999999998</v>
      </c>
      <c r="D2365" s="144">
        <v>7.9260000000000002</v>
      </c>
      <c r="E2365" s="144">
        <v>109.78</v>
      </c>
      <c r="F2365" s="144">
        <v>0.82120000000000004</v>
      </c>
      <c r="G2365" s="144">
        <v>1.3488</v>
      </c>
      <c r="I2365" s="144">
        <v>1</v>
      </c>
      <c r="J2365" s="145">
        <f t="shared" si="269"/>
        <v>40405</v>
      </c>
      <c r="K2365" s="144">
        <f t="shared" ref="K2365:Q2374" ca="1" si="275">OFFSET($A2365,0,K$3)/OFFSET($A2365,0,$P$3)</f>
        <v>1.0538323306508321</v>
      </c>
      <c r="L2365" s="144">
        <f t="shared" ca="1" si="275"/>
        <v>0.64161262598640523</v>
      </c>
      <c r="M2365" s="144">
        <f t="shared" ca="1" si="275"/>
        <v>85.772325962965851</v>
      </c>
      <c r="N2365" s="144">
        <f t="shared" ca="1" si="275"/>
        <v>6.1926713024455031</v>
      </c>
      <c r="O2365" s="144">
        <f t="shared" ca="1" si="275"/>
        <v>30.563559653097897</v>
      </c>
      <c r="P2365" s="144">
        <f t="shared" ca="1" si="275"/>
        <v>1</v>
      </c>
      <c r="Q2365" s="144">
        <f t="shared" ca="1" si="275"/>
        <v>0.78131103992499407</v>
      </c>
    </row>
    <row r="2366" spans="1:17" x14ac:dyDescent="0.25">
      <c r="A2366" s="145">
        <v>40404</v>
      </c>
      <c r="B2366" s="144">
        <v>1.2799</v>
      </c>
      <c r="C2366" s="144">
        <v>39.118299999999998</v>
      </c>
      <c r="D2366" s="144">
        <v>7.9260000000000002</v>
      </c>
      <c r="E2366" s="144">
        <v>109.78</v>
      </c>
      <c r="F2366" s="144">
        <v>0.82120000000000004</v>
      </c>
      <c r="G2366" s="144">
        <v>1.3488</v>
      </c>
      <c r="I2366" s="144">
        <v>1</v>
      </c>
      <c r="J2366" s="145">
        <f t="shared" si="269"/>
        <v>40404</v>
      </c>
      <c r="K2366" s="144">
        <f t="shared" ca="1" si="275"/>
        <v>1.0538323306508321</v>
      </c>
      <c r="L2366" s="144">
        <f t="shared" ca="1" si="275"/>
        <v>0.64161262598640523</v>
      </c>
      <c r="M2366" s="144">
        <f t="shared" ca="1" si="275"/>
        <v>85.772325962965851</v>
      </c>
      <c r="N2366" s="144">
        <f t="shared" ca="1" si="275"/>
        <v>6.1926713024455031</v>
      </c>
      <c r="O2366" s="144">
        <f t="shared" ca="1" si="275"/>
        <v>30.563559653097897</v>
      </c>
      <c r="P2366" s="144">
        <f t="shared" ca="1" si="275"/>
        <v>1</v>
      </c>
      <c r="Q2366" s="144">
        <f t="shared" ca="1" si="275"/>
        <v>0.78131103992499407</v>
      </c>
    </row>
    <row r="2367" spans="1:17" x14ac:dyDescent="0.25">
      <c r="A2367" s="145">
        <v>40403</v>
      </c>
      <c r="B2367" s="144">
        <v>1.2799</v>
      </c>
      <c r="C2367" s="144">
        <v>39.118299999999998</v>
      </c>
      <c r="D2367" s="144">
        <v>7.9260000000000002</v>
      </c>
      <c r="E2367" s="144">
        <v>109.78</v>
      </c>
      <c r="F2367" s="144">
        <v>0.82120000000000004</v>
      </c>
      <c r="G2367" s="144">
        <v>1.3488</v>
      </c>
      <c r="I2367" s="144">
        <v>1</v>
      </c>
      <c r="J2367" s="145">
        <f t="shared" si="269"/>
        <v>40403</v>
      </c>
      <c r="K2367" s="144">
        <f t="shared" ca="1" si="275"/>
        <v>1.0538323306508321</v>
      </c>
      <c r="L2367" s="144">
        <f t="shared" ca="1" si="275"/>
        <v>0.64161262598640523</v>
      </c>
      <c r="M2367" s="144">
        <f t="shared" ca="1" si="275"/>
        <v>85.772325962965851</v>
      </c>
      <c r="N2367" s="144">
        <f t="shared" ca="1" si="275"/>
        <v>6.1926713024455031</v>
      </c>
      <c r="O2367" s="144">
        <f t="shared" ca="1" si="275"/>
        <v>30.563559653097897</v>
      </c>
      <c r="P2367" s="144">
        <f t="shared" ca="1" si="275"/>
        <v>1</v>
      </c>
      <c r="Q2367" s="144">
        <f t="shared" ca="1" si="275"/>
        <v>0.78131103992499407</v>
      </c>
    </row>
    <row r="2368" spans="1:17" x14ac:dyDescent="0.25">
      <c r="A2368" s="145">
        <v>40402</v>
      </c>
      <c r="B2368" s="144">
        <v>1.2789999999999999</v>
      </c>
      <c r="C2368" s="144">
        <v>39.190600000000003</v>
      </c>
      <c r="D2368" s="144">
        <v>7.9645000000000001</v>
      </c>
      <c r="E2368" s="144">
        <v>109.5</v>
      </c>
      <c r="F2368" s="144">
        <v>0.8206</v>
      </c>
      <c r="G2368" s="144">
        <v>1.3492</v>
      </c>
      <c r="I2368" s="144">
        <v>1</v>
      </c>
      <c r="J2368" s="145">
        <f t="shared" si="269"/>
        <v>40402</v>
      </c>
      <c r="K2368" s="144">
        <f t="shared" ca="1" si="275"/>
        <v>1.0548866301798281</v>
      </c>
      <c r="L2368" s="144">
        <f t="shared" ca="1" si="275"/>
        <v>0.64159499609069592</v>
      </c>
      <c r="M2368" s="144">
        <f t="shared" ca="1" si="275"/>
        <v>85.613760750586408</v>
      </c>
      <c r="N2368" s="144">
        <f t="shared" ca="1" si="275"/>
        <v>6.2271305707584057</v>
      </c>
      <c r="O2368" s="144">
        <f t="shared" ca="1" si="275"/>
        <v>30.641594996090699</v>
      </c>
      <c r="P2368" s="144">
        <f t="shared" ca="1" si="275"/>
        <v>1</v>
      </c>
      <c r="Q2368" s="144">
        <f t="shared" ca="1" si="275"/>
        <v>0.78186082877247853</v>
      </c>
    </row>
    <row r="2369" spans="1:17" x14ac:dyDescent="0.25">
      <c r="A2369" s="145">
        <v>40401</v>
      </c>
      <c r="B2369" s="144">
        <v>1.3016000000000001</v>
      </c>
      <c r="C2369" s="144">
        <v>39.368499999999997</v>
      </c>
      <c r="D2369" s="144">
        <v>7.9664999999999999</v>
      </c>
      <c r="E2369" s="144">
        <v>110.56</v>
      </c>
      <c r="F2369" s="144">
        <v>0.82779999999999998</v>
      </c>
      <c r="G2369" s="144">
        <v>1.3694999999999999</v>
      </c>
      <c r="I2369" s="144">
        <v>1</v>
      </c>
      <c r="J2369" s="145">
        <f t="shared" si="269"/>
        <v>40401</v>
      </c>
      <c r="K2369" s="144">
        <f t="shared" ca="1" si="275"/>
        <v>1.0521665642286415</v>
      </c>
      <c r="L2369" s="144">
        <f t="shared" ca="1" si="275"/>
        <v>0.63598647818070064</v>
      </c>
      <c r="M2369" s="144">
        <f t="shared" ca="1" si="275"/>
        <v>84.941610325752919</v>
      </c>
      <c r="N2369" s="144">
        <f t="shared" ca="1" si="275"/>
        <v>6.120543945912722</v>
      </c>
      <c r="O2369" s="144">
        <f t="shared" ca="1" si="275"/>
        <v>30.246235402581434</v>
      </c>
      <c r="P2369" s="144">
        <f t="shared" ca="1" si="275"/>
        <v>1</v>
      </c>
      <c r="Q2369" s="144">
        <f t="shared" ca="1" si="275"/>
        <v>0.76828518746158569</v>
      </c>
    </row>
    <row r="2370" spans="1:17" x14ac:dyDescent="0.25">
      <c r="A2370" s="145">
        <v>40400</v>
      </c>
      <c r="B2370" s="144">
        <v>1.3132999999999999</v>
      </c>
      <c r="C2370" s="144">
        <v>39.472299999999997</v>
      </c>
      <c r="D2370" s="144">
        <v>7.8979999999999997</v>
      </c>
      <c r="E2370" s="144">
        <v>113.23</v>
      </c>
      <c r="F2370" s="144">
        <v>0.83520000000000005</v>
      </c>
      <c r="G2370" s="144">
        <v>1.3895</v>
      </c>
      <c r="I2370" s="144">
        <v>1</v>
      </c>
      <c r="J2370" s="145">
        <f t="shared" si="269"/>
        <v>40400</v>
      </c>
      <c r="K2370" s="144">
        <f t="shared" ca="1" si="275"/>
        <v>1.0580217772024672</v>
      </c>
      <c r="L2370" s="144">
        <f t="shared" ca="1" si="275"/>
        <v>0.63595522729003284</v>
      </c>
      <c r="M2370" s="144">
        <f t="shared" ca="1" si="275"/>
        <v>86.217924312799823</v>
      </c>
      <c r="N2370" s="144">
        <f t="shared" ca="1" si="275"/>
        <v>6.0138582197517705</v>
      </c>
      <c r="O2370" s="144">
        <f t="shared" ca="1" si="275"/>
        <v>30.05581359932993</v>
      </c>
      <c r="P2370" s="144">
        <f t="shared" ca="1" si="275"/>
        <v>1</v>
      </c>
      <c r="Q2370" s="144">
        <f t="shared" ca="1" si="275"/>
        <v>0.76144064570166758</v>
      </c>
    </row>
    <row r="2371" spans="1:17" x14ac:dyDescent="0.25">
      <c r="A2371" s="145">
        <v>40399</v>
      </c>
      <c r="B2371" s="144">
        <v>1.3252999999999999</v>
      </c>
      <c r="C2371" s="144">
        <v>39.64</v>
      </c>
      <c r="D2371" s="144">
        <v>7.8975</v>
      </c>
      <c r="E2371" s="144">
        <v>113.48</v>
      </c>
      <c r="F2371" s="144">
        <v>0.83040000000000003</v>
      </c>
      <c r="G2371" s="144">
        <v>1.3771</v>
      </c>
      <c r="I2371" s="144">
        <v>1</v>
      </c>
      <c r="J2371" s="145">
        <f t="shared" si="269"/>
        <v>40399</v>
      </c>
      <c r="K2371" s="144">
        <f t="shared" ca="1" si="275"/>
        <v>1.0390854900777182</v>
      </c>
      <c r="L2371" s="144">
        <f t="shared" ca="1" si="275"/>
        <v>0.62657511506828645</v>
      </c>
      <c r="M2371" s="144">
        <f t="shared" ca="1" si="275"/>
        <v>85.625896023541841</v>
      </c>
      <c r="N2371" s="144">
        <f t="shared" ca="1" si="275"/>
        <v>5.9590281445710405</v>
      </c>
      <c r="O2371" s="144">
        <f t="shared" ca="1" si="275"/>
        <v>29.910209009280919</v>
      </c>
      <c r="P2371" s="144">
        <f t="shared" ca="1" si="275"/>
        <v>1</v>
      </c>
      <c r="Q2371" s="144">
        <f t="shared" ca="1" si="275"/>
        <v>0.75454614049649138</v>
      </c>
    </row>
    <row r="2372" spans="1:17" x14ac:dyDescent="0.25">
      <c r="A2372" s="145">
        <v>40398</v>
      </c>
      <c r="B2372" s="144">
        <v>1.3176000000000001</v>
      </c>
      <c r="C2372" s="144">
        <v>39.35</v>
      </c>
      <c r="D2372" s="144">
        <v>7.8775000000000004</v>
      </c>
      <c r="E2372" s="144">
        <v>113.14</v>
      </c>
      <c r="F2372" s="144">
        <v>0.83009999999999995</v>
      </c>
      <c r="G2372" s="144">
        <v>1.383</v>
      </c>
      <c r="I2372" s="144">
        <v>1</v>
      </c>
      <c r="J2372" s="145">
        <f t="shared" si="269"/>
        <v>40398</v>
      </c>
      <c r="K2372" s="144">
        <f t="shared" ca="1" si="275"/>
        <v>1.0496357012750455</v>
      </c>
      <c r="L2372" s="144">
        <f t="shared" ca="1" si="275"/>
        <v>0.63000910746812377</v>
      </c>
      <c r="M2372" s="144">
        <f t="shared" ca="1" si="275"/>
        <v>85.868245294474789</v>
      </c>
      <c r="N2372" s="144">
        <f t="shared" ca="1" si="275"/>
        <v>5.9786733454766239</v>
      </c>
      <c r="O2372" s="144">
        <f t="shared" ca="1" si="275"/>
        <v>29.86490588949605</v>
      </c>
      <c r="P2372" s="144">
        <f t="shared" ca="1" si="275"/>
        <v>1</v>
      </c>
      <c r="Q2372" s="144">
        <f t="shared" ca="1" si="275"/>
        <v>0.75895567698846378</v>
      </c>
    </row>
    <row r="2373" spans="1:17" x14ac:dyDescent="0.25">
      <c r="A2373" s="145">
        <v>40397</v>
      </c>
      <c r="B2373" s="144">
        <v>1.3176000000000001</v>
      </c>
      <c r="C2373" s="144">
        <v>39.35</v>
      </c>
      <c r="D2373" s="144">
        <v>7.8775000000000004</v>
      </c>
      <c r="E2373" s="144">
        <v>113.14</v>
      </c>
      <c r="F2373" s="144">
        <v>0.83009999999999995</v>
      </c>
      <c r="G2373" s="144">
        <v>1.383</v>
      </c>
      <c r="I2373" s="144">
        <v>1</v>
      </c>
      <c r="J2373" s="145">
        <f t="shared" ref="J2373:J2387" si="276">A2373</f>
        <v>40397</v>
      </c>
      <c r="K2373" s="144">
        <f t="shared" ca="1" si="275"/>
        <v>1.0496357012750455</v>
      </c>
      <c r="L2373" s="144">
        <f t="shared" ca="1" si="275"/>
        <v>0.63000910746812377</v>
      </c>
      <c r="M2373" s="144">
        <f t="shared" ca="1" si="275"/>
        <v>85.868245294474789</v>
      </c>
      <c r="N2373" s="144">
        <f t="shared" ca="1" si="275"/>
        <v>5.9786733454766239</v>
      </c>
      <c r="O2373" s="144">
        <f t="shared" ca="1" si="275"/>
        <v>29.86490588949605</v>
      </c>
      <c r="P2373" s="144">
        <f t="shared" ca="1" si="275"/>
        <v>1</v>
      </c>
      <c r="Q2373" s="144">
        <f t="shared" ca="1" si="275"/>
        <v>0.75895567698846378</v>
      </c>
    </row>
    <row r="2374" spans="1:17" x14ac:dyDescent="0.25">
      <c r="A2374" s="145">
        <v>40396</v>
      </c>
      <c r="B2374" s="144">
        <v>1.3176000000000001</v>
      </c>
      <c r="C2374" s="144">
        <v>39.35</v>
      </c>
      <c r="D2374" s="144">
        <v>7.8775000000000004</v>
      </c>
      <c r="E2374" s="144">
        <v>113.14</v>
      </c>
      <c r="F2374" s="144">
        <v>0.83009999999999995</v>
      </c>
      <c r="G2374" s="144">
        <v>1.383</v>
      </c>
      <c r="I2374" s="144">
        <v>1</v>
      </c>
      <c r="J2374" s="145">
        <f t="shared" si="276"/>
        <v>40396</v>
      </c>
      <c r="K2374" s="144">
        <f t="shared" ca="1" si="275"/>
        <v>1.0496357012750455</v>
      </c>
      <c r="L2374" s="144">
        <f t="shared" ca="1" si="275"/>
        <v>0.63000910746812377</v>
      </c>
      <c r="M2374" s="144">
        <f t="shared" ca="1" si="275"/>
        <v>85.868245294474789</v>
      </c>
      <c r="N2374" s="144">
        <f t="shared" ca="1" si="275"/>
        <v>5.9786733454766239</v>
      </c>
      <c r="O2374" s="144">
        <f t="shared" ca="1" si="275"/>
        <v>29.86490588949605</v>
      </c>
      <c r="P2374" s="144">
        <f t="shared" ca="1" si="275"/>
        <v>1</v>
      </c>
      <c r="Q2374" s="144">
        <f t="shared" ca="1" si="275"/>
        <v>0.75895567698846378</v>
      </c>
    </row>
    <row r="2375" spans="1:17" x14ac:dyDescent="0.25">
      <c r="A2375" s="145">
        <v>40395</v>
      </c>
      <c r="B2375" s="144">
        <v>1.3184</v>
      </c>
      <c r="C2375" s="144">
        <v>39.301000000000002</v>
      </c>
      <c r="D2375" s="144">
        <v>7.8765000000000001</v>
      </c>
      <c r="E2375" s="144">
        <v>113.66</v>
      </c>
      <c r="F2375" s="144">
        <v>0.82930000000000004</v>
      </c>
      <c r="G2375" s="144">
        <v>1.3819999999999999</v>
      </c>
      <c r="I2375" s="144">
        <v>1</v>
      </c>
      <c r="J2375" s="145">
        <f t="shared" si="276"/>
        <v>40395</v>
      </c>
      <c r="K2375" s="144">
        <f t="shared" ref="K2375:Q2387" ca="1" si="277">OFFSET($A2375,0,K$3)/OFFSET($A2375,0,$P$3)</f>
        <v>1.0482402912621358</v>
      </c>
      <c r="L2375" s="144">
        <f t="shared" ca="1" si="277"/>
        <v>0.62902002427184467</v>
      </c>
      <c r="M2375" s="144">
        <f t="shared" ca="1" si="277"/>
        <v>86.210558252427177</v>
      </c>
      <c r="N2375" s="144">
        <f t="shared" ca="1" si="277"/>
        <v>5.9742870145631066</v>
      </c>
      <c r="O2375" s="144">
        <f t="shared" ca="1" si="277"/>
        <v>29.809617718446603</v>
      </c>
      <c r="P2375" s="144">
        <f t="shared" ca="1" si="277"/>
        <v>1</v>
      </c>
      <c r="Q2375" s="144">
        <f t="shared" ca="1" si="277"/>
        <v>0.7584951456310679</v>
      </c>
    </row>
    <row r="2376" spans="1:17" x14ac:dyDescent="0.25">
      <c r="A2376" s="145">
        <v>40394</v>
      </c>
      <c r="B2376" s="144">
        <v>1.3206</v>
      </c>
      <c r="C2376" s="144">
        <v>39.326099999999997</v>
      </c>
      <c r="D2376" s="144">
        <v>7.8869999999999996</v>
      </c>
      <c r="E2376" s="144">
        <v>112.92</v>
      </c>
      <c r="F2376" s="144">
        <v>0.82840000000000003</v>
      </c>
      <c r="G2376" s="144">
        <v>1.373</v>
      </c>
      <c r="I2376" s="144">
        <v>1</v>
      </c>
      <c r="J2376" s="145">
        <f t="shared" si="276"/>
        <v>40394</v>
      </c>
      <c r="K2376" s="144">
        <f t="shared" ca="1" si="277"/>
        <v>1.0396789338179615</v>
      </c>
      <c r="L2376" s="144">
        <f t="shared" ca="1" si="277"/>
        <v>0.62729062547326975</v>
      </c>
      <c r="M2376" s="144">
        <f t="shared" ca="1" si="277"/>
        <v>85.506587914584287</v>
      </c>
      <c r="N2376" s="144">
        <f t="shared" ca="1" si="277"/>
        <v>5.9722853248523391</v>
      </c>
      <c r="O2376" s="144">
        <f t="shared" ca="1" si="277"/>
        <v>29.778964107223988</v>
      </c>
      <c r="P2376" s="144">
        <f t="shared" ca="1" si="277"/>
        <v>1</v>
      </c>
      <c r="Q2376" s="144">
        <f t="shared" ca="1" si="277"/>
        <v>0.75723156141147963</v>
      </c>
    </row>
    <row r="2377" spans="1:17" x14ac:dyDescent="0.25">
      <c r="A2377" s="145">
        <v>40393</v>
      </c>
      <c r="B2377" s="144">
        <v>1.3221000000000001</v>
      </c>
      <c r="C2377" s="144">
        <v>39.384</v>
      </c>
      <c r="D2377" s="144">
        <v>7.8815</v>
      </c>
      <c r="E2377" s="144">
        <v>113.51</v>
      </c>
      <c r="F2377" s="144">
        <v>0.82979999999999998</v>
      </c>
      <c r="G2377" s="144">
        <v>1.3712</v>
      </c>
      <c r="I2377" s="144">
        <v>1</v>
      </c>
      <c r="J2377" s="145">
        <f t="shared" si="276"/>
        <v>40393</v>
      </c>
      <c r="K2377" s="144">
        <f t="shared" ca="1" si="277"/>
        <v>1.0371378866954089</v>
      </c>
      <c r="L2377" s="144">
        <f t="shared" ca="1" si="277"/>
        <v>0.62763784887678686</v>
      </c>
      <c r="M2377" s="144">
        <f t="shared" ca="1" si="277"/>
        <v>85.855835413357539</v>
      </c>
      <c r="N2377" s="144">
        <f t="shared" ca="1" si="277"/>
        <v>5.9613493684290138</v>
      </c>
      <c r="O2377" s="144">
        <f t="shared" ca="1" si="277"/>
        <v>29.788972089857044</v>
      </c>
      <c r="P2377" s="144">
        <f t="shared" ca="1" si="277"/>
        <v>1</v>
      </c>
      <c r="Q2377" s="144">
        <f t="shared" ca="1" si="277"/>
        <v>0.75637243778836694</v>
      </c>
    </row>
    <row r="2378" spans="1:17" x14ac:dyDescent="0.25">
      <c r="A2378" s="145">
        <v>40392</v>
      </c>
      <c r="B2378" s="144">
        <v>1.3072999999999999</v>
      </c>
      <c r="C2378" s="144">
        <v>39.430500000000002</v>
      </c>
      <c r="D2378" s="144">
        <v>7.8594999999999997</v>
      </c>
      <c r="E2378" s="144">
        <v>113.27</v>
      </c>
      <c r="F2378" s="144">
        <v>0.82599999999999996</v>
      </c>
      <c r="G2378" s="144">
        <v>1.3660000000000001</v>
      </c>
      <c r="I2378" s="144">
        <v>1</v>
      </c>
      <c r="J2378" s="145">
        <f t="shared" si="276"/>
        <v>40392</v>
      </c>
      <c r="K2378" s="144">
        <f t="shared" ca="1" si="277"/>
        <v>1.0449017058058596</v>
      </c>
      <c r="L2378" s="144">
        <f t="shared" ca="1" si="277"/>
        <v>0.63183660980647138</v>
      </c>
      <c r="M2378" s="144">
        <f t="shared" ca="1" si="277"/>
        <v>86.64422856268645</v>
      </c>
      <c r="N2378" s="144">
        <f t="shared" ca="1" si="277"/>
        <v>6.0120094851985009</v>
      </c>
      <c r="O2378" s="144">
        <f t="shared" ca="1" si="277"/>
        <v>30.16178382926643</v>
      </c>
      <c r="P2378" s="144">
        <f t="shared" ca="1" si="277"/>
        <v>1</v>
      </c>
      <c r="Q2378" s="144">
        <f t="shared" ca="1" si="277"/>
        <v>0.76493536296182973</v>
      </c>
    </row>
    <row r="2379" spans="1:17" x14ac:dyDescent="0.25">
      <c r="A2379" s="145">
        <v>40391</v>
      </c>
      <c r="B2379" s="144">
        <v>1.3028</v>
      </c>
      <c r="C2379" s="144">
        <v>39.417299999999997</v>
      </c>
      <c r="D2379" s="144">
        <v>7.9405000000000001</v>
      </c>
      <c r="E2379" s="144">
        <v>112.62</v>
      </c>
      <c r="F2379" s="144">
        <v>0.83489999999999998</v>
      </c>
      <c r="G2379" s="144">
        <v>1.3541000000000001</v>
      </c>
      <c r="I2379" s="144">
        <v>1</v>
      </c>
      <c r="J2379" s="145">
        <f t="shared" si="276"/>
        <v>40391</v>
      </c>
      <c r="K2379" s="144">
        <f t="shared" ca="1" si="277"/>
        <v>1.0393767270494321</v>
      </c>
      <c r="L2379" s="144">
        <f t="shared" ca="1" si="277"/>
        <v>0.64085047589806565</v>
      </c>
      <c r="M2379" s="144">
        <f t="shared" ca="1" si="277"/>
        <v>86.444580902671177</v>
      </c>
      <c r="N2379" s="144">
        <f t="shared" ca="1" si="277"/>
        <v>6.0949493398833283</v>
      </c>
      <c r="O2379" s="144">
        <f t="shared" ca="1" si="277"/>
        <v>30.255833589192509</v>
      </c>
      <c r="P2379" s="144">
        <f t="shared" ca="1" si="277"/>
        <v>1</v>
      </c>
      <c r="Q2379" s="144">
        <f t="shared" ca="1" si="277"/>
        <v>0.76757752533005841</v>
      </c>
    </row>
    <row r="2380" spans="1:17" x14ac:dyDescent="0.25">
      <c r="A2380" s="145">
        <v>40390</v>
      </c>
      <c r="B2380" s="144">
        <v>1.3028</v>
      </c>
      <c r="C2380" s="144">
        <v>39.417299999999997</v>
      </c>
      <c r="D2380" s="144">
        <v>7.9405000000000001</v>
      </c>
      <c r="E2380" s="144">
        <v>112.62</v>
      </c>
      <c r="F2380" s="144">
        <v>0.83489999999999998</v>
      </c>
      <c r="G2380" s="144">
        <v>1.3541000000000001</v>
      </c>
      <c r="I2380" s="144">
        <v>1</v>
      </c>
      <c r="J2380" s="145">
        <f t="shared" si="276"/>
        <v>40390</v>
      </c>
      <c r="K2380" s="144">
        <f t="shared" ca="1" si="277"/>
        <v>1.0393767270494321</v>
      </c>
      <c r="L2380" s="144">
        <f t="shared" ca="1" si="277"/>
        <v>0.64085047589806565</v>
      </c>
      <c r="M2380" s="144">
        <f t="shared" ca="1" si="277"/>
        <v>86.444580902671177</v>
      </c>
      <c r="N2380" s="144">
        <f t="shared" ca="1" si="277"/>
        <v>6.0949493398833283</v>
      </c>
      <c r="O2380" s="144">
        <f t="shared" ca="1" si="277"/>
        <v>30.255833589192509</v>
      </c>
      <c r="P2380" s="144">
        <f t="shared" ca="1" si="277"/>
        <v>1</v>
      </c>
      <c r="Q2380" s="144">
        <f t="shared" ca="1" si="277"/>
        <v>0.76757752533005841</v>
      </c>
    </row>
    <row r="2381" spans="1:17" x14ac:dyDescent="0.25">
      <c r="A2381" s="145">
        <v>40389</v>
      </c>
      <c r="B2381" s="144">
        <v>1.3028</v>
      </c>
      <c r="C2381" s="144">
        <v>39.417299999999997</v>
      </c>
      <c r="D2381" s="144">
        <v>7.9405000000000001</v>
      </c>
      <c r="E2381" s="144">
        <v>112.62</v>
      </c>
      <c r="F2381" s="144">
        <v>0.83489999999999998</v>
      </c>
      <c r="G2381" s="144">
        <v>1.3541000000000001</v>
      </c>
      <c r="I2381" s="144">
        <v>1</v>
      </c>
      <c r="J2381" s="145">
        <f t="shared" si="276"/>
        <v>40389</v>
      </c>
      <c r="K2381" s="144">
        <f t="shared" ca="1" si="277"/>
        <v>1.0393767270494321</v>
      </c>
      <c r="L2381" s="144">
        <f t="shared" ca="1" si="277"/>
        <v>0.64085047589806565</v>
      </c>
      <c r="M2381" s="144">
        <f t="shared" ca="1" si="277"/>
        <v>86.444580902671177</v>
      </c>
      <c r="N2381" s="144">
        <f t="shared" ca="1" si="277"/>
        <v>6.0949493398833283</v>
      </c>
      <c r="O2381" s="144">
        <f t="shared" ca="1" si="277"/>
        <v>30.255833589192509</v>
      </c>
      <c r="P2381" s="144">
        <f t="shared" ca="1" si="277"/>
        <v>1</v>
      </c>
      <c r="Q2381" s="144">
        <f t="shared" ca="1" si="277"/>
        <v>0.76757752533005841</v>
      </c>
    </row>
    <row r="2382" spans="1:17" x14ac:dyDescent="0.25">
      <c r="A2382" s="145">
        <v>40388</v>
      </c>
      <c r="B2382" s="144">
        <v>1.3069</v>
      </c>
      <c r="C2382" s="144">
        <v>39.4514</v>
      </c>
      <c r="D2382" s="144">
        <v>7.9705000000000004</v>
      </c>
      <c r="E2382" s="144">
        <v>113.64</v>
      </c>
      <c r="F2382" s="144">
        <v>0.8367</v>
      </c>
      <c r="G2382" s="144">
        <v>1.3660000000000001</v>
      </c>
      <c r="I2382" s="144">
        <v>1</v>
      </c>
      <c r="J2382" s="145">
        <f t="shared" si="276"/>
        <v>40388</v>
      </c>
      <c r="K2382" s="144">
        <f t="shared" ca="1" si="277"/>
        <v>1.0452215165659196</v>
      </c>
      <c r="L2382" s="144">
        <f t="shared" ca="1" si="277"/>
        <v>0.64021730813375166</v>
      </c>
      <c r="M2382" s="144">
        <f t="shared" ca="1" si="277"/>
        <v>86.953860280052041</v>
      </c>
      <c r="N2382" s="144">
        <f t="shared" ca="1" si="277"/>
        <v>6.0987833805187854</v>
      </c>
      <c r="O2382" s="144">
        <f t="shared" ca="1" si="277"/>
        <v>30.187007422144006</v>
      </c>
      <c r="P2382" s="144">
        <f t="shared" ca="1" si="277"/>
        <v>1</v>
      </c>
      <c r="Q2382" s="144">
        <f t="shared" ca="1" si="277"/>
        <v>0.76516948504093663</v>
      </c>
    </row>
    <row r="2383" spans="1:17" x14ac:dyDescent="0.25">
      <c r="A2383" s="145">
        <v>40387</v>
      </c>
      <c r="B2383" s="144">
        <v>1.2991999999999999</v>
      </c>
      <c r="C2383" s="144">
        <v>39.296999999999997</v>
      </c>
      <c r="D2383" s="144">
        <v>7.9809999999999999</v>
      </c>
      <c r="E2383" s="144">
        <v>114.01</v>
      </c>
      <c r="F2383" s="144">
        <v>0.83394999999999997</v>
      </c>
      <c r="G2383" s="144">
        <v>1.3759999999999999</v>
      </c>
      <c r="I2383" s="144">
        <v>1</v>
      </c>
      <c r="J2383" s="145">
        <f t="shared" si="276"/>
        <v>40387</v>
      </c>
      <c r="K2383" s="144">
        <f t="shared" ca="1" si="277"/>
        <v>1.0591133004926108</v>
      </c>
      <c r="L2383" s="144">
        <f t="shared" ca="1" si="277"/>
        <v>0.64189501231527091</v>
      </c>
      <c r="M2383" s="144">
        <f t="shared" ca="1" si="277"/>
        <v>87.754002463054192</v>
      </c>
      <c r="N2383" s="144">
        <f t="shared" ca="1" si="277"/>
        <v>6.1430110837438425</v>
      </c>
      <c r="O2383" s="144">
        <f t="shared" ca="1" si="277"/>
        <v>30.247075123152708</v>
      </c>
      <c r="P2383" s="144">
        <f t="shared" ca="1" si="277"/>
        <v>1</v>
      </c>
      <c r="Q2383" s="144">
        <f t="shared" ca="1" si="277"/>
        <v>0.76970443349753703</v>
      </c>
    </row>
    <row r="2384" spans="1:17" x14ac:dyDescent="0.25">
      <c r="A2384" s="145">
        <v>40386</v>
      </c>
      <c r="B2384" s="144">
        <v>1.3032999999999999</v>
      </c>
      <c r="C2384" s="144">
        <v>39.354999999999997</v>
      </c>
      <c r="D2384" s="144">
        <v>7.9995000000000003</v>
      </c>
      <c r="E2384" s="144">
        <v>113.79</v>
      </c>
      <c r="F2384" s="144">
        <v>0.83819999999999995</v>
      </c>
      <c r="G2384" s="144">
        <v>1.3774999999999999</v>
      </c>
      <c r="I2384" s="144">
        <v>1</v>
      </c>
      <c r="J2384" s="145">
        <f t="shared" si="276"/>
        <v>40386</v>
      </c>
      <c r="K2384" s="144">
        <f t="shared" ca="1" si="277"/>
        <v>1.0569324023632318</v>
      </c>
      <c r="L2384" s="144">
        <f t="shared" ca="1" si="277"/>
        <v>0.64313665311133272</v>
      </c>
      <c r="M2384" s="144">
        <f t="shared" ca="1" si="277"/>
        <v>87.309138341134059</v>
      </c>
      <c r="N2384" s="144">
        <f t="shared" ca="1" si="277"/>
        <v>6.1378807642139188</v>
      </c>
      <c r="O2384" s="144">
        <f t="shared" ca="1" si="277"/>
        <v>30.196424460983657</v>
      </c>
      <c r="P2384" s="144">
        <f t="shared" ca="1" si="277"/>
        <v>1</v>
      </c>
      <c r="Q2384" s="144">
        <f t="shared" ca="1" si="277"/>
        <v>0.76728305071740976</v>
      </c>
    </row>
    <row r="2385" spans="1:17" x14ac:dyDescent="0.25">
      <c r="A2385" s="145">
        <v>40385</v>
      </c>
      <c r="B2385" s="144">
        <v>1.2930999999999999</v>
      </c>
      <c r="C2385" s="144">
        <v>39.185000000000002</v>
      </c>
      <c r="D2385" s="144">
        <v>8.0020000000000007</v>
      </c>
      <c r="E2385" s="144">
        <v>112.31</v>
      </c>
      <c r="F2385" s="144">
        <v>0.83425000000000005</v>
      </c>
      <c r="G2385" s="144">
        <v>1.3573999999999999</v>
      </c>
      <c r="I2385" s="144">
        <v>1</v>
      </c>
      <c r="J2385" s="145">
        <f t="shared" si="276"/>
        <v>40385</v>
      </c>
      <c r="K2385" s="144">
        <f t="shared" ca="1" si="277"/>
        <v>1.0497254659345758</v>
      </c>
      <c r="L2385" s="144">
        <f t="shared" ca="1" si="277"/>
        <v>0.64515505374681004</v>
      </c>
      <c r="M2385" s="144">
        <f t="shared" ca="1" si="277"/>
        <v>86.85329827546208</v>
      </c>
      <c r="N2385" s="144">
        <f t="shared" ca="1" si="277"/>
        <v>6.1882298352795617</v>
      </c>
      <c r="O2385" s="144">
        <f t="shared" ca="1" si="277"/>
        <v>30.303147475059937</v>
      </c>
      <c r="P2385" s="144">
        <f t="shared" ca="1" si="277"/>
        <v>1</v>
      </c>
      <c r="Q2385" s="144">
        <f t="shared" ca="1" si="277"/>
        <v>0.77333539556105491</v>
      </c>
    </row>
    <row r="2386" spans="1:17" x14ac:dyDescent="0.25">
      <c r="A2386" s="145">
        <v>40384</v>
      </c>
      <c r="B2386" s="144">
        <v>1.2897000000000001</v>
      </c>
      <c r="C2386" s="144">
        <v>39.143000000000001</v>
      </c>
      <c r="D2386" s="144">
        <v>7.9660000000000002</v>
      </c>
      <c r="E2386" s="144">
        <v>112.48</v>
      </c>
      <c r="F2386" s="144">
        <v>0.83720000000000006</v>
      </c>
      <c r="G2386" s="144">
        <v>1.3488</v>
      </c>
      <c r="I2386" s="144">
        <v>1</v>
      </c>
      <c r="J2386" s="145">
        <f t="shared" si="276"/>
        <v>40384</v>
      </c>
      <c r="K2386" s="144">
        <f t="shared" ca="1" si="277"/>
        <v>1.0458246103745057</v>
      </c>
      <c r="L2386" s="144">
        <f t="shared" ca="1" si="277"/>
        <v>0.64914321159959676</v>
      </c>
      <c r="M2386" s="144">
        <f t="shared" ca="1" si="277"/>
        <v>87.214080793983101</v>
      </c>
      <c r="N2386" s="144">
        <f t="shared" ca="1" si="277"/>
        <v>6.1766302240831203</v>
      </c>
      <c r="O2386" s="144">
        <f t="shared" ca="1" si="277"/>
        <v>30.350469101341396</v>
      </c>
      <c r="P2386" s="144">
        <f t="shared" ca="1" si="277"/>
        <v>1</v>
      </c>
      <c r="Q2386" s="144">
        <f t="shared" ca="1" si="277"/>
        <v>0.77537411801194067</v>
      </c>
    </row>
    <row r="2387" spans="1:17" x14ac:dyDescent="0.25">
      <c r="A2387" s="145">
        <v>40383</v>
      </c>
      <c r="B2387" s="144">
        <v>1.2897000000000001</v>
      </c>
      <c r="C2387" s="144">
        <v>39.143000000000001</v>
      </c>
      <c r="D2387" s="144">
        <v>7.9660000000000002</v>
      </c>
      <c r="E2387" s="144">
        <v>112.48</v>
      </c>
      <c r="F2387" s="144">
        <v>0.83720000000000006</v>
      </c>
      <c r="G2387" s="144">
        <v>1.3488</v>
      </c>
      <c r="I2387" s="144">
        <v>1</v>
      </c>
      <c r="J2387" s="145">
        <f t="shared" si="276"/>
        <v>40383</v>
      </c>
      <c r="K2387" s="144">
        <f t="shared" ca="1" si="277"/>
        <v>1.0458246103745057</v>
      </c>
      <c r="L2387" s="144">
        <f t="shared" ca="1" si="277"/>
        <v>0.64914321159959676</v>
      </c>
      <c r="M2387" s="144">
        <f t="shared" ca="1" si="277"/>
        <v>87.214080793983101</v>
      </c>
      <c r="N2387" s="144">
        <f t="shared" ca="1" si="277"/>
        <v>6.1766302240831203</v>
      </c>
      <c r="O2387" s="144">
        <f t="shared" ca="1" si="277"/>
        <v>30.350469101341396</v>
      </c>
      <c r="P2387" s="144">
        <f t="shared" ca="1" si="277"/>
        <v>1</v>
      </c>
      <c r="Q2387" s="144">
        <f t="shared" ca="1" si="277"/>
        <v>0.77537411801194067</v>
      </c>
    </row>
    <row r="2388" spans="1:17" x14ac:dyDescent="0.25">
      <c r="A2388" s="145">
        <v>40382</v>
      </c>
      <c r="B2388" s="144">
        <v>1.2897000000000001</v>
      </c>
      <c r="C2388" s="144">
        <v>39.143000000000001</v>
      </c>
      <c r="D2388" s="144">
        <v>7.9660000000000002</v>
      </c>
      <c r="E2388" s="144">
        <v>112.48</v>
      </c>
      <c r="F2388" s="144">
        <v>0.83720000000000006</v>
      </c>
      <c r="G2388" s="144">
        <v>1.3488</v>
      </c>
      <c r="I2388" s="144">
        <v>1</v>
      </c>
      <c r="J2388" s="144">
        <f t="shared" ref="J2388:Q2388" si="278">J2387</f>
        <v>40383</v>
      </c>
      <c r="K2388" s="144">
        <f t="shared" ca="1" si="278"/>
        <v>1.0458246103745057</v>
      </c>
      <c r="L2388" s="144">
        <f t="shared" ca="1" si="278"/>
        <v>0.64914321159959676</v>
      </c>
      <c r="M2388" s="144">
        <f t="shared" ca="1" si="278"/>
        <v>87.214080793983101</v>
      </c>
      <c r="N2388" s="144">
        <f t="shared" ca="1" si="278"/>
        <v>6.1766302240831203</v>
      </c>
      <c r="O2388" s="144">
        <f t="shared" ca="1" si="278"/>
        <v>30.350469101341396</v>
      </c>
      <c r="P2388" s="144">
        <f t="shared" ca="1" si="278"/>
        <v>1</v>
      </c>
      <c r="Q2388" s="144">
        <f t="shared" ca="1" si="278"/>
        <v>0.77537411801194067</v>
      </c>
    </row>
    <row r="2389" spans="1:17" x14ac:dyDescent="0.25">
      <c r="A2389" s="145">
        <v>40381</v>
      </c>
      <c r="B2389" s="144">
        <v>1.2849999999999999</v>
      </c>
      <c r="C2389" s="144">
        <v>39.1355</v>
      </c>
      <c r="D2389" s="144">
        <v>7.9749999999999996</v>
      </c>
      <c r="E2389" s="144">
        <v>111.57</v>
      </c>
      <c r="F2389" s="144">
        <v>0.84279999999999999</v>
      </c>
      <c r="G2389" s="144">
        <v>1.3418000000000001</v>
      </c>
      <c r="I2389" s="144">
        <v>1</v>
      </c>
      <c r="J2389" s="145">
        <f>A2745</f>
        <v>40025</v>
      </c>
      <c r="K2389" s="144">
        <f t="shared" ref="K2389:Q2389" ca="1" si="279">OFFSET($A2745,0,K$3)/OFFSET($A2745,0,$P$3)</f>
        <v>1.0833922761352384</v>
      </c>
      <c r="L2389" s="144">
        <f t="shared" ca="1" si="279"/>
        <v>0.60517753571933797</v>
      </c>
      <c r="M2389" s="144">
        <f t="shared" ca="1" si="279"/>
        <v>95.72075258169474</v>
      </c>
      <c r="N2389" s="144">
        <f t="shared" ca="1" si="279"/>
        <v>6.1642382232281792</v>
      </c>
      <c r="O2389" s="144">
        <f t="shared" ca="1" si="279"/>
        <v>31.503748762201159</v>
      </c>
      <c r="P2389" s="144">
        <f t="shared" ca="1" si="279"/>
        <v>1</v>
      </c>
      <c r="Q2389" s="144">
        <f t="shared" ca="1" si="279"/>
        <v>0</v>
      </c>
    </row>
    <row r="2390" spans="1:17" x14ac:dyDescent="0.25">
      <c r="A2390" s="145">
        <v>40380</v>
      </c>
      <c r="B2390" s="144">
        <v>1.2817000000000001</v>
      </c>
      <c r="C2390" s="144">
        <v>39.043700000000001</v>
      </c>
      <c r="D2390" s="144">
        <v>8.0135000000000005</v>
      </c>
      <c r="E2390" s="144">
        <v>111.52</v>
      </c>
      <c r="F2390" s="144">
        <v>0.83945000000000003</v>
      </c>
      <c r="G2390" s="144">
        <v>1.3440000000000001</v>
      </c>
    </row>
    <row r="2391" spans="1:17" x14ac:dyDescent="0.25">
      <c r="A2391" s="145">
        <v>40379</v>
      </c>
      <c r="B2391" s="144">
        <v>1.2844</v>
      </c>
      <c r="C2391" s="144">
        <v>39.279499999999999</v>
      </c>
      <c r="D2391" s="144">
        <v>8.1289999999999996</v>
      </c>
      <c r="E2391" s="144">
        <v>111.5</v>
      </c>
      <c r="F2391" s="144">
        <v>0.84745000000000004</v>
      </c>
      <c r="G2391" s="144">
        <v>1.3536999999999999</v>
      </c>
    </row>
    <row r="2392" spans="1:17" x14ac:dyDescent="0.25">
      <c r="A2392" s="145">
        <v>40378</v>
      </c>
      <c r="B2392" s="144">
        <v>1.2957000000000001</v>
      </c>
      <c r="C2392" s="144">
        <v>39.509500000000003</v>
      </c>
      <c r="D2392" s="144">
        <v>8.1419999999999995</v>
      </c>
      <c r="E2392" s="144">
        <v>112.84</v>
      </c>
      <c r="F2392" s="144">
        <v>0.84830000000000005</v>
      </c>
      <c r="G2392" s="144">
        <v>1.3640000000000001</v>
      </c>
    </row>
    <row r="2393" spans="1:17" x14ac:dyDescent="0.25">
      <c r="A2393" s="145">
        <v>40377</v>
      </c>
      <c r="B2393" s="144">
        <v>1.3</v>
      </c>
      <c r="C2393" s="144">
        <v>39.490699999999997</v>
      </c>
      <c r="D2393" s="144">
        <v>8.0530000000000008</v>
      </c>
      <c r="E2393" s="144">
        <v>112.54</v>
      </c>
      <c r="F2393" s="144">
        <v>0.84535000000000005</v>
      </c>
      <c r="G2393" s="144">
        <v>1.3543000000000001</v>
      </c>
    </row>
    <row r="2394" spans="1:17" x14ac:dyDescent="0.25">
      <c r="A2394" s="145">
        <v>40376</v>
      </c>
      <c r="B2394" s="144">
        <v>1.3</v>
      </c>
      <c r="C2394" s="144">
        <v>39.490699999999997</v>
      </c>
      <c r="D2394" s="144">
        <v>8.0530000000000008</v>
      </c>
      <c r="E2394" s="144">
        <v>112.54</v>
      </c>
      <c r="F2394" s="144">
        <v>0.84535000000000005</v>
      </c>
      <c r="G2394" s="144">
        <v>1.3543000000000001</v>
      </c>
    </row>
    <row r="2395" spans="1:17" x14ac:dyDescent="0.25">
      <c r="A2395" s="145">
        <v>40375</v>
      </c>
      <c r="B2395" s="144">
        <v>1.3</v>
      </c>
      <c r="C2395" s="144">
        <v>39.490699999999997</v>
      </c>
      <c r="D2395" s="144">
        <v>8.0530000000000008</v>
      </c>
      <c r="E2395" s="144">
        <v>112.54</v>
      </c>
      <c r="F2395" s="144">
        <v>0.84535000000000005</v>
      </c>
      <c r="G2395" s="144">
        <v>1.3543000000000001</v>
      </c>
    </row>
    <row r="2396" spans="1:17" x14ac:dyDescent="0.25">
      <c r="A2396" s="145">
        <v>40374</v>
      </c>
      <c r="B2396" s="144">
        <v>1.2827999999999999</v>
      </c>
      <c r="C2396" s="144">
        <v>39.164400000000001</v>
      </c>
      <c r="D2396" s="144">
        <v>7.9264999999999999</v>
      </c>
      <c r="E2396" s="144">
        <v>113.11</v>
      </c>
      <c r="F2396" s="144">
        <v>0.83565</v>
      </c>
      <c r="G2396" s="144">
        <v>1.3420000000000001</v>
      </c>
    </row>
    <row r="2397" spans="1:17" x14ac:dyDescent="0.25">
      <c r="A2397" s="145">
        <v>40373</v>
      </c>
      <c r="B2397" s="144">
        <v>1.2703</v>
      </c>
      <c r="C2397" s="144">
        <v>38.848999999999997</v>
      </c>
      <c r="D2397" s="144">
        <v>7.9260000000000002</v>
      </c>
      <c r="E2397" s="144">
        <v>112.49</v>
      </c>
      <c r="F2397" s="144">
        <v>0.83430000000000004</v>
      </c>
      <c r="G2397" s="144">
        <v>1.3428</v>
      </c>
    </row>
    <row r="2398" spans="1:17" x14ac:dyDescent="0.25">
      <c r="A2398" s="145">
        <v>40372</v>
      </c>
      <c r="B2398" s="144">
        <v>1.2568999999999999</v>
      </c>
      <c r="C2398" s="144">
        <v>38.691000000000003</v>
      </c>
      <c r="D2398" s="144">
        <v>7.9569999999999999</v>
      </c>
      <c r="E2398" s="144">
        <v>110.95</v>
      </c>
      <c r="F2398" s="144">
        <v>0.83179999999999998</v>
      </c>
      <c r="G2398" s="144">
        <v>1.3337000000000001</v>
      </c>
    </row>
    <row r="2399" spans="1:17" x14ac:dyDescent="0.25">
      <c r="A2399" s="145">
        <v>40371</v>
      </c>
      <c r="B2399" s="144">
        <v>1.2572000000000001</v>
      </c>
      <c r="C2399" s="144">
        <v>38.766500000000001</v>
      </c>
      <c r="D2399" s="144">
        <v>8.016</v>
      </c>
      <c r="E2399" s="144">
        <v>111.35</v>
      </c>
      <c r="F2399" s="144">
        <v>0.83630000000000004</v>
      </c>
      <c r="G2399" s="144">
        <v>1.3349</v>
      </c>
    </row>
    <row r="2400" spans="1:17" x14ac:dyDescent="0.25">
      <c r="A2400" s="145">
        <v>40370</v>
      </c>
      <c r="B2400" s="144">
        <v>1.2637</v>
      </c>
      <c r="C2400" s="144">
        <v>39.027500000000003</v>
      </c>
      <c r="D2400" s="144">
        <v>8.0419999999999998</v>
      </c>
      <c r="E2400" s="144">
        <v>111.85</v>
      </c>
      <c r="F2400" s="144">
        <v>0.83599999999999997</v>
      </c>
      <c r="G2400" s="144">
        <v>1.3331</v>
      </c>
    </row>
    <row r="2401" spans="1:7" x14ac:dyDescent="0.25">
      <c r="A2401" s="145">
        <v>40369</v>
      </c>
      <c r="B2401" s="144">
        <v>1.2637</v>
      </c>
      <c r="C2401" s="144">
        <v>39.027500000000003</v>
      </c>
      <c r="D2401" s="144">
        <v>8.0419999999999998</v>
      </c>
      <c r="E2401" s="144">
        <v>111.85</v>
      </c>
      <c r="F2401" s="144">
        <v>0.83599999999999997</v>
      </c>
      <c r="G2401" s="144">
        <v>1.3331</v>
      </c>
    </row>
    <row r="2402" spans="1:7" x14ac:dyDescent="0.25">
      <c r="A2402" s="145">
        <v>40368</v>
      </c>
      <c r="B2402" s="144">
        <v>1.2637</v>
      </c>
      <c r="C2402" s="144">
        <v>39.027500000000003</v>
      </c>
      <c r="D2402" s="144">
        <v>8.0419999999999998</v>
      </c>
      <c r="E2402" s="144">
        <v>111.85</v>
      </c>
      <c r="F2402" s="144">
        <v>0.83599999999999997</v>
      </c>
      <c r="G2402" s="144">
        <v>1.3331</v>
      </c>
    </row>
    <row r="2403" spans="1:7" x14ac:dyDescent="0.25">
      <c r="A2403" s="145">
        <v>40367</v>
      </c>
      <c r="B2403" s="144">
        <v>1.266</v>
      </c>
      <c r="C2403" s="144">
        <v>39.14</v>
      </c>
      <c r="D2403" s="144">
        <v>8.0660000000000007</v>
      </c>
      <c r="E2403" s="144">
        <v>111.49</v>
      </c>
      <c r="F2403" s="144">
        <v>0.83560000000000001</v>
      </c>
      <c r="G2403" s="144">
        <v>1.3321000000000001</v>
      </c>
    </row>
    <row r="2404" spans="1:7" x14ac:dyDescent="0.25">
      <c r="A2404" s="145">
        <v>40366</v>
      </c>
      <c r="B2404" s="144">
        <v>1.2566999999999999</v>
      </c>
      <c r="C2404" s="144">
        <v>39.150300000000001</v>
      </c>
      <c r="D2404" s="144">
        <v>8.1010000000000009</v>
      </c>
      <c r="E2404" s="144">
        <v>109.56</v>
      </c>
      <c r="F2404" s="144">
        <v>0.83189999999999997</v>
      </c>
      <c r="G2404" s="144">
        <v>1.3311999999999999</v>
      </c>
    </row>
    <row r="2405" spans="1:7" x14ac:dyDescent="0.25">
      <c r="A2405" s="145">
        <v>40365</v>
      </c>
      <c r="B2405" s="144">
        <v>1.2579</v>
      </c>
      <c r="C2405" s="144">
        <v>39.101500000000001</v>
      </c>
      <c r="D2405" s="144">
        <v>8.0685000000000002</v>
      </c>
      <c r="E2405" s="144">
        <v>110.46</v>
      </c>
      <c r="F2405" s="144">
        <v>0.82950000000000002</v>
      </c>
      <c r="G2405" s="144">
        <v>1.3372999999999999</v>
      </c>
    </row>
    <row r="2406" spans="1:7" x14ac:dyDescent="0.25">
      <c r="A2406" s="145">
        <v>40364</v>
      </c>
      <c r="B2406" s="144">
        <v>1.2531000000000001</v>
      </c>
      <c r="C2406" s="144">
        <v>39.038699999999999</v>
      </c>
      <c r="D2406" s="144">
        <v>8.0589999999999993</v>
      </c>
      <c r="E2406" s="144">
        <v>109.93</v>
      </c>
      <c r="F2406" s="144">
        <v>0.82750000000000001</v>
      </c>
      <c r="G2406" s="144">
        <v>1.3325</v>
      </c>
    </row>
    <row r="2407" spans="1:7" x14ac:dyDescent="0.25">
      <c r="A2407" s="145">
        <v>40363</v>
      </c>
      <c r="B2407" s="144">
        <v>1.2547999999999999</v>
      </c>
      <c r="C2407" s="144">
        <v>39.080100000000002</v>
      </c>
      <c r="D2407" s="144">
        <v>8.0630000000000006</v>
      </c>
      <c r="E2407" s="144">
        <v>109.88</v>
      </c>
      <c r="F2407" s="144">
        <v>0.82520000000000004</v>
      </c>
      <c r="G2407" s="144">
        <v>1.3375999999999999</v>
      </c>
    </row>
    <row r="2408" spans="1:7" x14ac:dyDescent="0.25">
      <c r="A2408" s="145">
        <v>40362</v>
      </c>
      <c r="B2408" s="144">
        <v>1.2547999999999999</v>
      </c>
      <c r="C2408" s="144">
        <v>39.080100000000002</v>
      </c>
      <c r="D2408" s="144">
        <v>8.0630000000000006</v>
      </c>
      <c r="E2408" s="144">
        <v>109.88</v>
      </c>
      <c r="F2408" s="144">
        <v>0.82520000000000004</v>
      </c>
      <c r="G2408" s="144">
        <v>1.3375999999999999</v>
      </c>
    </row>
    <row r="2409" spans="1:7" x14ac:dyDescent="0.25">
      <c r="A2409" s="145">
        <v>40361</v>
      </c>
      <c r="B2409" s="144">
        <v>1.2547999999999999</v>
      </c>
      <c r="C2409" s="144">
        <v>39.080100000000002</v>
      </c>
      <c r="D2409" s="144">
        <v>8.0630000000000006</v>
      </c>
      <c r="E2409" s="144">
        <v>109.88</v>
      </c>
      <c r="F2409" s="144">
        <v>0.82520000000000004</v>
      </c>
      <c r="G2409" s="144">
        <v>1.3375999999999999</v>
      </c>
    </row>
    <row r="2410" spans="1:7" x14ac:dyDescent="0.25">
      <c r="A2410" s="145">
        <v>40360</v>
      </c>
      <c r="B2410" s="144">
        <v>1.2327999999999999</v>
      </c>
      <c r="C2410" s="144">
        <v>38.581000000000003</v>
      </c>
      <c r="D2410" s="144">
        <v>8.0449999999999999</v>
      </c>
      <c r="E2410" s="144">
        <v>108.14</v>
      </c>
      <c r="F2410" s="144">
        <v>0.82215000000000005</v>
      </c>
      <c r="G2410" s="144">
        <v>1.3178000000000001</v>
      </c>
    </row>
    <row r="2411" spans="1:7" x14ac:dyDescent="0.25">
      <c r="A2411" s="145">
        <v>40359</v>
      </c>
      <c r="B2411" s="144">
        <v>1.2271000000000001</v>
      </c>
      <c r="C2411" s="144">
        <v>38.281999999999996</v>
      </c>
      <c r="D2411" s="144">
        <v>7.9725000000000001</v>
      </c>
      <c r="E2411" s="144">
        <v>108.79</v>
      </c>
      <c r="F2411" s="144">
        <v>0.81745000000000001</v>
      </c>
      <c r="G2411" s="144">
        <v>1.3283</v>
      </c>
    </row>
    <row r="2412" spans="1:7" x14ac:dyDescent="0.25">
      <c r="A2412" s="145">
        <v>40358</v>
      </c>
      <c r="B2412" s="144">
        <v>1.2198</v>
      </c>
      <c r="C2412" s="144">
        <v>38.130000000000003</v>
      </c>
      <c r="D2412" s="144">
        <v>7.9085000000000001</v>
      </c>
      <c r="E2412" s="144">
        <v>108.31</v>
      </c>
      <c r="F2412" s="144">
        <v>0.81040000000000001</v>
      </c>
      <c r="G2412" s="144">
        <v>1.3258000000000001</v>
      </c>
    </row>
    <row r="2413" spans="1:7" x14ac:dyDescent="0.25">
      <c r="A2413" s="145">
        <v>40357</v>
      </c>
      <c r="B2413" s="144">
        <v>1.2339</v>
      </c>
      <c r="C2413" s="144">
        <v>38.261499999999998</v>
      </c>
      <c r="D2413" s="144">
        <v>7.9370000000000003</v>
      </c>
      <c r="E2413" s="144">
        <v>110.25</v>
      </c>
      <c r="F2413" s="144">
        <v>0.82</v>
      </c>
      <c r="G2413" s="144">
        <v>1.3387</v>
      </c>
    </row>
    <row r="2414" spans="1:7" x14ac:dyDescent="0.25">
      <c r="A2414" s="145">
        <v>40356</v>
      </c>
      <c r="B2414" s="144">
        <v>1.2294</v>
      </c>
      <c r="C2414" s="144">
        <v>38.31</v>
      </c>
      <c r="D2414" s="144">
        <v>7.9885000000000002</v>
      </c>
      <c r="E2414" s="144">
        <v>109.99</v>
      </c>
      <c r="F2414" s="144">
        <v>0.8236</v>
      </c>
      <c r="G2414" s="144">
        <v>1.3532999999999999</v>
      </c>
    </row>
    <row r="2415" spans="1:7" x14ac:dyDescent="0.25">
      <c r="A2415" s="145">
        <v>40355</v>
      </c>
      <c r="B2415" s="144">
        <v>1.2294</v>
      </c>
      <c r="C2415" s="144">
        <v>38.31</v>
      </c>
      <c r="D2415" s="144">
        <v>7.9885000000000002</v>
      </c>
      <c r="E2415" s="144">
        <v>109.99</v>
      </c>
      <c r="F2415" s="144">
        <v>0.8236</v>
      </c>
      <c r="G2415" s="144">
        <v>1.3532999999999999</v>
      </c>
    </row>
    <row r="2416" spans="1:7" x14ac:dyDescent="0.25">
      <c r="A2416" s="145">
        <v>40354</v>
      </c>
      <c r="B2416" s="144">
        <v>1.2294</v>
      </c>
      <c r="C2416" s="144">
        <v>38.31</v>
      </c>
      <c r="D2416" s="144">
        <v>7.9885000000000002</v>
      </c>
      <c r="E2416" s="144">
        <v>109.99</v>
      </c>
      <c r="F2416" s="144">
        <v>0.8236</v>
      </c>
      <c r="G2416" s="144">
        <v>1.3532999999999999</v>
      </c>
    </row>
    <row r="2417" spans="1:7" x14ac:dyDescent="0.25">
      <c r="A2417" s="145">
        <v>40353</v>
      </c>
      <c r="B2417" s="144">
        <v>1.2262</v>
      </c>
      <c r="C2417" s="144">
        <v>38.234999999999999</v>
      </c>
      <c r="D2417" s="144">
        <v>7.9779999999999998</v>
      </c>
      <c r="E2417" s="144">
        <v>109.59</v>
      </c>
      <c r="F2417" s="144">
        <v>0.81850000000000001</v>
      </c>
      <c r="G2417" s="144">
        <v>1.3554999999999999</v>
      </c>
    </row>
    <row r="2418" spans="1:7" x14ac:dyDescent="0.25">
      <c r="A2418" s="145">
        <v>40352</v>
      </c>
      <c r="B2418" s="144">
        <v>1.2271000000000001</v>
      </c>
      <c r="C2418" s="144">
        <v>38.052399999999999</v>
      </c>
      <c r="D2418" s="144">
        <v>7.9290000000000003</v>
      </c>
      <c r="E2418" s="144">
        <v>110.76</v>
      </c>
      <c r="F2418" s="144">
        <v>0.82289999999999996</v>
      </c>
      <c r="G2418" s="144">
        <v>1.3611</v>
      </c>
    </row>
    <row r="2419" spans="1:7" x14ac:dyDescent="0.25">
      <c r="A2419" s="145">
        <v>40351</v>
      </c>
      <c r="B2419" s="144">
        <v>1.2258</v>
      </c>
      <c r="C2419" s="144">
        <v>38.0075</v>
      </c>
      <c r="D2419" s="144">
        <v>7.9329999999999998</v>
      </c>
      <c r="E2419" s="144">
        <v>111.09</v>
      </c>
      <c r="F2419" s="144">
        <v>0.83399999999999996</v>
      </c>
      <c r="G2419" s="144">
        <v>1.3622000000000001</v>
      </c>
    </row>
    <row r="2420" spans="1:7" x14ac:dyDescent="0.25">
      <c r="A2420" s="145">
        <v>40350</v>
      </c>
      <c r="B2420" s="144">
        <v>1.2391000000000001</v>
      </c>
      <c r="C2420" s="144">
        <v>38.137500000000003</v>
      </c>
      <c r="D2420" s="144">
        <v>7.8574999999999999</v>
      </c>
      <c r="E2420" s="144">
        <v>113.1</v>
      </c>
      <c r="F2420" s="144">
        <v>0.83409999999999995</v>
      </c>
      <c r="G2420" s="144">
        <v>1.3737999999999999</v>
      </c>
    </row>
    <row r="2421" spans="1:7" x14ac:dyDescent="0.25">
      <c r="A2421" s="145">
        <v>40349</v>
      </c>
      <c r="B2421" s="144">
        <v>1.2372000000000001</v>
      </c>
      <c r="C2421" s="144">
        <v>38.384</v>
      </c>
      <c r="D2421" s="144">
        <v>7.8615000000000004</v>
      </c>
      <c r="E2421" s="144">
        <v>112.12</v>
      </c>
      <c r="F2421" s="144">
        <v>0.8357</v>
      </c>
      <c r="G2421" s="144">
        <v>1.3745000000000001</v>
      </c>
    </row>
    <row r="2422" spans="1:7" x14ac:dyDescent="0.25">
      <c r="A2422" s="145">
        <v>40348</v>
      </c>
      <c r="B2422" s="144">
        <v>1.2372000000000001</v>
      </c>
      <c r="C2422" s="144">
        <v>38.384</v>
      </c>
      <c r="D2422" s="144">
        <v>7.8615000000000004</v>
      </c>
      <c r="E2422" s="144">
        <v>112.12</v>
      </c>
      <c r="F2422" s="144">
        <v>0.8357</v>
      </c>
      <c r="G2422" s="144">
        <v>1.3745000000000001</v>
      </c>
    </row>
    <row r="2423" spans="1:7" x14ac:dyDescent="0.25">
      <c r="A2423" s="145">
        <v>40347</v>
      </c>
      <c r="B2423" s="144">
        <v>1.2372000000000001</v>
      </c>
      <c r="C2423" s="144">
        <v>38.384</v>
      </c>
      <c r="D2423" s="144">
        <v>7.8615000000000004</v>
      </c>
      <c r="E2423" s="144">
        <v>112.12</v>
      </c>
      <c r="F2423" s="144">
        <v>0.8357</v>
      </c>
      <c r="G2423" s="144">
        <v>1.3745000000000001</v>
      </c>
    </row>
    <row r="2424" spans="1:7" x14ac:dyDescent="0.25">
      <c r="A2424" s="145">
        <v>40346</v>
      </c>
      <c r="B2424" s="144">
        <v>1.2363</v>
      </c>
      <c r="C2424" s="144">
        <v>38.213999999999999</v>
      </c>
      <c r="D2424" s="144">
        <v>7.8704999999999998</v>
      </c>
      <c r="E2424" s="144">
        <v>112.89</v>
      </c>
      <c r="F2424" s="144">
        <v>0.83489999999999998</v>
      </c>
      <c r="G2424" s="144">
        <v>1.3777999999999999</v>
      </c>
    </row>
    <row r="2425" spans="1:7" x14ac:dyDescent="0.25">
      <c r="A2425" s="145">
        <v>40345</v>
      </c>
      <c r="B2425" s="144">
        <v>1.2277</v>
      </c>
      <c r="C2425" s="144">
        <v>38.35</v>
      </c>
      <c r="D2425" s="144">
        <v>7.8780000000000001</v>
      </c>
      <c r="E2425" s="144">
        <v>112.15</v>
      </c>
      <c r="F2425" s="144">
        <v>0.83084999999999998</v>
      </c>
      <c r="G2425" s="144">
        <v>1.3888</v>
      </c>
    </row>
    <row r="2426" spans="1:7" x14ac:dyDescent="0.25">
      <c r="A2426" s="145">
        <v>40344</v>
      </c>
      <c r="B2426" s="144">
        <v>1.2258</v>
      </c>
      <c r="C2426" s="144">
        <v>38.479999999999997</v>
      </c>
      <c r="D2426" s="144">
        <v>7.8514999999999997</v>
      </c>
      <c r="E2426" s="144">
        <v>111.77</v>
      </c>
      <c r="F2426" s="144">
        <v>0.83199999999999996</v>
      </c>
      <c r="G2426" s="144">
        <v>1.3997999999999999</v>
      </c>
    </row>
    <row r="2427" spans="1:7" x14ac:dyDescent="0.25">
      <c r="A2427" s="145">
        <v>40343</v>
      </c>
      <c r="B2427" s="144">
        <v>1.2249000000000001</v>
      </c>
      <c r="C2427" s="144">
        <v>38.430999999999997</v>
      </c>
      <c r="D2427" s="144">
        <v>7.8174999999999999</v>
      </c>
      <c r="E2427" s="144">
        <v>112.43</v>
      </c>
      <c r="F2427" s="144">
        <v>0.83079999999999998</v>
      </c>
      <c r="G2427" s="144">
        <v>1.391</v>
      </c>
    </row>
    <row r="2428" spans="1:7" x14ac:dyDescent="0.25">
      <c r="A2428" s="145">
        <v>40342</v>
      </c>
      <c r="B2428" s="144">
        <v>1.2126999999999999</v>
      </c>
      <c r="C2428" s="144">
        <v>38.091000000000001</v>
      </c>
      <c r="D2428" s="144">
        <v>7.835</v>
      </c>
      <c r="E2428" s="144">
        <v>111.13</v>
      </c>
      <c r="F2428" s="144">
        <v>0.82930000000000004</v>
      </c>
      <c r="G2428" s="144">
        <v>1.3893</v>
      </c>
    </row>
    <row r="2429" spans="1:7" x14ac:dyDescent="0.25">
      <c r="A2429" s="145">
        <v>40341</v>
      </c>
      <c r="B2429" s="144">
        <v>1.2126999999999999</v>
      </c>
      <c r="C2429" s="144">
        <v>38.091000000000001</v>
      </c>
      <c r="D2429" s="144">
        <v>7.835</v>
      </c>
      <c r="E2429" s="144">
        <v>111.13</v>
      </c>
      <c r="F2429" s="144">
        <v>0.82930000000000004</v>
      </c>
      <c r="G2429" s="144">
        <v>1.3893</v>
      </c>
    </row>
    <row r="2430" spans="1:7" x14ac:dyDescent="0.25">
      <c r="A2430" s="145">
        <v>40340</v>
      </c>
      <c r="B2430" s="144">
        <v>1.2126999999999999</v>
      </c>
      <c r="C2430" s="144">
        <v>38.091000000000001</v>
      </c>
      <c r="D2430" s="144">
        <v>7.835</v>
      </c>
      <c r="E2430" s="144">
        <v>111.13</v>
      </c>
      <c r="F2430" s="144">
        <v>0.82930000000000004</v>
      </c>
      <c r="G2430" s="144">
        <v>1.3893</v>
      </c>
    </row>
    <row r="2431" spans="1:7" x14ac:dyDescent="0.25">
      <c r="A2431" s="145">
        <v>40339</v>
      </c>
      <c r="B2431" s="144">
        <v>1.2044999999999999</v>
      </c>
      <c r="C2431" s="144">
        <v>38.091200000000001</v>
      </c>
      <c r="D2431" s="144">
        <v>7.8650000000000002</v>
      </c>
      <c r="E2431" s="144">
        <v>109.84</v>
      </c>
      <c r="F2431" s="144">
        <v>0.82520000000000004</v>
      </c>
      <c r="G2431" s="144">
        <v>1.3788</v>
      </c>
    </row>
    <row r="2432" spans="1:7" x14ac:dyDescent="0.25">
      <c r="A2432" s="145">
        <v>40338</v>
      </c>
      <c r="B2432" s="144">
        <v>1.2010000000000001</v>
      </c>
      <c r="C2432" s="144">
        <v>38.061500000000002</v>
      </c>
      <c r="D2432" s="144">
        <v>7.9535</v>
      </c>
      <c r="E2432" s="144">
        <v>109.99</v>
      </c>
      <c r="F2432" s="144">
        <v>0.82589999999999997</v>
      </c>
      <c r="G2432" s="144">
        <v>1.3762000000000001</v>
      </c>
    </row>
    <row r="2433" spans="1:7" x14ac:dyDescent="0.25">
      <c r="A2433" s="145">
        <v>40337</v>
      </c>
      <c r="B2433" s="144">
        <v>1.1941999999999999</v>
      </c>
      <c r="C2433" s="144">
        <v>38.006999999999998</v>
      </c>
      <c r="D2433" s="144">
        <v>7.9820000000000002</v>
      </c>
      <c r="E2433" s="144">
        <v>109.32</v>
      </c>
      <c r="F2433" s="144">
        <v>0.82804999999999995</v>
      </c>
      <c r="G2433" s="144">
        <v>1.3793</v>
      </c>
    </row>
    <row r="2434" spans="1:7" x14ac:dyDescent="0.25">
      <c r="A2434" s="145">
        <v>40336</v>
      </c>
      <c r="B2434" s="144">
        <v>1.1959</v>
      </c>
      <c r="C2434" s="144">
        <v>37.969000000000001</v>
      </c>
      <c r="D2434" s="144">
        <v>7.9370000000000003</v>
      </c>
      <c r="E2434" s="144">
        <v>109.86</v>
      </c>
      <c r="F2434" s="144">
        <v>0.8246</v>
      </c>
      <c r="G2434" s="144">
        <v>1.3911</v>
      </c>
    </row>
    <row r="2435" spans="1:7" x14ac:dyDescent="0.25">
      <c r="A2435" s="145">
        <v>40335</v>
      </c>
      <c r="B2435" s="144">
        <v>1.206</v>
      </c>
      <c r="C2435" s="144">
        <v>37.744999999999997</v>
      </c>
      <c r="D2435" s="144">
        <v>7.851</v>
      </c>
      <c r="E2435" s="144">
        <v>111.73</v>
      </c>
      <c r="F2435" s="144">
        <v>0.82745000000000002</v>
      </c>
      <c r="G2435" s="144">
        <v>1.3951</v>
      </c>
    </row>
    <row r="2436" spans="1:7" x14ac:dyDescent="0.25">
      <c r="A2436" s="145">
        <v>40334</v>
      </c>
      <c r="B2436" s="144">
        <v>1.206</v>
      </c>
      <c r="C2436" s="144">
        <v>37.744999999999997</v>
      </c>
      <c r="D2436" s="144">
        <v>7.851</v>
      </c>
      <c r="E2436" s="144">
        <v>111.73</v>
      </c>
      <c r="F2436" s="144">
        <v>0.82745000000000002</v>
      </c>
      <c r="G2436" s="144">
        <v>1.3951</v>
      </c>
    </row>
    <row r="2437" spans="1:7" x14ac:dyDescent="0.25">
      <c r="A2437" s="145">
        <v>40333</v>
      </c>
      <c r="B2437" s="144">
        <v>1.206</v>
      </c>
      <c r="C2437" s="144">
        <v>37.744999999999997</v>
      </c>
      <c r="D2437" s="144">
        <v>7.851</v>
      </c>
      <c r="E2437" s="144">
        <v>111.73</v>
      </c>
      <c r="F2437" s="144">
        <v>0.82745000000000002</v>
      </c>
      <c r="G2437" s="144">
        <v>1.3951</v>
      </c>
    </row>
    <row r="2438" spans="1:7" x14ac:dyDescent="0.25">
      <c r="A2438" s="145">
        <v>40332</v>
      </c>
      <c r="B2438" s="144">
        <v>1.2267999999999999</v>
      </c>
      <c r="C2438" s="144">
        <v>37.982799999999997</v>
      </c>
      <c r="D2438" s="144">
        <v>7.8659999999999997</v>
      </c>
      <c r="E2438" s="144">
        <v>113.74</v>
      </c>
      <c r="F2438" s="144">
        <v>0.8357</v>
      </c>
      <c r="G2438" s="144">
        <v>1.4149</v>
      </c>
    </row>
    <row r="2439" spans="1:7" x14ac:dyDescent="0.25">
      <c r="A2439" s="145">
        <v>40331</v>
      </c>
      <c r="B2439" s="144">
        <v>1.2218</v>
      </c>
      <c r="C2439" s="144">
        <v>38.063000000000002</v>
      </c>
      <c r="D2439" s="144">
        <v>7.9219999999999997</v>
      </c>
      <c r="E2439" s="144">
        <v>112.36</v>
      </c>
      <c r="F2439" s="144">
        <v>0.83345000000000002</v>
      </c>
      <c r="G2439" s="144">
        <v>1.4148000000000001</v>
      </c>
    </row>
    <row r="2440" spans="1:7" x14ac:dyDescent="0.25">
      <c r="A2440" s="145">
        <v>40330</v>
      </c>
      <c r="B2440" s="144">
        <v>1.2155</v>
      </c>
      <c r="C2440" s="144">
        <v>38.029000000000003</v>
      </c>
      <c r="D2440" s="144">
        <v>7.9420000000000002</v>
      </c>
      <c r="E2440" s="144">
        <v>110.65</v>
      </c>
      <c r="F2440" s="144">
        <v>0.8347</v>
      </c>
      <c r="G2440" s="144">
        <v>1.4182999999999999</v>
      </c>
    </row>
    <row r="2441" spans="1:7" x14ac:dyDescent="0.25">
      <c r="A2441" s="145">
        <v>40329</v>
      </c>
      <c r="B2441" s="144">
        <v>1.2306999999999999</v>
      </c>
      <c r="C2441" s="144">
        <v>38.033999999999999</v>
      </c>
      <c r="D2441" s="144">
        <v>7.9390000000000001</v>
      </c>
      <c r="E2441" s="144">
        <v>112.62</v>
      </c>
      <c r="F2441" s="144">
        <v>0.84863</v>
      </c>
      <c r="G2441" s="144">
        <v>1.423</v>
      </c>
    </row>
    <row r="2442" spans="1:7" x14ac:dyDescent="0.25">
      <c r="A2442" s="145">
        <v>40328</v>
      </c>
      <c r="B2442" s="144">
        <v>1.2383999999999999</v>
      </c>
      <c r="C2442" s="144">
        <v>37.92</v>
      </c>
      <c r="D2442" s="144">
        <v>7.9615</v>
      </c>
      <c r="E2442" s="144">
        <v>113.06</v>
      </c>
      <c r="F2442" s="144">
        <v>0.84994999999999998</v>
      </c>
      <c r="G2442" s="144">
        <v>1.4258</v>
      </c>
    </row>
    <row r="2443" spans="1:7" x14ac:dyDescent="0.25">
      <c r="A2443" s="145">
        <v>40327</v>
      </c>
      <c r="B2443" s="144">
        <v>1.2383999999999999</v>
      </c>
      <c r="C2443" s="144">
        <v>37.92</v>
      </c>
      <c r="D2443" s="144">
        <v>7.9615</v>
      </c>
      <c r="E2443" s="144">
        <v>113.06</v>
      </c>
      <c r="F2443" s="144">
        <v>0.84994999999999998</v>
      </c>
      <c r="G2443" s="144">
        <v>1.4258</v>
      </c>
    </row>
    <row r="2444" spans="1:7" x14ac:dyDescent="0.25">
      <c r="A2444" s="145">
        <v>40326</v>
      </c>
      <c r="B2444" s="144">
        <v>1.2383999999999999</v>
      </c>
      <c r="C2444" s="144">
        <v>37.92</v>
      </c>
      <c r="D2444" s="144">
        <v>7.9615</v>
      </c>
      <c r="E2444" s="144">
        <v>113.06</v>
      </c>
      <c r="F2444" s="144">
        <v>0.84994999999999998</v>
      </c>
      <c r="G2444" s="144">
        <v>1.4258</v>
      </c>
    </row>
    <row r="2445" spans="1:7" x14ac:dyDescent="0.25">
      <c r="A2445" s="145">
        <v>40325</v>
      </c>
      <c r="B2445" s="144">
        <v>1.2255</v>
      </c>
      <c r="C2445" s="144">
        <v>37.795000000000002</v>
      </c>
      <c r="D2445" s="144">
        <v>7.9859999999999998</v>
      </c>
      <c r="E2445" s="144">
        <v>110.79</v>
      </c>
      <c r="F2445" s="144">
        <v>0.84624999999999995</v>
      </c>
      <c r="G2445" s="144">
        <v>1.4164000000000001</v>
      </c>
    </row>
    <row r="2446" spans="1:7" x14ac:dyDescent="0.25">
      <c r="A2446" s="145">
        <v>40324</v>
      </c>
      <c r="B2446" s="144">
        <v>1.2309000000000001</v>
      </c>
      <c r="C2446" s="144">
        <v>38.288499999999999</v>
      </c>
      <c r="D2446" s="144">
        <v>7.9775</v>
      </c>
      <c r="E2446" s="144">
        <v>111.35</v>
      </c>
      <c r="F2446" s="144">
        <v>0.85470000000000002</v>
      </c>
      <c r="G2446" s="144">
        <v>1.4206000000000001</v>
      </c>
    </row>
    <row r="2447" spans="1:7" x14ac:dyDescent="0.25">
      <c r="A2447" s="145">
        <v>40323</v>
      </c>
      <c r="B2447" s="144">
        <v>1.2222999999999999</v>
      </c>
      <c r="C2447" s="144">
        <v>38.505000000000003</v>
      </c>
      <c r="D2447" s="144">
        <v>8.1270000000000007</v>
      </c>
      <c r="E2447" s="144">
        <v>109.53</v>
      </c>
      <c r="F2447" s="144">
        <v>0.85204999999999997</v>
      </c>
      <c r="G2447" s="144">
        <v>1.4244000000000001</v>
      </c>
    </row>
    <row r="2448" spans="1:7" x14ac:dyDescent="0.25">
      <c r="A2448" s="145">
        <v>40322</v>
      </c>
      <c r="B2448" s="144">
        <v>1.236</v>
      </c>
      <c r="C2448" s="144">
        <v>38.450000000000003</v>
      </c>
      <c r="D2448" s="144">
        <v>8.0847999999999995</v>
      </c>
      <c r="E2448" s="144">
        <v>111.63</v>
      </c>
      <c r="F2448" s="144">
        <v>0.86080000000000001</v>
      </c>
      <c r="G2448" s="144">
        <v>1.4339</v>
      </c>
    </row>
    <row r="2449" spans="1:7" x14ac:dyDescent="0.25">
      <c r="A2449" s="145">
        <v>40321</v>
      </c>
      <c r="B2449" s="144">
        <v>1.2497</v>
      </c>
      <c r="C2449" s="144">
        <v>39.045900000000003</v>
      </c>
      <c r="D2449" s="144">
        <v>8.1430000000000007</v>
      </c>
      <c r="E2449" s="144">
        <v>112.08</v>
      </c>
      <c r="F2449" s="144">
        <v>0.87034999999999996</v>
      </c>
      <c r="G2449" s="144">
        <v>1.4408000000000001</v>
      </c>
    </row>
    <row r="2450" spans="1:7" x14ac:dyDescent="0.25">
      <c r="A2450" s="145">
        <v>40320</v>
      </c>
      <c r="B2450" s="144">
        <v>1.2497</v>
      </c>
      <c r="C2450" s="144">
        <v>39.045900000000003</v>
      </c>
      <c r="D2450" s="144">
        <v>8.1430000000000007</v>
      </c>
      <c r="E2450" s="144">
        <v>112.08</v>
      </c>
      <c r="F2450" s="144">
        <v>0.87034999999999996</v>
      </c>
      <c r="G2450" s="144">
        <v>1.4408000000000001</v>
      </c>
    </row>
    <row r="2451" spans="1:7" x14ac:dyDescent="0.25">
      <c r="A2451" s="145">
        <v>40319</v>
      </c>
      <c r="B2451" s="144">
        <v>1.2497</v>
      </c>
      <c r="C2451" s="144">
        <v>39.045900000000003</v>
      </c>
      <c r="D2451" s="144">
        <v>8.1430000000000007</v>
      </c>
      <c r="E2451" s="144">
        <v>112.08</v>
      </c>
      <c r="F2451" s="144">
        <v>0.87034999999999996</v>
      </c>
      <c r="G2451" s="144">
        <v>1.4408000000000001</v>
      </c>
    </row>
    <row r="2452" spans="1:7" x14ac:dyDescent="0.25">
      <c r="A2452" s="145">
        <v>40318</v>
      </c>
      <c r="B2452" s="144">
        <v>1.2334000000000001</v>
      </c>
      <c r="C2452" s="144">
        <v>38.558999999999997</v>
      </c>
      <c r="D2452" s="144">
        <v>8.0449999999999999</v>
      </c>
      <c r="E2452" s="144">
        <v>111.93</v>
      </c>
      <c r="F2452" s="144">
        <v>0.86439999999999995</v>
      </c>
      <c r="G2452" s="144">
        <v>1.4178999999999999</v>
      </c>
    </row>
    <row r="2453" spans="1:7" x14ac:dyDescent="0.25">
      <c r="A2453" s="145">
        <v>40317</v>
      </c>
      <c r="B2453" s="144">
        <v>1.2270000000000001</v>
      </c>
      <c r="C2453" s="144">
        <v>37.78</v>
      </c>
      <c r="D2453" s="144">
        <v>7.8019999999999996</v>
      </c>
      <c r="E2453" s="144">
        <v>112.49</v>
      </c>
      <c r="F2453" s="144">
        <v>0.85804999999999998</v>
      </c>
      <c r="G2453" s="144">
        <v>1.4043000000000001</v>
      </c>
    </row>
    <row r="2454" spans="1:7" x14ac:dyDescent="0.25">
      <c r="A2454" s="145">
        <v>40316</v>
      </c>
      <c r="B2454" s="144">
        <v>1.2427999999999999</v>
      </c>
      <c r="C2454" s="144">
        <v>37.603000000000002</v>
      </c>
      <c r="D2454" s="144">
        <v>7.7279999999999998</v>
      </c>
      <c r="E2454" s="144">
        <v>115.32</v>
      </c>
      <c r="F2454" s="144">
        <v>0.85894999999999999</v>
      </c>
      <c r="G2454" s="144">
        <v>1.4028</v>
      </c>
    </row>
    <row r="2455" spans="1:7" x14ac:dyDescent="0.25">
      <c r="A2455" s="145">
        <v>40315</v>
      </c>
      <c r="B2455" s="144">
        <v>1.2349000000000001</v>
      </c>
      <c r="C2455" s="144">
        <v>37.625999999999998</v>
      </c>
      <c r="D2455" s="144">
        <v>7.7220000000000004</v>
      </c>
      <c r="E2455" s="144">
        <v>114.17</v>
      </c>
      <c r="F2455" s="144">
        <v>0.85540000000000005</v>
      </c>
      <c r="G2455" s="144">
        <v>1.4014</v>
      </c>
    </row>
    <row r="2456" spans="1:7" x14ac:dyDescent="0.25">
      <c r="A2456" s="145">
        <v>40314</v>
      </c>
      <c r="B2456" s="144">
        <v>1.2492000000000001</v>
      </c>
      <c r="C2456" s="144">
        <v>37.732500000000002</v>
      </c>
      <c r="D2456" s="144">
        <v>7.726</v>
      </c>
      <c r="E2456" s="144">
        <v>115.55</v>
      </c>
      <c r="F2456" s="144">
        <v>0.85709999999999997</v>
      </c>
      <c r="G2456" s="144">
        <v>1.4019999999999999</v>
      </c>
    </row>
    <row r="2457" spans="1:7" x14ac:dyDescent="0.25">
      <c r="A2457" s="145">
        <v>40313</v>
      </c>
      <c r="B2457" s="144">
        <v>1.2492000000000001</v>
      </c>
      <c r="C2457" s="144">
        <v>37.732500000000002</v>
      </c>
      <c r="D2457" s="144">
        <v>7.726</v>
      </c>
      <c r="E2457" s="144">
        <v>115.55</v>
      </c>
      <c r="F2457" s="144">
        <v>0.85709999999999997</v>
      </c>
      <c r="G2457" s="144">
        <v>1.4019999999999999</v>
      </c>
    </row>
    <row r="2458" spans="1:7" x14ac:dyDescent="0.25">
      <c r="A2458" s="145">
        <v>40312</v>
      </c>
      <c r="B2458" s="144">
        <v>1.2492000000000001</v>
      </c>
      <c r="C2458" s="144">
        <v>37.732500000000002</v>
      </c>
      <c r="D2458" s="144">
        <v>7.726</v>
      </c>
      <c r="E2458" s="144">
        <v>115.55</v>
      </c>
      <c r="F2458" s="144">
        <v>0.85709999999999997</v>
      </c>
      <c r="G2458" s="144">
        <v>1.4019999999999999</v>
      </c>
    </row>
    <row r="2459" spans="1:7" x14ac:dyDescent="0.25">
      <c r="A2459" s="145">
        <v>40311</v>
      </c>
      <c r="B2459" s="144">
        <v>1.2586999999999999</v>
      </c>
      <c r="C2459" s="144">
        <v>37.72</v>
      </c>
      <c r="D2459" s="144">
        <v>7.7474999999999996</v>
      </c>
      <c r="E2459" s="144">
        <v>116.99</v>
      </c>
      <c r="F2459" s="144">
        <v>0.85299999999999998</v>
      </c>
      <c r="G2459" s="144">
        <v>1.4011</v>
      </c>
    </row>
    <row r="2460" spans="1:7" x14ac:dyDescent="0.25">
      <c r="A2460" s="145">
        <v>40310</v>
      </c>
      <c r="B2460" s="144">
        <v>1.2685999999999999</v>
      </c>
      <c r="C2460" s="144">
        <v>38.027700000000003</v>
      </c>
      <c r="D2460" s="144">
        <v>7.7865000000000002</v>
      </c>
      <c r="E2460" s="144">
        <v>118.06</v>
      </c>
      <c r="F2460" s="144">
        <v>0.84940000000000004</v>
      </c>
      <c r="G2460" s="144">
        <v>1.4061999999999999</v>
      </c>
    </row>
    <row r="2461" spans="1:7" x14ac:dyDescent="0.25">
      <c r="A2461" s="145">
        <v>40309</v>
      </c>
      <c r="B2461" s="144">
        <v>1.2698</v>
      </c>
      <c r="C2461" s="144">
        <v>38.384</v>
      </c>
      <c r="D2461" s="144">
        <v>7.8410000000000002</v>
      </c>
      <c r="E2461" s="144">
        <v>117.38</v>
      </c>
      <c r="F2461" s="144">
        <v>0.85960000000000003</v>
      </c>
      <c r="G2461" s="144">
        <v>1.4095</v>
      </c>
    </row>
    <row r="2462" spans="1:7" x14ac:dyDescent="0.25">
      <c r="A2462" s="145">
        <v>40308</v>
      </c>
      <c r="B2462" s="144">
        <v>1.2968999999999999</v>
      </c>
      <c r="C2462" s="144">
        <v>38.869100000000003</v>
      </c>
      <c r="D2462" s="144">
        <v>7.8685</v>
      </c>
      <c r="E2462" s="144">
        <v>120.97</v>
      </c>
      <c r="F2462" s="144">
        <v>0.86404999999999998</v>
      </c>
      <c r="G2462" s="144">
        <v>1.4248000000000001</v>
      </c>
    </row>
    <row r="2463" spans="1:7" x14ac:dyDescent="0.25">
      <c r="A2463" s="145">
        <v>40307</v>
      </c>
      <c r="B2463" s="144">
        <v>1.2746</v>
      </c>
      <c r="C2463" s="144">
        <v>38.898000000000003</v>
      </c>
      <c r="D2463" s="144">
        <v>7.9539999999999997</v>
      </c>
      <c r="E2463" s="144">
        <v>117.84</v>
      </c>
      <c r="F2463" s="144">
        <v>0.86804999999999999</v>
      </c>
      <c r="G2463" s="144">
        <v>1.4144000000000001</v>
      </c>
    </row>
    <row r="2464" spans="1:7" x14ac:dyDescent="0.25">
      <c r="A2464" s="145">
        <v>40306</v>
      </c>
      <c r="B2464" s="144">
        <v>1.2746</v>
      </c>
      <c r="C2464" s="144">
        <v>38.898000000000003</v>
      </c>
      <c r="D2464" s="144">
        <v>7.9539999999999997</v>
      </c>
      <c r="E2464" s="144">
        <v>117.84</v>
      </c>
      <c r="F2464" s="144">
        <v>0.86804999999999999</v>
      </c>
      <c r="G2464" s="144">
        <v>1.4144000000000001</v>
      </c>
    </row>
    <row r="2465" spans="1:7" x14ac:dyDescent="0.25">
      <c r="A2465" s="145">
        <v>40305</v>
      </c>
      <c r="B2465" s="144">
        <v>1.2746</v>
      </c>
      <c r="C2465" s="144">
        <v>38.898000000000003</v>
      </c>
      <c r="D2465" s="144">
        <v>7.9539999999999997</v>
      </c>
      <c r="E2465" s="144">
        <v>117.84</v>
      </c>
      <c r="F2465" s="144">
        <v>0.86804999999999999</v>
      </c>
      <c r="G2465" s="144">
        <v>1.4144000000000001</v>
      </c>
    </row>
    <row r="2466" spans="1:7" x14ac:dyDescent="0.25">
      <c r="A2466" s="145">
        <v>40304</v>
      </c>
      <c r="B2466" s="144">
        <v>1.2726999999999999</v>
      </c>
      <c r="C2466" s="144">
        <v>38.615000000000002</v>
      </c>
      <c r="D2466" s="144">
        <v>7.7854999999999999</v>
      </c>
      <c r="E2466" s="144">
        <v>119.34</v>
      </c>
      <c r="F2466" s="144">
        <v>0.84294999999999998</v>
      </c>
      <c r="G2466" s="144">
        <v>1.4132</v>
      </c>
    </row>
    <row r="2467" spans="1:7" x14ac:dyDescent="0.25">
      <c r="A2467" s="145">
        <v>40303</v>
      </c>
      <c r="B2467" s="144">
        <v>1.2924</v>
      </c>
      <c r="C2467" s="144">
        <v>38.511000000000003</v>
      </c>
      <c r="D2467" s="144">
        <v>7.8164999999999996</v>
      </c>
      <c r="E2467" s="144">
        <v>122.66</v>
      </c>
      <c r="F2467" s="144">
        <v>0.85509999999999997</v>
      </c>
      <c r="G2467" s="144">
        <v>1.4325000000000001</v>
      </c>
    </row>
    <row r="2468" spans="1:7" x14ac:dyDescent="0.25">
      <c r="A2468" s="145">
        <v>40302</v>
      </c>
      <c r="B2468" s="144">
        <v>1.3089</v>
      </c>
      <c r="C2468" s="144">
        <v>38.54</v>
      </c>
      <c r="D2468" s="144">
        <v>7.8235000000000001</v>
      </c>
      <c r="E2468" s="144">
        <v>123.66</v>
      </c>
      <c r="F2468" s="144">
        <v>0.86324999999999996</v>
      </c>
      <c r="G2468" s="144">
        <v>1.4325000000000001</v>
      </c>
    </row>
    <row r="2469" spans="1:7" x14ac:dyDescent="0.25">
      <c r="A2469" s="145">
        <v>40301</v>
      </c>
      <c r="B2469" s="144">
        <v>1.3238000000000001</v>
      </c>
      <c r="C2469" s="144">
        <v>38.78</v>
      </c>
      <c r="D2469" s="144">
        <v>7.8395000000000001</v>
      </c>
      <c r="E2469" s="144">
        <v>124.95</v>
      </c>
      <c r="F2469" s="144">
        <v>0.86799999999999999</v>
      </c>
      <c r="G2469" s="144">
        <v>1.4328000000000001</v>
      </c>
    </row>
    <row r="2470" spans="1:7" x14ac:dyDescent="0.25">
      <c r="A2470" s="145">
        <v>40300</v>
      </c>
      <c r="B2470" s="144">
        <v>1.3314999999999999</v>
      </c>
      <c r="C2470" s="144">
        <v>38.838999999999999</v>
      </c>
      <c r="D2470" s="144">
        <v>7.8445</v>
      </c>
      <c r="E2470" s="144">
        <v>125.81</v>
      </c>
      <c r="F2470" s="144">
        <v>0.87029999999999996</v>
      </c>
      <c r="G2470" s="144">
        <v>1.4340999999999999</v>
      </c>
    </row>
    <row r="2471" spans="1:7" x14ac:dyDescent="0.25">
      <c r="A2471" s="145">
        <v>40299</v>
      </c>
      <c r="B2471" s="144">
        <v>1.3314999999999999</v>
      </c>
      <c r="C2471" s="144">
        <v>38.838999999999999</v>
      </c>
      <c r="D2471" s="144">
        <v>7.8445</v>
      </c>
      <c r="E2471" s="144">
        <v>125.81</v>
      </c>
      <c r="F2471" s="144">
        <v>0.87029999999999996</v>
      </c>
      <c r="G2471" s="144">
        <v>1.4340999999999999</v>
      </c>
    </row>
    <row r="2472" spans="1:7" x14ac:dyDescent="0.25">
      <c r="A2472" s="145">
        <v>40298</v>
      </c>
      <c r="B2472" s="144">
        <v>1.3314999999999999</v>
      </c>
      <c r="C2472" s="144">
        <v>38.838999999999999</v>
      </c>
      <c r="D2472" s="144">
        <v>7.8445</v>
      </c>
      <c r="E2472" s="144">
        <v>125.81</v>
      </c>
      <c r="F2472" s="144">
        <v>0.87029999999999996</v>
      </c>
      <c r="G2472" s="144">
        <v>1.4340999999999999</v>
      </c>
    </row>
    <row r="2473" spans="1:7" x14ac:dyDescent="0.25">
      <c r="A2473" s="145">
        <v>40297</v>
      </c>
      <c r="B2473" s="144">
        <v>1.3255999999999999</v>
      </c>
      <c r="C2473" s="144">
        <v>38.7577</v>
      </c>
      <c r="D2473" s="144">
        <v>7.843</v>
      </c>
      <c r="E2473" s="144">
        <v>124.76</v>
      </c>
      <c r="F2473" s="144">
        <v>0.86785000000000001</v>
      </c>
      <c r="G2473" s="144">
        <v>1.4348000000000001</v>
      </c>
    </row>
    <row r="2474" spans="1:7" x14ac:dyDescent="0.25">
      <c r="A2474" s="145">
        <v>40296</v>
      </c>
      <c r="B2474" s="144">
        <v>1.3245</v>
      </c>
      <c r="C2474" s="144">
        <v>38.820500000000003</v>
      </c>
      <c r="D2474" s="144">
        <v>7.875</v>
      </c>
      <c r="E2474" s="144">
        <v>124.48</v>
      </c>
      <c r="F2474" s="144">
        <v>0.87080000000000002</v>
      </c>
      <c r="G2474" s="144">
        <v>1.4340999999999999</v>
      </c>
    </row>
    <row r="2475" spans="1:7" x14ac:dyDescent="0.25">
      <c r="A2475" s="145">
        <v>40295</v>
      </c>
      <c r="B2475" s="144">
        <v>1.329</v>
      </c>
      <c r="C2475" s="144">
        <v>38.79</v>
      </c>
      <c r="D2475" s="144">
        <v>7.8440000000000003</v>
      </c>
      <c r="E2475" s="144">
        <v>124.7</v>
      </c>
      <c r="F2475" s="144">
        <v>0.86704999999999999</v>
      </c>
      <c r="G2475" s="144">
        <v>1.4353</v>
      </c>
    </row>
    <row r="2476" spans="1:7" x14ac:dyDescent="0.25">
      <c r="A2476" s="145">
        <v>40294</v>
      </c>
      <c r="B2476" s="144">
        <v>1.3321000000000001</v>
      </c>
      <c r="C2476" s="144">
        <v>38.770000000000003</v>
      </c>
      <c r="D2476" s="144">
        <v>7.8505000000000003</v>
      </c>
      <c r="E2476" s="144">
        <v>125.46</v>
      </c>
      <c r="F2476" s="144">
        <v>0.86240000000000006</v>
      </c>
      <c r="G2476" s="144">
        <v>1.4340999999999999</v>
      </c>
    </row>
    <row r="2477" spans="1:7" x14ac:dyDescent="0.25">
      <c r="A2477" s="145">
        <v>40293</v>
      </c>
      <c r="B2477" s="144">
        <v>1.3310999999999999</v>
      </c>
      <c r="C2477" s="144">
        <v>38.859200000000001</v>
      </c>
      <c r="D2477" s="144">
        <v>7.8765000000000001</v>
      </c>
      <c r="E2477" s="144">
        <v>125.11</v>
      </c>
      <c r="F2477" s="144">
        <v>0.86729999999999996</v>
      </c>
      <c r="G2477" s="144">
        <v>1.4355</v>
      </c>
    </row>
    <row r="2478" spans="1:7" x14ac:dyDescent="0.25">
      <c r="A2478" s="145">
        <v>40292</v>
      </c>
      <c r="B2478" s="144">
        <v>1.3310999999999999</v>
      </c>
      <c r="C2478" s="144">
        <v>38.859200000000001</v>
      </c>
      <c r="D2478" s="144">
        <v>7.8765000000000001</v>
      </c>
      <c r="E2478" s="144">
        <v>125.11</v>
      </c>
      <c r="F2478" s="144">
        <v>0.86729999999999996</v>
      </c>
      <c r="G2478" s="144">
        <v>1.4355</v>
      </c>
    </row>
    <row r="2479" spans="1:7" x14ac:dyDescent="0.25">
      <c r="A2479" s="145">
        <v>40291</v>
      </c>
      <c r="B2479" s="144">
        <v>1.3310999999999999</v>
      </c>
      <c r="C2479" s="144">
        <v>38.859200000000001</v>
      </c>
      <c r="D2479" s="144">
        <v>7.8765000000000001</v>
      </c>
      <c r="E2479" s="144">
        <v>125.11</v>
      </c>
      <c r="F2479" s="144">
        <v>0.86729999999999996</v>
      </c>
      <c r="G2479" s="144">
        <v>1.4355</v>
      </c>
    </row>
    <row r="2480" spans="1:7" x14ac:dyDescent="0.25">
      <c r="A2480" s="145">
        <v>40290</v>
      </c>
      <c r="B2480" s="144">
        <v>1.3339000000000001</v>
      </c>
      <c r="C2480" s="144">
        <v>38.9285</v>
      </c>
      <c r="D2480" s="144">
        <v>7.8994999999999997</v>
      </c>
      <c r="E2480" s="144">
        <v>124.03</v>
      </c>
      <c r="F2480" s="144">
        <v>0.86675000000000002</v>
      </c>
      <c r="G2480" s="144">
        <v>1.4325000000000001</v>
      </c>
    </row>
    <row r="2481" spans="1:7" x14ac:dyDescent="0.25">
      <c r="A2481" s="145">
        <v>40289</v>
      </c>
      <c r="B2481" s="144">
        <v>1.3372999999999999</v>
      </c>
      <c r="C2481" s="144">
        <v>38.984499999999997</v>
      </c>
      <c r="D2481" s="144">
        <v>7.8955000000000002</v>
      </c>
      <c r="E2481" s="144">
        <v>124.65</v>
      </c>
      <c r="F2481" s="144">
        <v>0.86899999999999999</v>
      </c>
      <c r="G2481" s="144">
        <v>1.4329000000000001</v>
      </c>
    </row>
    <row r="2482" spans="1:7" x14ac:dyDescent="0.25">
      <c r="A2482" s="145">
        <v>40288</v>
      </c>
      <c r="B2482" s="144">
        <v>1.3486</v>
      </c>
      <c r="C2482" s="144">
        <v>39.253500000000003</v>
      </c>
      <c r="D2482" s="144">
        <v>7.9474999999999998</v>
      </c>
      <c r="E2482" s="144">
        <v>125.32</v>
      </c>
      <c r="F2482" s="144">
        <v>0.87649999999999995</v>
      </c>
      <c r="G2482" s="144">
        <v>1.4334</v>
      </c>
    </row>
    <row r="2483" spans="1:7" x14ac:dyDescent="0.25">
      <c r="A2483" s="145">
        <v>40287</v>
      </c>
      <c r="B2483" s="144">
        <v>1.3431999999999999</v>
      </c>
      <c r="C2483" s="144">
        <v>39.267499999999998</v>
      </c>
      <c r="D2483" s="144">
        <v>7.9829999999999997</v>
      </c>
      <c r="E2483" s="144">
        <v>123.5</v>
      </c>
      <c r="F2483" s="144">
        <v>0.88049999999999995</v>
      </c>
      <c r="G2483" s="144">
        <v>1.4345000000000001</v>
      </c>
    </row>
    <row r="2484" spans="1:7" x14ac:dyDescent="0.25">
      <c r="A2484" s="145">
        <v>40286</v>
      </c>
      <c r="B2484" s="144">
        <v>1.3534999999999999</v>
      </c>
      <c r="C2484" s="144">
        <v>39.295000000000002</v>
      </c>
      <c r="D2484" s="144">
        <v>7.9550000000000001</v>
      </c>
      <c r="E2484" s="144">
        <v>125.3</v>
      </c>
      <c r="F2484" s="144">
        <v>0.87709999999999999</v>
      </c>
      <c r="G2484" s="144">
        <v>1.4338</v>
      </c>
    </row>
    <row r="2485" spans="1:7" x14ac:dyDescent="0.25">
      <c r="A2485" s="145">
        <v>40285</v>
      </c>
      <c r="B2485" s="144">
        <v>1.3534999999999999</v>
      </c>
      <c r="C2485" s="144">
        <v>39.295000000000002</v>
      </c>
      <c r="D2485" s="144">
        <v>7.9550000000000001</v>
      </c>
      <c r="E2485" s="144">
        <v>125.3</v>
      </c>
      <c r="F2485" s="144">
        <v>0.87709999999999999</v>
      </c>
      <c r="G2485" s="144">
        <v>1.4338</v>
      </c>
    </row>
    <row r="2486" spans="1:7" x14ac:dyDescent="0.25">
      <c r="A2486" s="145">
        <v>40284</v>
      </c>
      <c r="B2486" s="144">
        <v>1.3534999999999999</v>
      </c>
      <c r="C2486" s="144">
        <v>39.295000000000002</v>
      </c>
      <c r="D2486" s="144">
        <v>7.9550000000000001</v>
      </c>
      <c r="E2486" s="144">
        <v>125.3</v>
      </c>
      <c r="F2486" s="144">
        <v>0.87709999999999999</v>
      </c>
      <c r="G2486" s="144">
        <v>1.4338</v>
      </c>
    </row>
    <row r="2487" spans="1:7" x14ac:dyDescent="0.25">
      <c r="A2487" s="145">
        <v>40283</v>
      </c>
      <c r="B2487" s="144">
        <v>1.3544</v>
      </c>
      <c r="C2487" s="144">
        <v>39.33</v>
      </c>
      <c r="D2487" s="144">
        <v>7.952</v>
      </c>
      <c r="E2487" s="144">
        <v>126.18</v>
      </c>
      <c r="F2487" s="144">
        <v>0.87734999999999996</v>
      </c>
      <c r="G2487" s="144">
        <v>1.4342999999999999</v>
      </c>
    </row>
    <row r="2488" spans="1:7" x14ac:dyDescent="0.25">
      <c r="A2488" s="145">
        <v>40282</v>
      </c>
      <c r="B2488" s="144">
        <v>1.3614999999999999</v>
      </c>
      <c r="C2488" s="144">
        <v>39.484499999999997</v>
      </c>
      <c r="D2488" s="144">
        <v>7.9954999999999998</v>
      </c>
      <c r="E2488" s="144">
        <v>127.42</v>
      </c>
      <c r="F2488" s="144">
        <v>0.88139999999999996</v>
      </c>
      <c r="G2488" s="144">
        <v>1.4368000000000001</v>
      </c>
    </row>
    <row r="2489" spans="1:7" x14ac:dyDescent="0.25">
      <c r="A2489" s="145">
        <v>40281</v>
      </c>
      <c r="B2489" s="144">
        <v>1.3583000000000001</v>
      </c>
      <c r="C2489" s="144">
        <v>39.502499999999998</v>
      </c>
      <c r="D2489" s="144">
        <v>7.9939999999999998</v>
      </c>
      <c r="E2489" s="144">
        <v>126.34</v>
      </c>
      <c r="F2489" s="144">
        <v>0.88119999999999998</v>
      </c>
      <c r="G2489" s="144">
        <v>1.4370000000000001</v>
      </c>
    </row>
    <row r="2490" spans="1:7" x14ac:dyDescent="0.25">
      <c r="A2490" s="145">
        <v>40280</v>
      </c>
      <c r="B2490" s="144">
        <v>1.3585</v>
      </c>
      <c r="C2490" s="144">
        <v>39.394599999999997</v>
      </c>
      <c r="D2490" s="144">
        <v>8.0084999999999997</v>
      </c>
      <c r="E2490" s="144">
        <v>126.99</v>
      </c>
      <c r="F2490" s="144">
        <v>0.88249999999999995</v>
      </c>
      <c r="G2490" s="144">
        <v>1.4393</v>
      </c>
    </row>
    <row r="2491" spans="1:7" x14ac:dyDescent="0.25">
      <c r="A2491" s="145">
        <v>40279</v>
      </c>
      <c r="B2491" s="144">
        <v>1.3384</v>
      </c>
      <c r="C2491" s="144">
        <v>39.202500000000001</v>
      </c>
      <c r="D2491" s="144">
        <v>7.9364999999999997</v>
      </c>
      <c r="E2491" s="144">
        <v>125.34</v>
      </c>
      <c r="F2491" s="144">
        <v>0.872</v>
      </c>
      <c r="G2491" s="144">
        <v>1.4363999999999999</v>
      </c>
    </row>
    <row r="2492" spans="1:7" x14ac:dyDescent="0.25">
      <c r="A2492" s="145">
        <v>40278</v>
      </c>
      <c r="B2492" s="144">
        <v>1.3384</v>
      </c>
      <c r="C2492" s="144">
        <v>39.202500000000001</v>
      </c>
      <c r="D2492" s="144">
        <v>7.9364999999999997</v>
      </c>
      <c r="E2492" s="144">
        <v>125.34</v>
      </c>
      <c r="F2492" s="144">
        <v>0.872</v>
      </c>
      <c r="G2492" s="144">
        <v>1.4363999999999999</v>
      </c>
    </row>
    <row r="2493" spans="1:7" x14ac:dyDescent="0.25">
      <c r="A2493" s="145">
        <v>40277</v>
      </c>
      <c r="B2493" s="144">
        <v>1.3384</v>
      </c>
      <c r="C2493" s="144">
        <v>39.202500000000001</v>
      </c>
      <c r="D2493" s="144">
        <v>7.9364999999999997</v>
      </c>
      <c r="E2493" s="144">
        <v>125.34</v>
      </c>
      <c r="F2493" s="144">
        <v>0.872</v>
      </c>
      <c r="G2493" s="144">
        <v>1.4363999999999999</v>
      </c>
    </row>
    <row r="2494" spans="1:7" x14ac:dyDescent="0.25">
      <c r="A2494" s="145">
        <v>40276</v>
      </c>
      <c r="B2494" s="144">
        <v>1.3295999999999999</v>
      </c>
      <c r="C2494" s="144">
        <v>39.174199999999999</v>
      </c>
      <c r="D2494" s="144">
        <v>7.9504999999999999</v>
      </c>
      <c r="E2494" s="144">
        <v>123.76</v>
      </c>
      <c r="F2494" s="144">
        <v>0.875</v>
      </c>
      <c r="G2494" s="144">
        <v>1.4323999999999999</v>
      </c>
    </row>
    <row r="2495" spans="1:7" x14ac:dyDescent="0.25">
      <c r="A2495" s="145">
        <v>40275</v>
      </c>
      <c r="B2495" s="144">
        <v>1.3340000000000001</v>
      </c>
      <c r="C2495" s="144">
        <v>39.143500000000003</v>
      </c>
      <c r="D2495" s="144">
        <v>7.9649999999999999</v>
      </c>
      <c r="E2495" s="144">
        <v>125.04</v>
      </c>
      <c r="F2495" s="144">
        <v>0.87885000000000002</v>
      </c>
      <c r="G2495" s="144">
        <v>1.4320999999999999</v>
      </c>
    </row>
    <row r="2496" spans="1:7" x14ac:dyDescent="0.25">
      <c r="A2496" s="145">
        <v>40274</v>
      </c>
      <c r="B2496" s="144">
        <v>1.3395999999999999</v>
      </c>
      <c r="C2496" s="144">
        <v>39.273499999999999</v>
      </c>
      <c r="D2496" s="144">
        <v>8.0123999999999995</v>
      </c>
      <c r="E2496" s="144">
        <v>126.04</v>
      </c>
      <c r="F2496" s="144">
        <v>0.88239999999999996</v>
      </c>
      <c r="G2496" s="144">
        <v>1.4325000000000001</v>
      </c>
    </row>
    <row r="2497" spans="1:8" x14ac:dyDescent="0.25">
      <c r="A2497" s="145">
        <v>40273</v>
      </c>
      <c r="B2497" s="144">
        <v>1.3468</v>
      </c>
      <c r="C2497" s="144">
        <v>39.598500000000001</v>
      </c>
      <c r="D2497" s="144">
        <v>8.0167999999999999</v>
      </c>
      <c r="E2497" s="144">
        <v>126.28</v>
      </c>
      <c r="F2497" s="144">
        <v>0.88485000000000003</v>
      </c>
      <c r="G2497" s="144">
        <v>1.4178999999999999</v>
      </c>
    </row>
    <row r="2498" spans="1:8" x14ac:dyDescent="0.25">
      <c r="A2498" s="145">
        <v>40272</v>
      </c>
      <c r="B2498" s="144">
        <v>1.3468</v>
      </c>
      <c r="C2498" s="144">
        <v>39.598500000000001</v>
      </c>
      <c r="D2498" s="144">
        <v>8.0167999999999999</v>
      </c>
      <c r="E2498" s="144">
        <v>126.28</v>
      </c>
      <c r="F2498" s="144">
        <v>0.88485000000000003</v>
      </c>
      <c r="G2498" s="144">
        <v>1.4178999999999999</v>
      </c>
    </row>
    <row r="2499" spans="1:8" x14ac:dyDescent="0.25">
      <c r="A2499" s="145">
        <v>40271</v>
      </c>
      <c r="B2499" s="144">
        <v>1.3468</v>
      </c>
      <c r="C2499" s="144">
        <v>39.598500000000001</v>
      </c>
      <c r="D2499" s="144">
        <v>8.0167999999999999</v>
      </c>
      <c r="E2499" s="144">
        <v>126.28</v>
      </c>
      <c r="F2499" s="144">
        <v>0.88485000000000003</v>
      </c>
      <c r="G2499" s="144">
        <v>1.4178999999999999</v>
      </c>
    </row>
    <row r="2500" spans="1:8" x14ac:dyDescent="0.25">
      <c r="A2500" s="145">
        <v>40270</v>
      </c>
      <c r="B2500" s="144">
        <v>1.3468</v>
      </c>
      <c r="C2500" s="144">
        <v>39.598500000000001</v>
      </c>
      <c r="D2500" s="144">
        <v>8.0167999999999999</v>
      </c>
      <c r="E2500" s="144">
        <v>126.28</v>
      </c>
      <c r="F2500" s="144">
        <v>0.88485000000000003</v>
      </c>
      <c r="G2500" s="144">
        <v>1.4178999999999999</v>
      </c>
    </row>
    <row r="2501" spans="1:8" x14ac:dyDescent="0.25">
      <c r="A2501" s="145">
        <v>40269</v>
      </c>
      <c r="B2501" s="144">
        <v>1.3468</v>
      </c>
      <c r="C2501" s="144">
        <v>39.598500000000001</v>
      </c>
      <c r="D2501" s="144">
        <v>8.0167999999999999</v>
      </c>
      <c r="E2501" s="144">
        <v>126.28</v>
      </c>
      <c r="F2501" s="144">
        <v>0.88485000000000003</v>
      </c>
      <c r="G2501" s="144">
        <v>1.4178999999999999</v>
      </c>
    </row>
    <row r="2502" spans="1:8" x14ac:dyDescent="0.25">
      <c r="A2502" s="145">
        <v>40268</v>
      </c>
      <c r="B2502" s="144">
        <v>1.3479000000000001</v>
      </c>
      <c r="C2502" s="144">
        <v>39.695</v>
      </c>
      <c r="D2502" s="144">
        <v>8.0135000000000005</v>
      </c>
      <c r="E2502" s="144">
        <v>125.93</v>
      </c>
      <c r="F2502" s="144">
        <v>0.88980000000000004</v>
      </c>
      <c r="G2502" s="144">
        <v>1.4276</v>
      </c>
    </row>
    <row r="2503" spans="1:8" x14ac:dyDescent="0.25">
      <c r="A2503" s="145">
        <v>40267</v>
      </c>
      <c r="B2503" s="144">
        <v>1.3482000000000001</v>
      </c>
      <c r="C2503" s="144">
        <v>39.667499999999997</v>
      </c>
      <c r="D2503" s="144">
        <v>8.0410000000000004</v>
      </c>
      <c r="E2503" s="144">
        <v>124.8</v>
      </c>
      <c r="F2503" s="144">
        <v>0.89329999999999998</v>
      </c>
      <c r="G2503" s="144">
        <v>1.4316</v>
      </c>
    </row>
    <row r="2504" spans="1:8" x14ac:dyDescent="0.25">
      <c r="A2504" s="145">
        <v>40266</v>
      </c>
      <c r="B2504" s="144">
        <v>1.3471</v>
      </c>
      <c r="C2504" s="144">
        <v>39.814500000000002</v>
      </c>
      <c r="D2504" s="144">
        <v>8.0670000000000002</v>
      </c>
      <c r="E2504" s="144">
        <v>124.75</v>
      </c>
      <c r="F2504" s="144">
        <v>0.89939999999999998</v>
      </c>
      <c r="G2504" s="144">
        <v>1.4329000000000001</v>
      </c>
    </row>
    <row r="2505" spans="1:8" x14ac:dyDescent="0.25">
      <c r="A2505" s="145">
        <v>40265</v>
      </c>
      <c r="B2505" s="144">
        <v>1.3352999999999999</v>
      </c>
      <c r="C2505" s="144">
        <v>39.524999999999999</v>
      </c>
      <c r="D2505" s="144">
        <v>8.0980000000000008</v>
      </c>
      <c r="E2505" s="144">
        <v>124</v>
      </c>
      <c r="F2505" s="144">
        <v>0.90039999999999998</v>
      </c>
      <c r="G2505" s="144">
        <v>1.4286000000000001</v>
      </c>
    </row>
    <row r="2506" spans="1:8" x14ac:dyDescent="0.25">
      <c r="A2506" s="145">
        <v>40264</v>
      </c>
      <c r="B2506" s="144">
        <v>1.3352999999999999</v>
      </c>
      <c r="C2506" s="144">
        <v>39.524999999999999</v>
      </c>
      <c r="D2506" s="144">
        <v>8.0980000000000008</v>
      </c>
      <c r="E2506" s="144">
        <v>124</v>
      </c>
      <c r="F2506" s="144">
        <v>0.90039999999999998</v>
      </c>
      <c r="G2506" s="144">
        <v>1.4286000000000001</v>
      </c>
    </row>
    <row r="2507" spans="1:8" x14ac:dyDescent="0.25">
      <c r="A2507" s="145">
        <v>40263</v>
      </c>
      <c r="B2507" s="144">
        <v>1.3352999999999999</v>
      </c>
      <c r="C2507" s="144">
        <v>39.524999999999999</v>
      </c>
      <c r="D2507" s="144">
        <v>8.0980000000000008</v>
      </c>
      <c r="E2507" s="144">
        <v>124</v>
      </c>
      <c r="F2507" s="144">
        <v>0.90039999999999998</v>
      </c>
      <c r="G2507" s="144">
        <v>1.4286000000000001</v>
      </c>
    </row>
    <row r="2508" spans="1:8" x14ac:dyDescent="0.25">
      <c r="A2508" s="145">
        <v>40262</v>
      </c>
      <c r="B2508" s="144">
        <v>1.3355999999999999</v>
      </c>
      <c r="C2508" s="144">
        <v>39.541499999999999</v>
      </c>
      <c r="D2508" s="144">
        <v>8.077</v>
      </c>
      <c r="E2508" s="144">
        <v>123.44</v>
      </c>
      <c r="F2508" s="144">
        <v>0.89439999999999997</v>
      </c>
      <c r="G2508" s="144">
        <v>1.4279999999999999</v>
      </c>
    </row>
    <row r="2509" spans="1:8" x14ac:dyDescent="0.25">
      <c r="A2509" s="145">
        <v>40261</v>
      </c>
      <c r="B2509" s="144">
        <v>1.3338000000000001</v>
      </c>
      <c r="C2509" s="144">
        <v>39.619999999999997</v>
      </c>
      <c r="D2509" s="144">
        <v>8.0280000000000005</v>
      </c>
      <c r="E2509" s="144">
        <v>122.62</v>
      </c>
      <c r="F2509" s="144">
        <v>0.89459999999999995</v>
      </c>
      <c r="G2509" s="144">
        <v>1.4281999999999999</v>
      </c>
    </row>
    <row r="2510" spans="1:8" x14ac:dyDescent="0.25">
      <c r="A2510" s="145">
        <v>40260</v>
      </c>
      <c r="B2510" s="144">
        <v>1.3519000000000001</v>
      </c>
      <c r="C2510" s="144">
        <v>39.882800000000003</v>
      </c>
      <c r="D2510" s="144">
        <v>8.0419999999999998</v>
      </c>
      <c r="E2510" s="144">
        <v>122.16</v>
      </c>
      <c r="F2510" s="144">
        <v>0.90049999999999997</v>
      </c>
      <c r="G2510" s="144">
        <v>1.4320999999999999</v>
      </c>
    </row>
    <row r="2511" spans="1:8" x14ac:dyDescent="0.25">
      <c r="A2511" s="145">
        <v>40259</v>
      </c>
      <c r="B2511" s="147">
        <v>1.3471</v>
      </c>
      <c r="C2511" s="147">
        <v>39.954000000000001</v>
      </c>
      <c r="D2511" s="147">
        <v>8.0444999999999993</v>
      </c>
      <c r="E2511" s="147">
        <v>121.25</v>
      </c>
      <c r="F2511" s="147">
        <v>0.89900000000000002</v>
      </c>
      <c r="G2511" s="147">
        <v>1.4348000000000001</v>
      </c>
      <c r="H2511" s="147"/>
    </row>
    <row r="2512" spans="1:8" x14ac:dyDescent="0.25">
      <c r="A2512" s="145">
        <v>40258</v>
      </c>
      <c r="B2512" s="147">
        <v>1.3548</v>
      </c>
      <c r="C2512" s="147">
        <v>39.674999999999997</v>
      </c>
      <c r="D2512" s="147">
        <v>7.9729999999999999</v>
      </c>
      <c r="E2512" s="147">
        <v>122.86</v>
      </c>
      <c r="F2512" s="147">
        <v>0.89449999999999996</v>
      </c>
      <c r="G2512" s="147">
        <v>1.4374</v>
      </c>
      <c r="H2512" s="147"/>
    </row>
    <row r="2513" spans="1:8" x14ac:dyDescent="0.25">
      <c r="A2513" s="145">
        <v>40257</v>
      </c>
      <c r="B2513" s="147">
        <v>1.3548</v>
      </c>
      <c r="C2513" s="147">
        <v>39.674999999999997</v>
      </c>
      <c r="D2513" s="147">
        <v>7.9729999999999999</v>
      </c>
      <c r="E2513" s="147">
        <v>122.86</v>
      </c>
      <c r="F2513" s="147">
        <v>0.89449999999999996</v>
      </c>
      <c r="G2513" s="147">
        <v>1.4374</v>
      </c>
      <c r="H2513" s="147"/>
    </row>
    <row r="2514" spans="1:8" x14ac:dyDescent="0.25">
      <c r="A2514" s="145">
        <v>40256</v>
      </c>
      <c r="B2514" s="147">
        <v>1.3548</v>
      </c>
      <c r="C2514" s="147">
        <v>39.674999999999997</v>
      </c>
      <c r="D2514" s="147">
        <v>7.9729999999999999</v>
      </c>
      <c r="E2514" s="147">
        <v>122.86</v>
      </c>
      <c r="F2514" s="147">
        <v>0.89449999999999996</v>
      </c>
      <c r="G2514" s="147">
        <v>1.4374</v>
      </c>
      <c r="H2514" s="147"/>
    </row>
    <row r="2515" spans="1:8" x14ac:dyDescent="0.25">
      <c r="A2515" s="145">
        <v>40255</v>
      </c>
      <c r="B2515" s="147">
        <v>1.3660000000000001</v>
      </c>
      <c r="C2515" s="147">
        <v>39.950000000000003</v>
      </c>
      <c r="D2515" s="147">
        <v>7.9989999999999997</v>
      </c>
      <c r="E2515" s="147">
        <v>123.33</v>
      </c>
      <c r="F2515" s="147">
        <v>0.89400000000000002</v>
      </c>
      <c r="G2515" s="147">
        <v>1.4474</v>
      </c>
      <c r="H2515" s="147"/>
    </row>
    <row r="2516" spans="1:8" x14ac:dyDescent="0.25">
      <c r="A2516" s="145">
        <v>40254</v>
      </c>
      <c r="B2516" s="147">
        <v>1.3755999999999999</v>
      </c>
      <c r="C2516" s="147">
        <v>40.127000000000002</v>
      </c>
      <c r="D2516" s="147">
        <v>8.01</v>
      </c>
      <c r="E2516" s="147">
        <v>124.43</v>
      </c>
      <c r="F2516" s="147">
        <v>0.8962</v>
      </c>
      <c r="G2516" s="147">
        <v>1.4511000000000001</v>
      </c>
      <c r="H2516" s="147"/>
    </row>
    <row r="2517" spans="1:8" x14ac:dyDescent="0.25">
      <c r="A2517" s="145">
        <v>40253</v>
      </c>
      <c r="B2517" s="144">
        <v>1.3723000000000001</v>
      </c>
      <c r="C2517" s="144">
        <v>40.250999999999998</v>
      </c>
      <c r="D2517" s="144">
        <v>8.0145</v>
      </c>
      <c r="E2517" s="144">
        <v>124.22</v>
      </c>
      <c r="F2517" s="144">
        <v>0.90690000000000004</v>
      </c>
      <c r="G2517" s="144">
        <v>1.4516</v>
      </c>
    </row>
    <row r="2518" spans="1:8" x14ac:dyDescent="0.25">
      <c r="A2518" s="145">
        <v>40252</v>
      </c>
      <c r="B2518" s="144">
        <v>1.3705000000000001</v>
      </c>
      <c r="C2518" s="144">
        <v>40.269599999999997</v>
      </c>
      <c r="D2518" s="144">
        <v>8.0154999999999994</v>
      </c>
      <c r="E2518" s="144">
        <v>124.3</v>
      </c>
      <c r="F2518" s="144">
        <v>0.91049999999999998</v>
      </c>
      <c r="G2518" s="144">
        <v>1.4527000000000001</v>
      </c>
    </row>
    <row r="2519" spans="1:8" x14ac:dyDescent="0.25">
      <c r="A2519" s="145">
        <v>40251</v>
      </c>
      <c r="B2519" s="144">
        <v>1.3765000000000001</v>
      </c>
      <c r="C2519" s="144">
        <v>40.305500000000002</v>
      </c>
      <c r="D2519" s="144">
        <v>8.0329999999999995</v>
      </c>
      <c r="E2519" s="144">
        <v>124.57</v>
      </c>
      <c r="F2519" s="144">
        <v>0.9083</v>
      </c>
      <c r="G2519" s="144">
        <v>1.4597</v>
      </c>
    </row>
    <row r="2520" spans="1:8" x14ac:dyDescent="0.25">
      <c r="A2520" s="145">
        <v>40250</v>
      </c>
      <c r="B2520" s="144">
        <v>1.3765000000000001</v>
      </c>
      <c r="C2520" s="144">
        <v>40.305500000000002</v>
      </c>
      <c r="D2520" s="144">
        <v>8.0329999999999995</v>
      </c>
      <c r="E2520" s="144">
        <v>124.57</v>
      </c>
      <c r="F2520" s="144">
        <v>0.9083</v>
      </c>
      <c r="G2520" s="144">
        <v>1.4597</v>
      </c>
    </row>
    <row r="2521" spans="1:8" x14ac:dyDescent="0.25">
      <c r="A2521" s="145">
        <v>40249</v>
      </c>
      <c r="B2521" s="144">
        <v>1.3765000000000001</v>
      </c>
      <c r="C2521" s="144">
        <v>40.305500000000002</v>
      </c>
      <c r="D2521" s="144">
        <v>8.0329999999999995</v>
      </c>
      <c r="E2521" s="144">
        <v>124.57</v>
      </c>
      <c r="F2521" s="144">
        <v>0.9083</v>
      </c>
      <c r="G2521" s="144">
        <v>1.4597</v>
      </c>
    </row>
    <row r="2522" spans="1:8" x14ac:dyDescent="0.25">
      <c r="A2522" s="145">
        <v>40248</v>
      </c>
      <c r="B2522" s="144">
        <v>1.3656999999999999</v>
      </c>
      <c r="C2522" s="144">
        <v>40.244999999999997</v>
      </c>
      <c r="D2522" s="144">
        <v>8.0114999999999998</v>
      </c>
      <c r="E2522" s="144">
        <v>123.84</v>
      </c>
      <c r="F2522" s="144">
        <v>0.90859999999999996</v>
      </c>
      <c r="G2522" s="144">
        <v>1.4621999999999999</v>
      </c>
    </row>
    <row r="2523" spans="1:8" x14ac:dyDescent="0.25">
      <c r="A2523" s="145">
        <v>40247</v>
      </c>
      <c r="B2523" s="144">
        <v>1.361</v>
      </c>
      <c r="C2523" s="144">
        <v>40.281500000000001</v>
      </c>
      <c r="D2523" s="144">
        <v>8.0124999999999993</v>
      </c>
      <c r="E2523" s="144">
        <v>123.16</v>
      </c>
      <c r="F2523" s="144">
        <v>0.91139999999999999</v>
      </c>
      <c r="G2523" s="144">
        <v>1.4618</v>
      </c>
    </row>
    <row r="2524" spans="1:8" x14ac:dyDescent="0.25">
      <c r="A2524" s="145">
        <v>40246</v>
      </c>
      <c r="B2524" s="144">
        <v>1.3556999999999999</v>
      </c>
      <c r="C2524" s="144">
        <v>40.398499999999999</v>
      </c>
      <c r="D2524" s="144">
        <v>8.0410000000000004</v>
      </c>
      <c r="E2524" s="144">
        <v>121.72</v>
      </c>
      <c r="F2524" s="144">
        <v>0.90639999999999998</v>
      </c>
      <c r="G2524" s="144">
        <v>1.4625999999999999</v>
      </c>
    </row>
    <row r="2525" spans="1:8" x14ac:dyDescent="0.25">
      <c r="A2525" s="145">
        <v>40245</v>
      </c>
      <c r="B2525" s="144">
        <v>1.3662000000000001</v>
      </c>
      <c r="C2525" s="144">
        <v>40.616500000000002</v>
      </c>
      <c r="D2525" s="144">
        <v>8.0489999999999995</v>
      </c>
      <c r="E2525" s="144">
        <v>123.48</v>
      </c>
      <c r="F2525" s="144">
        <v>0.90239999999999998</v>
      </c>
      <c r="G2525" s="144">
        <v>1.4628000000000001</v>
      </c>
    </row>
    <row r="2526" spans="1:8" x14ac:dyDescent="0.25">
      <c r="A2526" s="145">
        <v>40244</v>
      </c>
      <c r="B2526" s="146">
        <v>1.3582000000000001</v>
      </c>
      <c r="C2526" s="146">
        <v>40.521999999999998</v>
      </c>
      <c r="D2526" s="146">
        <v>8.0489999999999995</v>
      </c>
      <c r="E2526" s="146">
        <v>121.48</v>
      </c>
      <c r="F2526" s="146">
        <v>0.90249999999999997</v>
      </c>
      <c r="G2526" s="146">
        <v>1.4632000000000001</v>
      </c>
      <c r="H2526" s="146"/>
    </row>
    <row r="2527" spans="1:8" x14ac:dyDescent="0.25">
      <c r="A2527" s="145">
        <v>40243</v>
      </c>
      <c r="B2527" s="146">
        <v>1.3582000000000001</v>
      </c>
      <c r="C2527" s="146">
        <v>40.521999999999998</v>
      </c>
      <c r="D2527" s="146">
        <v>8.0489999999999995</v>
      </c>
      <c r="E2527" s="146">
        <v>121.48</v>
      </c>
      <c r="F2527" s="146">
        <v>0.90249999999999997</v>
      </c>
      <c r="G2527" s="146">
        <v>1.4632000000000001</v>
      </c>
      <c r="H2527" s="146"/>
    </row>
    <row r="2528" spans="1:8" x14ac:dyDescent="0.25">
      <c r="A2528" s="145">
        <v>40242</v>
      </c>
      <c r="B2528" s="146">
        <v>1.3582000000000001</v>
      </c>
      <c r="C2528" s="146">
        <v>40.521999999999998</v>
      </c>
      <c r="D2528" s="146">
        <v>8.0489999999999995</v>
      </c>
      <c r="E2528" s="146">
        <v>121.48</v>
      </c>
      <c r="F2528" s="146">
        <v>0.90249999999999997</v>
      </c>
      <c r="G2528" s="146">
        <v>1.4632000000000001</v>
      </c>
      <c r="H2528" s="146"/>
    </row>
    <row r="2529" spans="1:8" x14ac:dyDescent="0.25">
      <c r="A2529" s="145">
        <v>40241</v>
      </c>
      <c r="B2529" s="146">
        <v>1.3668</v>
      </c>
      <c r="C2529" s="146">
        <v>40.700000000000003</v>
      </c>
      <c r="D2529" s="146">
        <v>8.0504999999999995</v>
      </c>
      <c r="E2529" s="146">
        <v>120.86</v>
      </c>
      <c r="F2529" s="146">
        <v>0.90500000000000003</v>
      </c>
      <c r="G2529" s="146">
        <v>1.4632000000000001</v>
      </c>
      <c r="H2529" s="146"/>
    </row>
    <row r="2530" spans="1:8" x14ac:dyDescent="0.25">
      <c r="A2530" s="145">
        <v>40240</v>
      </c>
      <c r="B2530" s="146">
        <v>1.3641000000000001</v>
      </c>
      <c r="C2530" s="146">
        <v>40.700000000000003</v>
      </c>
      <c r="D2530" s="146">
        <v>8.0745000000000005</v>
      </c>
      <c r="E2530" s="146">
        <v>121.1</v>
      </c>
      <c r="F2530" s="146">
        <v>0.90569999999999995</v>
      </c>
      <c r="G2530" s="146">
        <v>1.4629000000000001</v>
      </c>
      <c r="H2530" s="146"/>
    </row>
    <row r="2531" spans="1:8" x14ac:dyDescent="0.25">
      <c r="A2531" s="145">
        <v>40239</v>
      </c>
      <c r="B2531" s="146">
        <v>1.3548</v>
      </c>
      <c r="C2531" s="146">
        <v>40.514499999999998</v>
      </c>
      <c r="D2531" s="146">
        <v>8.0485000000000007</v>
      </c>
      <c r="E2531" s="146">
        <v>120.68</v>
      </c>
      <c r="F2531" s="146">
        <v>0.90634999999999999</v>
      </c>
      <c r="G2531" s="146">
        <v>1.4628000000000001</v>
      </c>
      <c r="H2531" s="146"/>
    </row>
    <row r="2532" spans="1:8" x14ac:dyDescent="0.25">
      <c r="A2532" s="145">
        <v>40238</v>
      </c>
      <c r="B2532" s="144">
        <v>1.3525</v>
      </c>
      <c r="C2532" s="144">
        <v>40.5471</v>
      </c>
      <c r="D2532" s="144">
        <v>8.0570000000000004</v>
      </c>
      <c r="E2532" s="144">
        <v>120.67</v>
      </c>
      <c r="F2532" s="144">
        <v>0.90669999999999995</v>
      </c>
      <c r="G2532" s="144">
        <v>1.4643999999999999</v>
      </c>
    </row>
    <row r="2533" spans="1:8" x14ac:dyDescent="0.25">
      <c r="A2533" s="145">
        <v>40237</v>
      </c>
      <c r="B2533" s="144">
        <v>1.357</v>
      </c>
      <c r="C2533" s="144">
        <v>40.730499999999999</v>
      </c>
      <c r="D2533" s="144">
        <v>8.0434999999999999</v>
      </c>
      <c r="E2533" s="144">
        <v>120.92</v>
      </c>
      <c r="F2533" s="144">
        <v>0.89270000000000005</v>
      </c>
      <c r="G2533" s="144">
        <v>1.4638</v>
      </c>
    </row>
    <row r="2534" spans="1:8" x14ac:dyDescent="0.25">
      <c r="A2534" s="145">
        <v>40236</v>
      </c>
      <c r="B2534" s="144">
        <v>1.357</v>
      </c>
      <c r="C2534" s="144">
        <v>40.730499999999999</v>
      </c>
      <c r="D2534" s="144">
        <v>8.0434999999999999</v>
      </c>
      <c r="E2534" s="144">
        <v>120.92</v>
      </c>
      <c r="F2534" s="144">
        <v>0.89270000000000005</v>
      </c>
      <c r="G2534" s="144">
        <v>1.4638</v>
      </c>
    </row>
    <row r="2535" spans="1:8" x14ac:dyDescent="0.25">
      <c r="A2535" s="145">
        <v>40235</v>
      </c>
      <c r="B2535" s="144">
        <v>1.357</v>
      </c>
      <c r="C2535" s="144">
        <v>40.730499999999999</v>
      </c>
      <c r="D2535" s="144">
        <v>8.0434999999999999</v>
      </c>
      <c r="E2535" s="144">
        <v>120.92</v>
      </c>
      <c r="F2535" s="144">
        <v>0.89270000000000005</v>
      </c>
      <c r="G2535" s="144">
        <v>1.4638</v>
      </c>
    </row>
    <row r="2536" spans="1:8" x14ac:dyDescent="0.25">
      <c r="A2536" s="145">
        <v>40234</v>
      </c>
      <c r="B2536" s="144">
        <v>1.3489</v>
      </c>
      <c r="C2536" s="144">
        <v>40.594999999999999</v>
      </c>
      <c r="D2536" s="144">
        <v>8.0404999999999998</v>
      </c>
      <c r="E2536" s="144">
        <v>120.66</v>
      </c>
      <c r="F2536" s="144">
        <v>0.88090000000000002</v>
      </c>
      <c r="G2536" s="144">
        <v>1.4633</v>
      </c>
    </row>
    <row r="2537" spans="1:8" x14ac:dyDescent="0.25">
      <c r="A2537" s="145">
        <v>40233</v>
      </c>
      <c r="B2537" s="144">
        <v>1.3547</v>
      </c>
      <c r="C2537" s="144">
        <v>40.69</v>
      </c>
      <c r="D2537" s="144">
        <v>8.0289999999999999</v>
      </c>
      <c r="E2537" s="144">
        <v>122.16</v>
      </c>
      <c r="F2537" s="144">
        <v>0.87749999999999995</v>
      </c>
      <c r="G2537" s="144">
        <v>1.4641</v>
      </c>
    </row>
    <row r="2538" spans="1:8" x14ac:dyDescent="0.25">
      <c r="A2538" s="145">
        <v>40232</v>
      </c>
      <c r="B2538" s="144">
        <v>1.3576999999999999</v>
      </c>
      <c r="C2538" s="144">
        <v>40.793999999999997</v>
      </c>
      <c r="D2538" s="144">
        <v>8.0210000000000008</v>
      </c>
      <c r="E2538" s="144">
        <v>123.19</v>
      </c>
      <c r="F2538" s="144">
        <v>0.88019999999999998</v>
      </c>
      <c r="G2538" s="144">
        <v>1.4666999999999999</v>
      </c>
    </row>
    <row r="2539" spans="1:8" x14ac:dyDescent="0.25">
      <c r="A2539" s="145">
        <v>40231</v>
      </c>
      <c r="B2539" s="144">
        <v>1.3626</v>
      </c>
      <c r="C2539" s="144">
        <v>40.857999999999997</v>
      </c>
      <c r="D2539" s="144">
        <v>8.0350000000000001</v>
      </c>
      <c r="E2539" s="144">
        <v>124.38</v>
      </c>
      <c r="F2539" s="144">
        <v>0.87970000000000004</v>
      </c>
      <c r="G2539" s="144">
        <v>1.4649000000000001</v>
      </c>
    </row>
    <row r="2540" spans="1:8" x14ac:dyDescent="0.25">
      <c r="A2540" s="145">
        <v>40230</v>
      </c>
      <c r="B2540" s="144">
        <v>1.3519000000000001</v>
      </c>
      <c r="C2540" s="144">
        <v>40.633000000000003</v>
      </c>
      <c r="D2540" s="144">
        <v>8.1054999999999993</v>
      </c>
      <c r="E2540" s="144">
        <v>124.17</v>
      </c>
      <c r="F2540" s="144">
        <v>0.87829999999999997</v>
      </c>
      <c r="G2540" s="144">
        <v>1.4658</v>
      </c>
    </row>
    <row r="2541" spans="1:8" x14ac:dyDescent="0.25">
      <c r="A2541" s="145">
        <v>40229</v>
      </c>
      <c r="B2541" s="144">
        <v>1.3519000000000001</v>
      </c>
      <c r="C2541" s="144">
        <v>40.633000000000003</v>
      </c>
      <c r="D2541" s="144">
        <v>8.1054999999999993</v>
      </c>
      <c r="E2541" s="144">
        <v>124.17</v>
      </c>
      <c r="F2541" s="144">
        <v>0.87829999999999997</v>
      </c>
      <c r="G2541" s="144">
        <v>1.4658</v>
      </c>
    </row>
    <row r="2542" spans="1:8" x14ac:dyDescent="0.25">
      <c r="A2542" s="145">
        <v>40228</v>
      </c>
      <c r="B2542" s="144">
        <v>1.3519000000000001</v>
      </c>
      <c r="C2542" s="144">
        <v>40.633000000000003</v>
      </c>
      <c r="D2542" s="144">
        <v>8.1054999999999993</v>
      </c>
      <c r="E2542" s="144">
        <v>124.17</v>
      </c>
      <c r="F2542" s="144">
        <v>0.87829999999999997</v>
      </c>
      <c r="G2542" s="144">
        <v>1.4658</v>
      </c>
    </row>
    <row r="2543" spans="1:8" x14ac:dyDescent="0.25">
      <c r="A2543" s="145">
        <v>40227</v>
      </c>
      <c r="B2543" s="144">
        <v>1.3567</v>
      </c>
      <c r="C2543" s="144">
        <v>40.819000000000003</v>
      </c>
      <c r="D2543" s="144">
        <v>8.0679999999999996</v>
      </c>
      <c r="E2543" s="144">
        <v>123.3</v>
      </c>
      <c r="F2543" s="144">
        <v>0.87039999999999995</v>
      </c>
      <c r="G2543" s="144">
        <v>1.4651000000000001</v>
      </c>
    </row>
    <row r="2544" spans="1:8" x14ac:dyDescent="0.25">
      <c r="A2544" s="145">
        <v>40226</v>
      </c>
      <c r="B2544" s="144">
        <v>1.3726</v>
      </c>
      <c r="C2544" s="144">
        <v>41.185000000000002</v>
      </c>
      <c r="D2544" s="144">
        <v>8.0060000000000002</v>
      </c>
      <c r="E2544" s="144">
        <v>124.69</v>
      </c>
      <c r="F2544" s="144">
        <v>0.86899999999999999</v>
      </c>
      <c r="G2544" s="144">
        <v>1.4679</v>
      </c>
    </row>
    <row r="2545" spans="1:7" x14ac:dyDescent="0.25">
      <c r="A2545" s="145">
        <v>40225</v>
      </c>
      <c r="B2545" s="144">
        <v>1.3649</v>
      </c>
      <c r="C2545" s="144">
        <v>41.158700000000003</v>
      </c>
      <c r="D2545" s="144">
        <v>8.0519999999999996</v>
      </c>
      <c r="E2545" s="144">
        <v>122.68</v>
      </c>
      <c r="F2545" s="144">
        <v>0.87050000000000005</v>
      </c>
      <c r="G2545" s="144">
        <v>1.4678</v>
      </c>
    </row>
    <row r="2546" spans="1:7" x14ac:dyDescent="0.25">
      <c r="A2546" s="145">
        <v>40224</v>
      </c>
      <c r="B2546" s="144">
        <v>1.3607</v>
      </c>
      <c r="C2546" s="144">
        <v>41.137</v>
      </c>
      <c r="D2546" s="144">
        <v>8.0530000000000008</v>
      </c>
      <c r="E2546" s="144">
        <v>122.42</v>
      </c>
      <c r="F2546" s="144">
        <v>0.86760000000000004</v>
      </c>
      <c r="G2546" s="144">
        <v>1.4661</v>
      </c>
    </row>
    <row r="2547" spans="1:7" x14ac:dyDescent="0.25">
      <c r="A2547" s="145">
        <v>40223</v>
      </c>
      <c r="B2547" s="144">
        <v>1.3572</v>
      </c>
      <c r="C2547" s="144">
        <v>41.088000000000001</v>
      </c>
      <c r="D2547" s="144">
        <v>8.0630000000000006</v>
      </c>
      <c r="E2547" s="144">
        <v>122.33</v>
      </c>
      <c r="F2547" s="144">
        <v>0.86909999999999998</v>
      </c>
      <c r="G2547" s="144">
        <v>1.4650000000000001</v>
      </c>
    </row>
    <row r="2548" spans="1:7" x14ac:dyDescent="0.25">
      <c r="A2548" s="145">
        <v>40222</v>
      </c>
      <c r="B2548" s="144">
        <v>1.3572</v>
      </c>
      <c r="C2548" s="144">
        <v>41.088000000000001</v>
      </c>
      <c r="D2548" s="144">
        <v>8.0630000000000006</v>
      </c>
      <c r="E2548" s="144">
        <v>122.33</v>
      </c>
      <c r="F2548" s="144">
        <v>0.86909999999999998</v>
      </c>
      <c r="G2548" s="144">
        <v>1.4650000000000001</v>
      </c>
    </row>
    <row r="2549" spans="1:7" x14ac:dyDescent="0.25">
      <c r="A2549" s="145">
        <v>40221</v>
      </c>
      <c r="B2549" s="144">
        <v>1.3572</v>
      </c>
      <c r="C2549" s="144">
        <v>41.088000000000001</v>
      </c>
      <c r="D2549" s="144">
        <v>8.0630000000000006</v>
      </c>
      <c r="E2549" s="144">
        <v>122.33</v>
      </c>
      <c r="F2549" s="144">
        <v>0.86909999999999998</v>
      </c>
      <c r="G2549" s="144">
        <v>1.4650000000000001</v>
      </c>
    </row>
    <row r="2550" spans="1:7" x14ac:dyDescent="0.25">
      <c r="A2550" s="145">
        <v>40220</v>
      </c>
      <c r="B2550" s="144">
        <v>1.3717999999999999</v>
      </c>
      <c r="C2550" s="144">
        <v>41.372999999999998</v>
      </c>
      <c r="D2550" s="144">
        <v>8.0975000000000001</v>
      </c>
      <c r="E2550" s="144">
        <v>123.03</v>
      </c>
      <c r="F2550" s="144">
        <v>0.87749999999999995</v>
      </c>
      <c r="G2550" s="144">
        <v>1.4662999999999999</v>
      </c>
    </row>
    <row r="2551" spans="1:7" x14ac:dyDescent="0.25">
      <c r="A2551" s="145">
        <v>40219</v>
      </c>
      <c r="B2551" s="144">
        <v>1.3740000000000001</v>
      </c>
      <c r="C2551" s="144">
        <v>41.58</v>
      </c>
      <c r="D2551" s="144">
        <v>8.1110000000000007</v>
      </c>
      <c r="E2551" s="144">
        <v>123.01</v>
      </c>
      <c r="F2551" s="144">
        <v>0.87980000000000003</v>
      </c>
      <c r="G2551" s="144">
        <v>1.4658</v>
      </c>
    </row>
    <row r="2552" spans="1:7" x14ac:dyDescent="0.25">
      <c r="A2552" s="145">
        <v>40218</v>
      </c>
      <c r="B2552" s="144">
        <v>1.3759999999999999</v>
      </c>
      <c r="C2552" s="144">
        <v>41.764000000000003</v>
      </c>
      <c r="D2552" s="144">
        <v>8.1519999999999992</v>
      </c>
      <c r="E2552" s="144">
        <v>123.4</v>
      </c>
      <c r="F2552" s="144">
        <v>0.88039999999999996</v>
      </c>
      <c r="G2552" s="144">
        <v>1.4672000000000001</v>
      </c>
    </row>
    <row r="2553" spans="1:7" x14ac:dyDescent="0.25">
      <c r="A2553" s="145">
        <v>40217</v>
      </c>
      <c r="B2553" s="144">
        <v>1.3674999999999999</v>
      </c>
      <c r="C2553" s="144">
        <v>41.706000000000003</v>
      </c>
      <c r="D2553" s="144">
        <v>8.1705000000000005</v>
      </c>
      <c r="E2553" s="144">
        <v>122.07</v>
      </c>
      <c r="F2553" s="144">
        <v>0.87609999999999999</v>
      </c>
      <c r="G2553" s="144">
        <v>1.4659</v>
      </c>
    </row>
    <row r="2554" spans="1:7" x14ac:dyDescent="0.25">
      <c r="A2554" s="145">
        <v>40216</v>
      </c>
      <c r="B2554" s="144">
        <v>1.3691</v>
      </c>
      <c r="C2554" s="144">
        <v>41.734999999999999</v>
      </c>
      <c r="D2554" s="144">
        <v>8.2195</v>
      </c>
      <c r="E2554" s="144">
        <v>122.49</v>
      </c>
      <c r="F2554" s="144">
        <v>0.87324999999999997</v>
      </c>
      <c r="G2554" s="144">
        <v>1.4681999999999999</v>
      </c>
    </row>
    <row r="2555" spans="1:7" x14ac:dyDescent="0.25">
      <c r="A2555" s="145">
        <v>40215</v>
      </c>
      <c r="B2555" s="144">
        <v>1.3691</v>
      </c>
      <c r="C2555" s="144">
        <v>41.734999999999999</v>
      </c>
      <c r="D2555" s="144">
        <v>8.2195</v>
      </c>
      <c r="E2555" s="144">
        <v>122.49</v>
      </c>
      <c r="F2555" s="144">
        <v>0.87324999999999997</v>
      </c>
      <c r="G2555" s="144">
        <v>1.4681999999999999</v>
      </c>
    </row>
    <row r="2556" spans="1:7" x14ac:dyDescent="0.25">
      <c r="A2556" s="145">
        <v>40214</v>
      </c>
      <c r="B2556" s="144">
        <v>1.3691</v>
      </c>
      <c r="C2556" s="144">
        <v>41.734999999999999</v>
      </c>
      <c r="D2556" s="144">
        <v>8.2195</v>
      </c>
      <c r="E2556" s="144">
        <v>122.49</v>
      </c>
      <c r="F2556" s="144">
        <v>0.87324999999999997</v>
      </c>
      <c r="G2556" s="144">
        <v>1.4681999999999999</v>
      </c>
    </row>
    <row r="2557" spans="1:7" x14ac:dyDescent="0.25">
      <c r="A2557" s="145">
        <v>40213</v>
      </c>
      <c r="B2557" s="144">
        <v>1.3847</v>
      </c>
      <c r="C2557" s="144">
        <v>41.685000000000002</v>
      </c>
      <c r="D2557" s="144">
        <v>8.1690000000000005</v>
      </c>
      <c r="E2557" s="144">
        <v>125.68</v>
      </c>
      <c r="F2557" s="144">
        <v>0.87309999999999999</v>
      </c>
      <c r="G2557" s="144">
        <v>1.4690000000000001</v>
      </c>
    </row>
    <row r="2558" spans="1:7" x14ac:dyDescent="0.25">
      <c r="A2558" s="145">
        <v>40212</v>
      </c>
      <c r="B2558" s="144">
        <v>1.3984000000000001</v>
      </c>
      <c r="C2558" s="144">
        <v>41.86</v>
      </c>
      <c r="D2558" s="144">
        <v>8.1660000000000004</v>
      </c>
      <c r="E2558" s="144">
        <v>126.73</v>
      </c>
      <c r="F2558" s="144">
        <v>0.87619999999999998</v>
      </c>
      <c r="G2558" s="144">
        <v>1.4738</v>
      </c>
    </row>
    <row r="2559" spans="1:7" x14ac:dyDescent="0.25">
      <c r="A2559" s="145">
        <v>40211</v>
      </c>
      <c r="B2559" s="144">
        <v>1.3936999999999999</v>
      </c>
      <c r="C2559" s="144">
        <v>42.047499999999999</v>
      </c>
      <c r="D2559" s="144">
        <v>8.1434999999999995</v>
      </c>
      <c r="E2559" s="144">
        <v>126.2</v>
      </c>
      <c r="F2559" s="144">
        <v>0.87375000000000003</v>
      </c>
      <c r="G2559" s="144">
        <v>1.4733000000000001</v>
      </c>
    </row>
    <row r="2560" spans="1:7" x14ac:dyDescent="0.25">
      <c r="A2560" s="145">
        <v>40210</v>
      </c>
      <c r="B2560" s="144">
        <v>1.3913</v>
      </c>
      <c r="C2560" s="144">
        <v>42.250999999999998</v>
      </c>
      <c r="D2560" s="144">
        <v>8.1965000000000003</v>
      </c>
      <c r="E2560" s="144">
        <v>125.6</v>
      </c>
      <c r="F2560" s="144">
        <v>0.87485000000000002</v>
      </c>
      <c r="G2560" s="144">
        <v>1.4724999999999999</v>
      </c>
    </row>
    <row r="2561" spans="1:7" x14ac:dyDescent="0.25">
      <c r="A2561" s="145">
        <v>40209</v>
      </c>
      <c r="B2561" s="144">
        <v>1.3966000000000001</v>
      </c>
      <c r="C2561" s="144">
        <v>42.34</v>
      </c>
      <c r="D2561" s="144">
        <v>8.2119999999999997</v>
      </c>
      <c r="E2561" s="144">
        <v>126.15</v>
      </c>
      <c r="F2561" s="144">
        <v>0.86655000000000004</v>
      </c>
      <c r="G2561" s="144">
        <v>1.4661999999999999</v>
      </c>
    </row>
    <row r="2562" spans="1:7" x14ac:dyDescent="0.25">
      <c r="A2562" s="145">
        <v>40208</v>
      </c>
      <c r="B2562" s="144">
        <v>1.3966000000000001</v>
      </c>
      <c r="C2562" s="144">
        <v>42.34</v>
      </c>
      <c r="D2562" s="144">
        <v>8.2119999999999997</v>
      </c>
      <c r="E2562" s="144">
        <v>126.15</v>
      </c>
      <c r="F2562" s="144">
        <v>0.86655000000000004</v>
      </c>
      <c r="G2562" s="144">
        <v>1.4661999999999999</v>
      </c>
    </row>
    <row r="2563" spans="1:7" x14ac:dyDescent="0.25">
      <c r="A2563" s="145">
        <v>40207</v>
      </c>
      <c r="B2563" s="144">
        <v>1.3966000000000001</v>
      </c>
      <c r="C2563" s="144">
        <v>42.34</v>
      </c>
      <c r="D2563" s="144">
        <v>8.2119999999999997</v>
      </c>
      <c r="E2563" s="144">
        <v>126.15</v>
      </c>
      <c r="F2563" s="144">
        <v>0.86655000000000004</v>
      </c>
      <c r="G2563" s="144">
        <v>1.4661999999999999</v>
      </c>
    </row>
    <row r="2564" spans="1:7" x14ac:dyDescent="0.25">
      <c r="A2564" s="145">
        <v>40206</v>
      </c>
      <c r="B2564" s="144">
        <v>1.3998999999999999</v>
      </c>
      <c r="C2564" s="144">
        <v>42.465000000000003</v>
      </c>
      <c r="D2564" s="144">
        <v>8.1790000000000003</v>
      </c>
      <c r="E2564" s="144">
        <v>126.36</v>
      </c>
      <c r="F2564" s="144">
        <v>0.86160000000000003</v>
      </c>
      <c r="G2564" s="144">
        <v>1.4724999999999999</v>
      </c>
    </row>
    <row r="2565" spans="1:7" x14ac:dyDescent="0.25">
      <c r="A2565" s="145">
        <v>40205</v>
      </c>
      <c r="B2565" s="144">
        <v>1.4072</v>
      </c>
      <c r="C2565" s="144">
        <v>42.615000000000002</v>
      </c>
      <c r="D2565" s="144">
        <v>8.2195</v>
      </c>
      <c r="E2565" s="144">
        <v>125.95</v>
      </c>
      <c r="F2565" s="144">
        <v>0.86724999999999997</v>
      </c>
      <c r="G2565" s="144">
        <v>1.4721</v>
      </c>
    </row>
    <row r="2566" spans="1:7" x14ac:dyDescent="0.25">
      <c r="A2566" s="145">
        <v>40204</v>
      </c>
      <c r="B2566" s="144">
        <v>1.4085000000000001</v>
      </c>
      <c r="C2566" s="144">
        <v>42.734499999999997</v>
      </c>
      <c r="D2566" s="144">
        <v>8.2505000000000006</v>
      </c>
      <c r="E2566" s="144">
        <v>126.31</v>
      </c>
      <c r="F2566" s="144">
        <v>0.87329999999999997</v>
      </c>
      <c r="G2566" s="144">
        <v>1.4722999999999999</v>
      </c>
    </row>
    <row r="2567" spans="1:7" x14ac:dyDescent="0.25">
      <c r="A2567" s="145">
        <v>40203</v>
      </c>
      <c r="B2567" s="144">
        <v>1.4151</v>
      </c>
      <c r="C2567" s="144">
        <v>42.604999999999997</v>
      </c>
      <c r="D2567" s="144">
        <v>8.202</v>
      </c>
      <c r="E2567" s="144">
        <v>127.74</v>
      </c>
      <c r="F2567" s="144">
        <v>0.87729999999999997</v>
      </c>
      <c r="G2567" s="144">
        <v>1.4728000000000001</v>
      </c>
    </row>
    <row r="2568" spans="1:7" x14ac:dyDescent="0.25">
      <c r="A2568" s="145">
        <v>40202</v>
      </c>
      <c r="B2568" s="144">
        <v>1.4135</v>
      </c>
      <c r="C2568" s="144">
        <v>42.182400000000001</v>
      </c>
      <c r="D2568" s="144">
        <v>8.1954999999999991</v>
      </c>
      <c r="E2568" s="144">
        <v>127.35</v>
      </c>
      <c r="F2568" s="144">
        <v>0.87629999999999997</v>
      </c>
      <c r="G2568" s="144">
        <v>1.4708000000000001</v>
      </c>
    </row>
    <row r="2569" spans="1:7" x14ac:dyDescent="0.25">
      <c r="A2569" s="145">
        <v>40201</v>
      </c>
      <c r="B2569" s="144">
        <v>1.4135</v>
      </c>
      <c r="C2569" s="144">
        <v>42.182400000000001</v>
      </c>
      <c r="D2569" s="144">
        <v>8.1954999999999991</v>
      </c>
      <c r="E2569" s="144">
        <v>127.35</v>
      </c>
      <c r="F2569" s="144">
        <v>0.87629999999999997</v>
      </c>
      <c r="G2569" s="144">
        <v>1.4708000000000001</v>
      </c>
    </row>
    <row r="2570" spans="1:7" x14ac:dyDescent="0.25">
      <c r="A2570" s="145">
        <v>40200</v>
      </c>
      <c r="B2570" s="144">
        <v>1.4135</v>
      </c>
      <c r="C2570" s="144">
        <v>42.182400000000001</v>
      </c>
      <c r="D2570" s="144">
        <v>8.1954999999999991</v>
      </c>
      <c r="E2570" s="144">
        <v>127.35</v>
      </c>
      <c r="F2570" s="144">
        <v>0.87629999999999997</v>
      </c>
      <c r="G2570" s="144">
        <v>1.4708000000000001</v>
      </c>
    </row>
    <row r="2571" spans="1:7" x14ac:dyDescent="0.25">
      <c r="A2571" s="145">
        <v>40199</v>
      </c>
      <c r="B2571" s="144">
        <v>1.4064000000000001</v>
      </c>
      <c r="C2571" s="144">
        <v>41.861800000000002</v>
      </c>
      <c r="D2571" s="144">
        <v>8.1455000000000002</v>
      </c>
      <c r="E2571" s="144">
        <v>129.13999999999999</v>
      </c>
      <c r="F2571" s="144">
        <v>0.87</v>
      </c>
      <c r="G2571" s="144">
        <v>1.4722999999999999</v>
      </c>
    </row>
    <row r="2572" spans="1:7" x14ac:dyDescent="0.25">
      <c r="A2572" s="145">
        <v>40198</v>
      </c>
      <c r="B2572" s="144">
        <v>1.4132</v>
      </c>
      <c r="C2572" s="144">
        <v>42.014000000000003</v>
      </c>
      <c r="D2572" s="144">
        <v>8.1334999999999997</v>
      </c>
      <c r="E2572" s="144">
        <v>128.65</v>
      </c>
      <c r="F2572" s="144">
        <v>0.86919999999999997</v>
      </c>
      <c r="G2572" s="144">
        <v>1.4762999999999999</v>
      </c>
    </row>
    <row r="2573" spans="1:7" x14ac:dyDescent="0.25">
      <c r="A2573" s="145">
        <v>40197</v>
      </c>
      <c r="B2573" s="144">
        <v>1.4278999999999999</v>
      </c>
      <c r="C2573" s="144">
        <v>42.3735</v>
      </c>
      <c r="D2573" s="144">
        <v>8.1485000000000003</v>
      </c>
      <c r="E2573" s="144">
        <v>129.79</v>
      </c>
      <c r="F2573" s="144">
        <v>0.87429999999999997</v>
      </c>
      <c r="G2573" s="144">
        <v>1.476</v>
      </c>
    </row>
    <row r="2574" spans="1:7" x14ac:dyDescent="0.25">
      <c r="A2574" s="145">
        <v>40196</v>
      </c>
      <c r="B2574" s="144">
        <v>1.4369000000000001</v>
      </c>
      <c r="C2574" s="144">
        <v>42.537999999999997</v>
      </c>
      <c r="D2574" s="144">
        <v>8.1434999999999995</v>
      </c>
      <c r="E2574" s="144">
        <v>130.33000000000001</v>
      </c>
      <c r="F2574" s="144">
        <v>0.87949999999999995</v>
      </c>
      <c r="G2574" s="144">
        <v>1.4744999999999999</v>
      </c>
    </row>
    <row r="2575" spans="1:7" x14ac:dyDescent="0.25">
      <c r="A2575" s="145">
        <v>40195</v>
      </c>
      <c r="B2575" s="144">
        <v>1.4374</v>
      </c>
      <c r="C2575" s="144">
        <v>42.5015</v>
      </c>
      <c r="D2575" s="144">
        <v>8.1430000000000007</v>
      </c>
      <c r="E2575" s="144">
        <v>130.76</v>
      </c>
      <c r="F2575" s="144">
        <v>0.88105</v>
      </c>
      <c r="G2575" s="144">
        <v>1.4756</v>
      </c>
    </row>
    <row r="2576" spans="1:7" x14ac:dyDescent="0.25">
      <c r="A2576" s="145">
        <v>40194</v>
      </c>
      <c r="B2576" s="144">
        <v>1.4374</v>
      </c>
      <c r="C2576" s="144">
        <v>42.5015</v>
      </c>
      <c r="D2576" s="144">
        <v>8.1430000000000007</v>
      </c>
      <c r="E2576" s="144">
        <v>130.76</v>
      </c>
      <c r="F2576" s="144">
        <v>0.88105</v>
      </c>
      <c r="G2576" s="144">
        <v>1.4756</v>
      </c>
    </row>
    <row r="2577" spans="1:7" x14ac:dyDescent="0.25">
      <c r="A2577" s="145">
        <v>40193</v>
      </c>
      <c r="B2577" s="144">
        <v>1.4374</v>
      </c>
      <c r="C2577" s="144">
        <v>42.5015</v>
      </c>
      <c r="D2577" s="144">
        <v>8.1430000000000007</v>
      </c>
      <c r="E2577" s="144">
        <v>130.76</v>
      </c>
      <c r="F2577" s="144">
        <v>0.88105</v>
      </c>
      <c r="G2577" s="144">
        <v>1.4756</v>
      </c>
    </row>
    <row r="2578" spans="1:7" x14ac:dyDescent="0.25">
      <c r="A2578" s="145">
        <v>40192</v>
      </c>
      <c r="B2578" s="144">
        <v>1.4486000000000001</v>
      </c>
      <c r="C2578" s="144">
        <v>42.673000000000002</v>
      </c>
      <c r="D2578" s="144">
        <v>8.1639999999999997</v>
      </c>
      <c r="E2578" s="144">
        <v>132.88</v>
      </c>
      <c r="F2578" s="144">
        <v>0.89049999999999996</v>
      </c>
      <c r="G2578" s="144">
        <v>1.4803999999999999</v>
      </c>
    </row>
    <row r="2579" spans="1:7" x14ac:dyDescent="0.25">
      <c r="A2579" s="145">
        <v>40191</v>
      </c>
      <c r="B2579" s="144">
        <v>1.4562999999999999</v>
      </c>
      <c r="C2579" s="144">
        <v>43.04</v>
      </c>
      <c r="D2579" s="144">
        <v>8.1784999999999997</v>
      </c>
      <c r="E2579" s="144">
        <v>133.02000000000001</v>
      </c>
      <c r="F2579" s="144">
        <v>0.89459999999999995</v>
      </c>
      <c r="G2579" s="144">
        <v>1.4787999999999999</v>
      </c>
    </row>
    <row r="2580" spans="1:7" x14ac:dyDescent="0.25">
      <c r="A2580" s="145">
        <v>40190</v>
      </c>
      <c r="B2580" s="144">
        <v>1.4480999999999999</v>
      </c>
      <c r="C2580" s="144">
        <v>42.697400000000002</v>
      </c>
      <c r="D2580" s="144">
        <v>8.1824999999999992</v>
      </c>
      <c r="E2580" s="144">
        <v>132.41</v>
      </c>
      <c r="F2580" s="144">
        <v>0.8972</v>
      </c>
      <c r="G2580" s="144">
        <v>1.4742999999999999</v>
      </c>
    </row>
    <row r="2581" spans="1:7" x14ac:dyDescent="0.25">
      <c r="A2581" s="145">
        <v>40189</v>
      </c>
      <c r="B2581" s="144">
        <v>1.4528000000000001</v>
      </c>
      <c r="C2581" s="144">
        <v>42.628500000000003</v>
      </c>
      <c r="D2581" s="144">
        <v>8.1395</v>
      </c>
      <c r="E2581" s="144">
        <v>134.22999999999999</v>
      </c>
      <c r="F2581" s="144">
        <v>0.89890000000000003</v>
      </c>
      <c r="G2581" s="144">
        <v>1.4755</v>
      </c>
    </row>
    <row r="2582" spans="1:7" x14ac:dyDescent="0.25">
      <c r="A2582" s="145">
        <v>40188</v>
      </c>
      <c r="B2582" s="144">
        <v>1.4273</v>
      </c>
      <c r="C2582" s="144">
        <v>42.5</v>
      </c>
      <c r="D2582" s="144">
        <v>8.1694999999999993</v>
      </c>
      <c r="E2582" s="144">
        <v>133.36000000000001</v>
      </c>
      <c r="F2582" s="144">
        <v>0.89339999999999997</v>
      </c>
      <c r="G2582" s="144">
        <v>1.4815</v>
      </c>
    </row>
    <row r="2583" spans="1:7" x14ac:dyDescent="0.25">
      <c r="A2583" s="145">
        <v>40187</v>
      </c>
      <c r="B2583" s="144">
        <v>1.4273</v>
      </c>
      <c r="C2583" s="144">
        <v>42.5</v>
      </c>
      <c r="D2583" s="144">
        <v>8.1694999999999993</v>
      </c>
      <c r="E2583" s="144">
        <v>133.36000000000001</v>
      </c>
      <c r="F2583" s="144">
        <v>0.89339999999999997</v>
      </c>
      <c r="G2583" s="144">
        <v>1.4815</v>
      </c>
    </row>
    <row r="2584" spans="1:7" x14ac:dyDescent="0.25">
      <c r="A2584" s="145">
        <v>40186</v>
      </c>
      <c r="B2584" s="144">
        <v>1.4273</v>
      </c>
      <c r="C2584" s="144">
        <v>42.5</v>
      </c>
      <c r="D2584" s="144">
        <v>8.1694999999999993</v>
      </c>
      <c r="E2584" s="144">
        <v>133.36000000000001</v>
      </c>
      <c r="F2584" s="144">
        <v>0.89339999999999997</v>
      </c>
      <c r="G2584" s="144">
        <v>1.4815</v>
      </c>
    </row>
    <row r="2585" spans="1:7" x14ac:dyDescent="0.25">
      <c r="A2585" s="145">
        <v>40185</v>
      </c>
      <c r="B2585" s="144">
        <v>1.4303999999999999</v>
      </c>
      <c r="C2585" s="144">
        <v>42.6175</v>
      </c>
      <c r="D2585" s="144">
        <v>8.1980000000000004</v>
      </c>
      <c r="E2585" s="144">
        <v>133.5</v>
      </c>
      <c r="F2585" s="144">
        <v>0.89959999999999996</v>
      </c>
      <c r="G2585" s="144">
        <v>1.4832000000000001</v>
      </c>
    </row>
    <row r="2586" spans="1:7" x14ac:dyDescent="0.25">
      <c r="A2586" s="145">
        <v>40184</v>
      </c>
      <c r="B2586" s="144">
        <v>1.4350000000000001</v>
      </c>
      <c r="C2586" s="144">
        <v>42.85</v>
      </c>
      <c r="D2586" s="144">
        <v>8.1880000000000006</v>
      </c>
      <c r="E2586" s="144">
        <v>132.69</v>
      </c>
      <c r="F2586" s="144">
        <v>0.89859999999999995</v>
      </c>
      <c r="G2586" s="144">
        <v>1.4823</v>
      </c>
    </row>
    <row r="2587" spans="1:7" x14ac:dyDescent="0.25">
      <c r="A2587" s="145">
        <v>40183</v>
      </c>
      <c r="B2587" s="144">
        <v>1.4441999999999999</v>
      </c>
      <c r="C2587" s="144">
        <v>43.1</v>
      </c>
      <c r="D2587" s="144">
        <v>8.2119999999999997</v>
      </c>
      <c r="E2587" s="144">
        <v>132.54</v>
      </c>
      <c r="F2587" s="144">
        <v>0.90044999999999997</v>
      </c>
      <c r="G2587" s="144">
        <v>1.4856</v>
      </c>
    </row>
    <row r="2588" spans="1:7" x14ac:dyDescent="0.25">
      <c r="A2588" s="145">
        <v>40182</v>
      </c>
      <c r="B2588" s="144">
        <v>1.4389000000000001</v>
      </c>
      <c r="C2588" s="144">
        <v>43.16</v>
      </c>
      <c r="D2588" s="144">
        <v>8.2289999999999992</v>
      </c>
      <c r="E2588" s="144">
        <v>133.62</v>
      </c>
      <c r="F2588" s="144">
        <v>0.89139999999999997</v>
      </c>
      <c r="G2588" s="144">
        <v>1.4873000000000001</v>
      </c>
    </row>
    <row r="2589" spans="1:7" x14ac:dyDescent="0.25">
      <c r="A2589" s="145">
        <v>40181</v>
      </c>
      <c r="B2589" s="144">
        <v>1.4406000000000001</v>
      </c>
      <c r="C2589" s="144">
        <v>43.154000000000003</v>
      </c>
      <c r="D2589" s="144">
        <v>8.3000000000000007</v>
      </c>
      <c r="E2589" s="144">
        <v>133.16</v>
      </c>
      <c r="F2589" s="144">
        <v>0.8881</v>
      </c>
      <c r="G2589" s="144">
        <v>1.4836</v>
      </c>
    </row>
    <row r="2590" spans="1:7" x14ac:dyDescent="0.25">
      <c r="A2590" s="145">
        <v>40180</v>
      </c>
      <c r="B2590" s="144">
        <v>1.4406000000000001</v>
      </c>
      <c r="C2590" s="144">
        <v>43.154000000000003</v>
      </c>
      <c r="D2590" s="144">
        <v>8.3000000000000007</v>
      </c>
      <c r="E2590" s="144">
        <v>133.16</v>
      </c>
      <c r="F2590" s="144">
        <v>0.8881</v>
      </c>
      <c r="G2590" s="144">
        <v>1.4836</v>
      </c>
    </row>
    <row r="2591" spans="1:7" x14ac:dyDescent="0.25">
      <c r="A2591" s="145">
        <v>40179</v>
      </c>
      <c r="B2591" s="144">
        <v>1.4406000000000001</v>
      </c>
      <c r="C2591" s="144">
        <v>43.154000000000003</v>
      </c>
      <c r="D2591" s="144">
        <v>8.3000000000000007</v>
      </c>
      <c r="E2591" s="144">
        <v>133.16</v>
      </c>
      <c r="F2591" s="144">
        <v>0.8881</v>
      </c>
      <c r="G2591" s="144">
        <v>1.4836</v>
      </c>
    </row>
    <row r="2592" spans="1:7" x14ac:dyDescent="0.25">
      <c r="A2592" s="145">
        <v>40178</v>
      </c>
      <c r="B2592" s="144">
        <v>1.4406000000000001</v>
      </c>
      <c r="C2592" s="144">
        <v>43.154000000000003</v>
      </c>
      <c r="D2592" s="144">
        <v>8.3000000000000007</v>
      </c>
      <c r="E2592" s="144">
        <v>133.16</v>
      </c>
      <c r="F2592" s="144">
        <v>0.8881</v>
      </c>
      <c r="G2592" s="144">
        <v>1.4836</v>
      </c>
    </row>
    <row r="2593" spans="1:7" x14ac:dyDescent="0.25">
      <c r="A2593" s="145">
        <v>40177</v>
      </c>
      <c r="B2593" s="144">
        <v>1.4338</v>
      </c>
      <c r="C2593" s="144">
        <v>43.5</v>
      </c>
      <c r="D2593" s="144">
        <v>8.3219999999999992</v>
      </c>
      <c r="E2593" s="144">
        <v>132.35</v>
      </c>
      <c r="F2593" s="144">
        <v>0.90400000000000003</v>
      </c>
      <c r="G2593" s="144">
        <v>1.4878</v>
      </c>
    </row>
    <row r="2594" spans="1:7" x14ac:dyDescent="0.25">
      <c r="A2594" s="145">
        <v>40176</v>
      </c>
      <c r="B2594" s="144">
        <v>1.4433</v>
      </c>
      <c r="C2594" s="144">
        <v>43.331600000000002</v>
      </c>
      <c r="D2594" s="144">
        <v>8.3285</v>
      </c>
      <c r="E2594" s="144">
        <v>132.44</v>
      </c>
      <c r="F2594" s="144">
        <v>0.90269999999999995</v>
      </c>
      <c r="G2594" s="144">
        <v>1.4882</v>
      </c>
    </row>
    <row r="2595" spans="1:7" x14ac:dyDescent="0.25">
      <c r="A2595" s="145">
        <v>40175</v>
      </c>
      <c r="B2595" s="144">
        <v>1.4404999999999999</v>
      </c>
      <c r="C2595" s="144">
        <v>42.755000000000003</v>
      </c>
      <c r="D2595" s="144">
        <v>8.3439999999999994</v>
      </c>
      <c r="E2595" s="144">
        <v>131.86000000000001</v>
      </c>
      <c r="F2595" s="144">
        <v>0.90142999999999995</v>
      </c>
      <c r="G2595" s="144">
        <v>1.4887999999999999</v>
      </c>
    </row>
    <row r="2596" spans="1:7" x14ac:dyDescent="0.25">
      <c r="A2596" s="145">
        <v>40174</v>
      </c>
      <c r="B2596" s="144">
        <v>1.4398</v>
      </c>
      <c r="C2596" s="144">
        <v>42.71</v>
      </c>
      <c r="D2596" s="144">
        <v>8.3364999999999991</v>
      </c>
      <c r="E2596" s="144">
        <v>131.72999999999999</v>
      </c>
      <c r="F2596" s="144">
        <v>0.90080000000000005</v>
      </c>
      <c r="G2596" s="144">
        <v>1.4882</v>
      </c>
    </row>
    <row r="2597" spans="1:7" x14ac:dyDescent="0.25">
      <c r="A2597" s="145">
        <v>40173</v>
      </c>
      <c r="B2597" s="144">
        <v>1.4398</v>
      </c>
      <c r="C2597" s="144">
        <v>42.71</v>
      </c>
      <c r="D2597" s="144">
        <v>8.3364999999999991</v>
      </c>
      <c r="E2597" s="144">
        <v>131.72999999999999</v>
      </c>
      <c r="F2597" s="144">
        <v>0.90080000000000005</v>
      </c>
      <c r="G2597" s="144">
        <v>1.4882</v>
      </c>
    </row>
    <row r="2598" spans="1:7" x14ac:dyDescent="0.25">
      <c r="A2598" s="145">
        <v>40172</v>
      </c>
      <c r="B2598" s="144">
        <v>1.4398</v>
      </c>
      <c r="C2598" s="144">
        <v>42.71</v>
      </c>
      <c r="D2598" s="144">
        <v>8.3364999999999991</v>
      </c>
      <c r="E2598" s="144">
        <v>131.72999999999999</v>
      </c>
      <c r="F2598" s="144">
        <v>0.90080000000000005</v>
      </c>
      <c r="G2598" s="144">
        <v>1.4882</v>
      </c>
    </row>
    <row r="2599" spans="1:7" x14ac:dyDescent="0.25">
      <c r="A2599" s="145">
        <v>40171</v>
      </c>
      <c r="B2599" s="144">
        <v>1.4398</v>
      </c>
      <c r="C2599" s="144">
        <v>42.71</v>
      </c>
      <c r="D2599" s="144">
        <v>8.3364999999999991</v>
      </c>
      <c r="E2599" s="144">
        <v>131.72999999999999</v>
      </c>
      <c r="F2599" s="144">
        <v>0.90080000000000005</v>
      </c>
      <c r="G2599" s="144">
        <v>1.4882</v>
      </c>
    </row>
    <row r="2600" spans="1:7" x14ac:dyDescent="0.25">
      <c r="A2600" s="145">
        <v>40170</v>
      </c>
      <c r="B2600" s="144">
        <v>1.4276</v>
      </c>
      <c r="C2600" s="144">
        <v>43.170699999999997</v>
      </c>
      <c r="D2600" s="144">
        <v>8.3524999999999991</v>
      </c>
      <c r="E2600" s="144">
        <v>130.94999999999999</v>
      </c>
      <c r="F2600" s="144">
        <v>0.89470000000000005</v>
      </c>
      <c r="G2600" s="144">
        <v>1.4895</v>
      </c>
    </row>
    <row r="2601" spans="1:7" x14ac:dyDescent="0.25">
      <c r="A2601" s="145">
        <v>40169</v>
      </c>
      <c r="B2601" s="144">
        <v>1.4278999999999999</v>
      </c>
      <c r="C2601" s="144">
        <v>43.604100000000003</v>
      </c>
      <c r="D2601" s="144">
        <v>8.3650000000000002</v>
      </c>
      <c r="E2601" s="144">
        <v>130.83000000000001</v>
      </c>
      <c r="F2601" s="144">
        <v>0.89305000000000001</v>
      </c>
      <c r="G2601" s="144">
        <v>1.4986999999999999</v>
      </c>
    </row>
    <row r="2602" spans="1:7" x14ac:dyDescent="0.25">
      <c r="A2602" s="145">
        <v>40168</v>
      </c>
      <c r="B2602" s="144">
        <v>1.4368000000000001</v>
      </c>
      <c r="C2602" s="144">
        <v>43.79</v>
      </c>
      <c r="D2602" s="144">
        <v>8.3520000000000003</v>
      </c>
      <c r="E2602" s="144">
        <v>130.1</v>
      </c>
      <c r="F2602" s="144">
        <v>0.89180000000000004</v>
      </c>
      <c r="G2602" s="144">
        <v>1.4938</v>
      </c>
    </row>
    <row r="2603" spans="1:7" x14ac:dyDescent="0.25">
      <c r="A2603" s="145">
        <v>40167</v>
      </c>
      <c r="B2603" s="144">
        <v>1.4337</v>
      </c>
      <c r="C2603" s="144">
        <v>43.968499999999999</v>
      </c>
      <c r="D2603" s="144">
        <v>8.3955000000000002</v>
      </c>
      <c r="E2603" s="144">
        <v>129.68</v>
      </c>
      <c r="F2603" s="144">
        <v>0.88700000000000001</v>
      </c>
      <c r="G2603" s="144">
        <v>1.4958</v>
      </c>
    </row>
    <row r="2604" spans="1:7" x14ac:dyDescent="0.25">
      <c r="A2604" s="145">
        <v>40166</v>
      </c>
      <c r="B2604" s="144">
        <v>1.4337</v>
      </c>
      <c r="C2604" s="144">
        <v>43.968499999999999</v>
      </c>
      <c r="D2604" s="144">
        <v>8.3955000000000002</v>
      </c>
      <c r="E2604" s="144">
        <v>129.68</v>
      </c>
      <c r="F2604" s="144">
        <v>0.88700000000000001</v>
      </c>
      <c r="G2604" s="144">
        <v>1.4958</v>
      </c>
    </row>
    <row r="2605" spans="1:7" x14ac:dyDescent="0.25">
      <c r="A2605" s="145">
        <v>40165</v>
      </c>
      <c r="B2605" s="144">
        <v>1.4337</v>
      </c>
      <c r="C2605" s="144">
        <v>43.968499999999999</v>
      </c>
      <c r="D2605" s="144">
        <v>8.3955000000000002</v>
      </c>
      <c r="E2605" s="144">
        <v>129.68</v>
      </c>
      <c r="F2605" s="144">
        <v>0.88700000000000001</v>
      </c>
      <c r="G2605" s="144">
        <v>1.4958</v>
      </c>
    </row>
    <row r="2606" spans="1:7" x14ac:dyDescent="0.25">
      <c r="A2606" s="145">
        <v>40164</v>
      </c>
      <c r="B2606" s="144">
        <v>1.4342999999999999</v>
      </c>
      <c r="C2606" s="144">
        <v>44.191000000000003</v>
      </c>
      <c r="D2606" s="144">
        <v>8.4049999999999994</v>
      </c>
      <c r="E2606" s="144">
        <v>129.27000000000001</v>
      </c>
      <c r="F2606" s="144">
        <v>0.88995000000000002</v>
      </c>
      <c r="G2606" s="144">
        <v>1.5053000000000001</v>
      </c>
    </row>
    <row r="2607" spans="1:7" x14ac:dyDescent="0.25">
      <c r="A2607" s="145">
        <v>40163</v>
      </c>
      <c r="B2607" s="144">
        <v>1.456</v>
      </c>
      <c r="C2607" s="144">
        <v>44.094000000000001</v>
      </c>
      <c r="D2607" s="144">
        <v>8.3695000000000004</v>
      </c>
      <c r="E2607" s="144">
        <v>130.61000000000001</v>
      </c>
      <c r="F2607" s="144">
        <v>0.88944999999999996</v>
      </c>
      <c r="G2607" s="144">
        <v>1.5125999999999999</v>
      </c>
    </row>
    <row r="2608" spans="1:7" x14ac:dyDescent="0.25">
      <c r="A2608" s="145">
        <v>40162</v>
      </c>
      <c r="B2608" s="144">
        <v>1.4540999999999999</v>
      </c>
      <c r="C2608" s="144">
        <v>43.972499999999997</v>
      </c>
      <c r="D2608" s="144">
        <v>8.4734999999999996</v>
      </c>
      <c r="E2608" s="144">
        <v>130.22</v>
      </c>
      <c r="F2608" s="144">
        <v>0.89600000000000002</v>
      </c>
      <c r="G2608" s="144">
        <v>1.5123</v>
      </c>
    </row>
    <row r="2609" spans="1:7" x14ac:dyDescent="0.25">
      <c r="A2609" s="145">
        <v>40161</v>
      </c>
      <c r="B2609" s="144">
        <v>1.4646999999999999</v>
      </c>
      <c r="C2609" s="144">
        <v>44.075000000000003</v>
      </c>
      <c r="D2609" s="144">
        <v>8.4685000000000006</v>
      </c>
      <c r="E2609" s="144">
        <v>129.55000000000001</v>
      </c>
      <c r="F2609" s="144">
        <v>0.90059999999999996</v>
      </c>
      <c r="G2609" s="144">
        <v>1.5122</v>
      </c>
    </row>
    <row r="2610" spans="1:7" x14ac:dyDescent="0.25">
      <c r="A2610" s="145">
        <v>40160</v>
      </c>
      <c r="B2610" s="144">
        <v>1.4757</v>
      </c>
      <c r="C2610" s="144">
        <v>44.372999999999998</v>
      </c>
      <c r="D2610" s="144">
        <v>8.4435000000000002</v>
      </c>
      <c r="E2610" s="144">
        <v>131.13</v>
      </c>
      <c r="F2610" s="144">
        <v>0.90515000000000001</v>
      </c>
      <c r="G2610" s="144">
        <v>1.5125</v>
      </c>
    </row>
    <row r="2611" spans="1:7" x14ac:dyDescent="0.25">
      <c r="A2611" s="145">
        <v>40159</v>
      </c>
      <c r="B2611" s="144">
        <v>1.4757</v>
      </c>
      <c r="C2611" s="144">
        <v>44.372999999999998</v>
      </c>
      <c r="D2611" s="144">
        <v>8.4435000000000002</v>
      </c>
      <c r="E2611" s="144">
        <v>131.13</v>
      </c>
      <c r="F2611" s="144">
        <v>0.90515000000000001</v>
      </c>
      <c r="G2611" s="144">
        <v>1.5125</v>
      </c>
    </row>
    <row r="2612" spans="1:7" x14ac:dyDescent="0.25">
      <c r="A2612" s="145">
        <v>40158</v>
      </c>
      <c r="B2612" s="144">
        <v>1.4757</v>
      </c>
      <c r="C2612" s="144">
        <v>44.372999999999998</v>
      </c>
      <c r="D2612" s="144">
        <v>8.4435000000000002</v>
      </c>
      <c r="E2612" s="144">
        <v>131.13</v>
      </c>
      <c r="F2612" s="144">
        <v>0.90515000000000001</v>
      </c>
      <c r="G2612" s="144">
        <v>1.5125</v>
      </c>
    </row>
    <row r="2613" spans="1:7" x14ac:dyDescent="0.25">
      <c r="A2613" s="145">
        <v>40157</v>
      </c>
      <c r="B2613" s="144">
        <v>1.4730000000000001</v>
      </c>
      <c r="C2613" s="144">
        <v>44.850499999999997</v>
      </c>
      <c r="D2613" s="144">
        <v>8.4354999999999993</v>
      </c>
      <c r="E2613" s="144">
        <v>130.03</v>
      </c>
      <c r="F2613" s="144">
        <v>0.90429999999999999</v>
      </c>
      <c r="G2613" s="144">
        <v>1.5113000000000001</v>
      </c>
    </row>
    <row r="2614" spans="1:7" x14ac:dyDescent="0.25">
      <c r="A2614" s="145">
        <v>40156</v>
      </c>
      <c r="B2614" s="144">
        <v>1.4767999999999999</v>
      </c>
      <c r="C2614" s="144">
        <v>44.873699999999999</v>
      </c>
      <c r="D2614" s="144">
        <v>8.4649999999999999</v>
      </c>
      <c r="E2614" s="144">
        <v>129.91</v>
      </c>
      <c r="F2614" s="144">
        <v>0.90459999999999996</v>
      </c>
      <c r="G2614" s="144">
        <v>1.5114000000000001</v>
      </c>
    </row>
    <row r="2615" spans="1:7" x14ac:dyDescent="0.25">
      <c r="A2615" s="145">
        <v>40155</v>
      </c>
      <c r="B2615" s="144">
        <v>1.4774</v>
      </c>
      <c r="C2615" s="144">
        <v>45.07</v>
      </c>
      <c r="D2615" s="144">
        <v>8.4915000000000003</v>
      </c>
      <c r="E2615" s="144">
        <v>130.74</v>
      </c>
      <c r="F2615" s="144">
        <v>0.90700000000000003</v>
      </c>
      <c r="G2615" s="144">
        <v>1.5111000000000001</v>
      </c>
    </row>
    <row r="2616" spans="1:7" x14ac:dyDescent="0.25">
      <c r="A2616" s="145">
        <v>40154</v>
      </c>
      <c r="B2616" s="144">
        <v>1.4786999999999999</v>
      </c>
      <c r="C2616" s="144">
        <v>44.14</v>
      </c>
      <c r="D2616" s="144">
        <v>8.4674999999999994</v>
      </c>
      <c r="E2616" s="144">
        <v>133.24</v>
      </c>
      <c r="F2616" s="144">
        <v>0.90505000000000002</v>
      </c>
      <c r="G2616" s="144">
        <v>1.5123</v>
      </c>
    </row>
    <row r="2617" spans="1:7" x14ac:dyDescent="0.25">
      <c r="A2617" s="145">
        <v>40153</v>
      </c>
      <c r="B2617" s="144">
        <v>1.5067999999999999</v>
      </c>
      <c r="C2617" s="144">
        <v>44.158200000000001</v>
      </c>
      <c r="D2617" s="144">
        <v>8.49</v>
      </c>
      <c r="E2617" s="144">
        <v>133.08000000000001</v>
      </c>
      <c r="F2617" s="144">
        <v>0.90480000000000005</v>
      </c>
      <c r="G2617" s="144">
        <v>1.5063</v>
      </c>
    </row>
    <row r="2618" spans="1:7" x14ac:dyDescent="0.25">
      <c r="A2618" s="145">
        <v>40152</v>
      </c>
      <c r="B2618" s="144">
        <v>1.5067999999999999</v>
      </c>
      <c r="C2618" s="144">
        <v>44.158200000000001</v>
      </c>
      <c r="D2618" s="144">
        <v>8.49</v>
      </c>
      <c r="E2618" s="144">
        <v>133.08000000000001</v>
      </c>
      <c r="F2618" s="144">
        <v>0.90480000000000005</v>
      </c>
      <c r="G2618" s="144">
        <v>1.5063</v>
      </c>
    </row>
    <row r="2619" spans="1:7" x14ac:dyDescent="0.25">
      <c r="A2619" s="145">
        <v>40151</v>
      </c>
      <c r="B2619" s="144">
        <v>1.5067999999999999</v>
      </c>
      <c r="C2619" s="144">
        <v>44.158200000000001</v>
      </c>
      <c r="D2619" s="144">
        <v>8.49</v>
      </c>
      <c r="E2619" s="144">
        <v>133.08000000000001</v>
      </c>
      <c r="F2619" s="144">
        <v>0.90480000000000005</v>
      </c>
      <c r="G2619" s="144">
        <v>1.5063</v>
      </c>
    </row>
    <row r="2620" spans="1:7" x14ac:dyDescent="0.25">
      <c r="A2620" s="145">
        <v>40150</v>
      </c>
      <c r="B2620" s="144">
        <v>1.512</v>
      </c>
      <c r="C2620" s="144">
        <v>44.03</v>
      </c>
      <c r="D2620" s="144">
        <v>8.4390000000000001</v>
      </c>
      <c r="E2620" s="144">
        <v>133.16999999999999</v>
      </c>
      <c r="F2620" s="144">
        <v>0.90915000000000001</v>
      </c>
      <c r="G2620" s="144">
        <v>1.5083</v>
      </c>
    </row>
    <row r="2621" spans="1:7" x14ac:dyDescent="0.25">
      <c r="A2621" s="145">
        <v>40149</v>
      </c>
      <c r="B2621" s="144">
        <v>1.5089999999999999</v>
      </c>
      <c r="C2621" s="144">
        <v>44.11</v>
      </c>
      <c r="D2621" s="144">
        <v>8.4209999999999994</v>
      </c>
      <c r="E2621" s="144">
        <v>131.55000000000001</v>
      </c>
      <c r="F2621" s="144">
        <v>0.90429999999999999</v>
      </c>
      <c r="G2621" s="144">
        <v>1.5072000000000001</v>
      </c>
    </row>
    <row r="2622" spans="1:7" x14ac:dyDescent="0.25">
      <c r="A2622" s="145">
        <v>40148</v>
      </c>
      <c r="B2622" s="144">
        <v>1.5074000000000001</v>
      </c>
      <c r="C2622" s="144">
        <v>43.92</v>
      </c>
      <c r="D2622" s="144">
        <v>8.4804999999999993</v>
      </c>
      <c r="E2622" s="144">
        <v>131.02000000000001</v>
      </c>
      <c r="F2622" s="144">
        <v>0.90985000000000005</v>
      </c>
      <c r="G2622" s="144">
        <v>1.5079</v>
      </c>
    </row>
    <row r="2623" spans="1:7" x14ac:dyDescent="0.25">
      <c r="A2623" s="145">
        <v>40147</v>
      </c>
      <c r="B2623" s="144">
        <v>1.5023</v>
      </c>
      <c r="C2623" s="144">
        <v>43.98</v>
      </c>
      <c r="D2623" s="144">
        <v>8.5124999999999993</v>
      </c>
      <c r="E2623" s="144">
        <v>129.77000000000001</v>
      </c>
      <c r="F2623" s="144">
        <v>0.91154999999999997</v>
      </c>
      <c r="G2623" s="144">
        <v>1.5071000000000001</v>
      </c>
    </row>
    <row r="2624" spans="1:7" x14ac:dyDescent="0.25">
      <c r="A2624" s="145">
        <v>40146</v>
      </c>
      <c r="B2624" s="144">
        <v>1.4918</v>
      </c>
      <c r="C2624" s="144">
        <v>43.776899999999998</v>
      </c>
      <c r="D2624" s="144">
        <v>8.4920000000000009</v>
      </c>
      <c r="E2624" s="144">
        <v>129.19999999999999</v>
      </c>
      <c r="F2624" s="144">
        <v>0.90910000000000002</v>
      </c>
      <c r="G2624" s="144">
        <v>1.5064</v>
      </c>
    </row>
    <row r="2625" spans="1:7" x14ac:dyDescent="0.25">
      <c r="A2625" s="145">
        <v>40145</v>
      </c>
      <c r="B2625" s="144">
        <v>1.4918</v>
      </c>
      <c r="C2625" s="144">
        <v>43.776899999999998</v>
      </c>
      <c r="D2625" s="144">
        <v>8.4920000000000009</v>
      </c>
      <c r="E2625" s="144">
        <v>129.19999999999999</v>
      </c>
      <c r="F2625" s="144">
        <v>0.90910000000000002</v>
      </c>
      <c r="G2625" s="144">
        <v>1.5064</v>
      </c>
    </row>
    <row r="2626" spans="1:7" x14ac:dyDescent="0.25">
      <c r="A2626" s="145">
        <v>40144</v>
      </c>
      <c r="B2626" s="144">
        <v>1.4918</v>
      </c>
      <c r="C2626" s="144">
        <v>43.776899999999998</v>
      </c>
      <c r="D2626" s="144">
        <v>8.4920000000000009</v>
      </c>
      <c r="E2626" s="144">
        <v>129.19999999999999</v>
      </c>
      <c r="F2626" s="144">
        <v>0.90910000000000002</v>
      </c>
      <c r="G2626" s="144">
        <v>1.5064</v>
      </c>
    </row>
    <row r="2627" spans="1:7" x14ac:dyDescent="0.25">
      <c r="A2627" s="145">
        <v>40143</v>
      </c>
      <c r="B2627" s="144">
        <v>1.5071000000000001</v>
      </c>
      <c r="C2627" s="144">
        <v>43.831000000000003</v>
      </c>
      <c r="D2627" s="144">
        <v>8.5</v>
      </c>
      <c r="E2627" s="144">
        <v>130.69999999999999</v>
      </c>
      <c r="F2627" s="144">
        <v>0.91100000000000003</v>
      </c>
      <c r="G2627" s="144">
        <v>1.5098</v>
      </c>
    </row>
    <row r="2628" spans="1:7" x14ac:dyDescent="0.25">
      <c r="A2628" s="145">
        <v>40142</v>
      </c>
      <c r="B2628" s="144">
        <v>1.5083</v>
      </c>
      <c r="C2628" s="144">
        <v>43.45</v>
      </c>
      <c r="D2628" s="144">
        <v>8.4160000000000004</v>
      </c>
      <c r="E2628" s="144">
        <v>132.1</v>
      </c>
      <c r="F2628" s="144">
        <v>0.90310000000000001</v>
      </c>
      <c r="G2628" s="144">
        <v>1.5095000000000001</v>
      </c>
    </row>
    <row r="2629" spans="1:7" x14ac:dyDescent="0.25">
      <c r="A2629" s="145">
        <v>40141</v>
      </c>
      <c r="B2629" s="144">
        <v>1.4968999999999999</v>
      </c>
      <c r="C2629" s="144">
        <v>43.162500000000001</v>
      </c>
      <c r="D2629" s="144">
        <v>8.3765000000000001</v>
      </c>
      <c r="E2629" s="144">
        <v>132.57</v>
      </c>
      <c r="F2629" s="144">
        <v>0.90310000000000001</v>
      </c>
      <c r="G2629" s="144">
        <v>1.5109999999999999</v>
      </c>
    </row>
    <row r="2630" spans="1:7" x14ac:dyDescent="0.25">
      <c r="A2630" s="145">
        <v>40140</v>
      </c>
      <c r="B2630" s="144">
        <v>1.4967999999999999</v>
      </c>
      <c r="C2630" s="144">
        <v>43.127400000000002</v>
      </c>
      <c r="D2630" s="144">
        <v>8.3759999999999994</v>
      </c>
      <c r="E2630" s="144">
        <v>133.03</v>
      </c>
      <c r="F2630" s="144">
        <v>0.90075000000000005</v>
      </c>
      <c r="G2630" s="144">
        <v>1.5107999999999999</v>
      </c>
    </row>
    <row r="2631" spans="1:7" x14ac:dyDescent="0.25">
      <c r="A2631" s="145">
        <v>40139</v>
      </c>
      <c r="B2631" s="144">
        <v>1.4815</v>
      </c>
      <c r="C2631" s="144">
        <v>43.08</v>
      </c>
      <c r="D2631" s="144">
        <v>8.4250000000000007</v>
      </c>
      <c r="E2631" s="144">
        <v>131.87</v>
      </c>
      <c r="F2631" s="144">
        <v>0.89915</v>
      </c>
      <c r="G2631" s="144">
        <v>1.5125999999999999</v>
      </c>
    </row>
    <row r="2632" spans="1:7" x14ac:dyDescent="0.25">
      <c r="A2632" s="145">
        <v>40138</v>
      </c>
      <c r="B2632" s="144">
        <v>1.4815</v>
      </c>
      <c r="C2632" s="144">
        <v>43.08</v>
      </c>
      <c r="D2632" s="144">
        <v>8.4250000000000007</v>
      </c>
      <c r="E2632" s="144">
        <v>131.87</v>
      </c>
      <c r="F2632" s="144">
        <v>0.89915</v>
      </c>
      <c r="G2632" s="144">
        <v>1.5125999999999999</v>
      </c>
    </row>
    <row r="2633" spans="1:7" x14ac:dyDescent="0.25">
      <c r="A2633" s="145">
        <v>40137</v>
      </c>
      <c r="B2633" s="144">
        <v>1.4815</v>
      </c>
      <c r="C2633" s="144">
        <v>43.08</v>
      </c>
      <c r="D2633" s="144">
        <v>8.4250000000000007</v>
      </c>
      <c r="E2633" s="144">
        <v>131.87</v>
      </c>
      <c r="F2633" s="144">
        <v>0.89915</v>
      </c>
      <c r="G2633" s="144">
        <v>1.5125999999999999</v>
      </c>
    </row>
    <row r="2634" spans="1:7" x14ac:dyDescent="0.25">
      <c r="A2634" s="145">
        <v>40136</v>
      </c>
      <c r="B2634" s="144">
        <v>1.4863</v>
      </c>
      <c r="C2634" s="144">
        <v>42.946800000000003</v>
      </c>
      <c r="D2634" s="144">
        <v>8.3919999999999995</v>
      </c>
      <c r="E2634" s="144">
        <v>132.05000000000001</v>
      </c>
      <c r="F2634" s="144">
        <v>0.89385000000000003</v>
      </c>
      <c r="G2634" s="144">
        <v>1.5130999999999999</v>
      </c>
    </row>
    <row r="2635" spans="1:7" x14ac:dyDescent="0.25">
      <c r="A2635" s="145">
        <v>40135</v>
      </c>
      <c r="B2635" s="144">
        <v>1.4957</v>
      </c>
      <c r="C2635" s="144">
        <v>42.904800000000002</v>
      </c>
      <c r="D2635" s="144">
        <v>8.3520000000000003</v>
      </c>
      <c r="E2635" s="144">
        <v>133.38999999999999</v>
      </c>
      <c r="F2635" s="144">
        <v>0.88949999999999996</v>
      </c>
      <c r="G2635" s="144">
        <v>1.5112000000000001</v>
      </c>
    </row>
    <row r="2636" spans="1:7" x14ac:dyDescent="0.25">
      <c r="A2636" s="145">
        <v>40134</v>
      </c>
      <c r="B2636" s="144">
        <v>1.4875</v>
      </c>
      <c r="C2636" s="144">
        <v>42.799500000000002</v>
      </c>
      <c r="D2636" s="144">
        <v>8.3475000000000001</v>
      </c>
      <c r="E2636" s="144">
        <v>132.76</v>
      </c>
      <c r="F2636" s="144">
        <v>0.88624999999999998</v>
      </c>
      <c r="G2636" s="144">
        <v>1.5111000000000001</v>
      </c>
    </row>
    <row r="2637" spans="1:7" x14ac:dyDescent="0.25">
      <c r="A2637" s="145">
        <v>40133</v>
      </c>
      <c r="B2637" s="144">
        <v>1.4964999999999999</v>
      </c>
      <c r="C2637" s="144">
        <v>42.954500000000003</v>
      </c>
      <c r="D2637" s="144">
        <v>8.3369999999999997</v>
      </c>
      <c r="E2637" s="144">
        <v>134.02000000000001</v>
      </c>
      <c r="F2637" s="144">
        <v>0.89485000000000003</v>
      </c>
      <c r="G2637" s="144">
        <v>1.5093000000000001</v>
      </c>
    </row>
    <row r="2638" spans="1:7" x14ac:dyDescent="0.25">
      <c r="A2638" s="145">
        <v>40132</v>
      </c>
      <c r="B2638" s="144">
        <v>1.4867999999999999</v>
      </c>
      <c r="C2638" s="144">
        <v>42.927799999999998</v>
      </c>
      <c r="D2638" s="144">
        <v>8.3644999999999996</v>
      </c>
      <c r="E2638" s="144">
        <v>133.51</v>
      </c>
      <c r="F2638" s="144">
        <v>0.89124999999999999</v>
      </c>
      <c r="G2638" s="144">
        <v>1.5098</v>
      </c>
    </row>
    <row r="2639" spans="1:7" x14ac:dyDescent="0.25">
      <c r="A2639" s="145">
        <v>40131</v>
      </c>
      <c r="B2639" s="144">
        <v>1.4867999999999999</v>
      </c>
      <c r="C2639" s="144">
        <v>42.927799999999998</v>
      </c>
      <c r="D2639" s="144">
        <v>8.3644999999999996</v>
      </c>
      <c r="E2639" s="144">
        <v>133.51</v>
      </c>
      <c r="F2639" s="144">
        <v>0.89124999999999999</v>
      </c>
      <c r="G2639" s="144">
        <v>1.5098</v>
      </c>
    </row>
    <row r="2640" spans="1:7" x14ac:dyDescent="0.25">
      <c r="A2640" s="145">
        <v>40130</v>
      </c>
      <c r="B2640" s="144">
        <v>1.4867999999999999</v>
      </c>
      <c r="C2640" s="144">
        <v>42.927799999999998</v>
      </c>
      <c r="D2640" s="144">
        <v>8.3644999999999996</v>
      </c>
      <c r="E2640" s="144">
        <v>133.51</v>
      </c>
      <c r="F2640" s="144">
        <v>0.89124999999999999</v>
      </c>
      <c r="G2640" s="144">
        <v>1.5098</v>
      </c>
    </row>
    <row r="2641" spans="1:7" x14ac:dyDescent="0.25">
      <c r="A2641" s="145">
        <v>40129</v>
      </c>
      <c r="B2641" s="144">
        <v>1.4922</v>
      </c>
      <c r="C2641" s="144">
        <v>43.006999999999998</v>
      </c>
      <c r="D2641" s="144">
        <v>8.3915000000000006</v>
      </c>
      <c r="E2641" s="144">
        <v>134.32</v>
      </c>
      <c r="F2641" s="144">
        <v>0.90200000000000002</v>
      </c>
      <c r="G2641" s="144">
        <v>1.5105999999999999</v>
      </c>
    </row>
    <row r="2642" spans="1:7" x14ac:dyDescent="0.25">
      <c r="A2642" s="145">
        <v>40128</v>
      </c>
      <c r="B2642" s="144">
        <v>1.5037</v>
      </c>
      <c r="C2642" s="144">
        <v>43.08</v>
      </c>
      <c r="D2642" s="144">
        <v>8.36</v>
      </c>
      <c r="E2642" s="144">
        <v>135.11000000000001</v>
      </c>
      <c r="F2642" s="144">
        <v>0.90290000000000004</v>
      </c>
      <c r="G2642" s="144">
        <v>1.5104</v>
      </c>
    </row>
    <row r="2643" spans="1:7" x14ac:dyDescent="0.25">
      <c r="A2643" s="145">
        <v>40127</v>
      </c>
      <c r="B2643" s="144">
        <v>1.4965999999999999</v>
      </c>
      <c r="C2643" s="144">
        <v>43.019399999999997</v>
      </c>
      <c r="D2643" s="144">
        <v>8.3834999999999997</v>
      </c>
      <c r="E2643" s="144">
        <v>134.51</v>
      </c>
      <c r="F2643" s="144">
        <v>0.89859999999999995</v>
      </c>
      <c r="G2643" s="144">
        <v>1.5115000000000001</v>
      </c>
    </row>
    <row r="2644" spans="1:7" x14ac:dyDescent="0.25">
      <c r="A2644" s="145">
        <v>40126</v>
      </c>
      <c r="B2644" s="144">
        <v>1.4984</v>
      </c>
      <c r="C2644" s="144">
        <v>43.086500000000001</v>
      </c>
      <c r="D2644" s="144">
        <v>8.4194999999999993</v>
      </c>
      <c r="E2644" s="144">
        <v>134.81</v>
      </c>
      <c r="F2644" s="144">
        <v>0.89365000000000006</v>
      </c>
      <c r="G2644" s="144">
        <v>1.5103</v>
      </c>
    </row>
    <row r="2645" spans="1:7" x14ac:dyDescent="0.25">
      <c r="A2645" s="145">
        <v>40125</v>
      </c>
      <c r="B2645" s="144">
        <v>1.4862</v>
      </c>
      <c r="C2645" s="144">
        <v>43.086599999999997</v>
      </c>
      <c r="D2645" s="144">
        <v>8.4339999999999993</v>
      </c>
      <c r="E2645" s="144">
        <v>134.76</v>
      </c>
      <c r="F2645" s="144">
        <v>0.89600000000000002</v>
      </c>
      <c r="G2645" s="144">
        <v>1.5115000000000001</v>
      </c>
    </row>
    <row r="2646" spans="1:7" x14ac:dyDescent="0.25">
      <c r="A2646" s="145">
        <v>40124</v>
      </c>
      <c r="B2646" s="144">
        <v>1.4862</v>
      </c>
      <c r="C2646" s="144">
        <v>43.086599999999997</v>
      </c>
      <c r="D2646" s="144">
        <v>8.4339999999999993</v>
      </c>
      <c r="E2646" s="144">
        <v>134.76</v>
      </c>
      <c r="F2646" s="144">
        <v>0.89600000000000002</v>
      </c>
      <c r="G2646" s="144">
        <v>1.5115000000000001</v>
      </c>
    </row>
    <row r="2647" spans="1:7" x14ac:dyDescent="0.25">
      <c r="A2647" s="145">
        <v>40123</v>
      </c>
      <c r="B2647" s="144">
        <v>1.4862</v>
      </c>
      <c r="C2647" s="144">
        <v>43.086599999999997</v>
      </c>
      <c r="D2647" s="144">
        <v>8.4339999999999993</v>
      </c>
      <c r="E2647" s="144">
        <v>134.76</v>
      </c>
      <c r="F2647" s="144">
        <v>0.89600000000000002</v>
      </c>
      <c r="G2647" s="144">
        <v>1.5115000000000001</v>
      </c>
    </row>
    <row r="2648" spans="1:7" x14ac:dyDescent="0.25">
      <c r="A2648" s="145">
        <v>40122</v>
      </c>
      <c r="B2648" s="144">
        <v>1.4866999999999999</v>
      </c>
      <c r="C2648" s="144">
        <v>43.246099999999998</v>
      </c>
      <c r="D2648" s="144">
        <v>8.4365000000000006</v>
      </c>
      <c r="E2648" s="144">
        <v>134.30000000000001</v>
      </c>
      <c r="F2648" s="144">
        <v>0.89529999999999998</v>
      </c>
      <c r="G2648" s="144">
        <v>1.5114000000000001</v>
      </c>
    </row>
    <row r="2649" spans="1:7" x14ac:dyDescent="0.25">
      <c r="A2649" s="145">
        <v>40121</v>
      </c>
      <c r="B2649" s="144">
        <v>1.4761</v>
      </c>
      <c r="C2649" s="144">
        <v>43.197200000000002</v>
      </c>
      <c r="D2649" s="144">
        <v>8.4414999999999996</v>
      </c>
      <c r="E2649" s="144">
        <v>134.30000000000001</v>
      </c>
      <c r="F2649" s="144">
        <v>0.89359999999999995</v>
      </c>
      <c r="G2649" s="144">
        <v>1.5113000000000001</v>
      </c>
    </row>
    <row r="2650" spans="1:7" x14ac:dyDescent="0.25">
      <c r="A2650" s="145">
        <v>40120</v>
      </c>
      <c r="B2650" s="144">
        <v>1.4658</v>
      </c>
      <c r="C2650" s="144">
        <v>43.048699999999997</v>
      </c>
      <c r="D2650" s="144">
        <v>8.5135000000000005</v>
      </c>
      <c r="E2650" s="144">
        <v>132.25</v>
      </c>
      <c r="F2650" s="144">
        <v>0.89859999999999995</v>
      </c>
      <c r="G2650" s="144">
        <v>1.5121</v>
      </c>
    </row>
    <row r="2651" spans="1:7" x14ac:dyDescent="0.25">
      <c r="A2651" s="145">
        <v>40119</v>
      </c>
      <c r="B2651" s="144">
        <v>1.4772000000000001</v>
      </c>
      <c r="C2651" s="144">
        <v>43.140099999999997</v>
      </c>
      <c r="D2651" s="144">
        <v>8.43</v>
      </c>
      <c r="E2651" s="144">
        <v>132.94999999999999</v>
      </c>
      <c r="F2651" s="144">
        <v>0.90329999999999999</v>
      </c>
      <c r="G2651" s="144">
        <v>1.5093000000000001</v>
      </c>
    </row>
    <row r="2652" spans="1:7" x14ac:dyDescent="0.25">
      <c r="A2652" s="145">
        <v>40118</v>
      </c>
      <c r="B2652" s="144">
        <v>1.48</v>
      </c>
      <c r="C2652" s="144">
        <v>43.01</v>
      </c>
      <c r="D2652" s="144">
        <v>8.3915000000000006</v>
      </c>
      <c r="E2652" s="144">
        <v>134.66</v>
      </c>
      <c r="F2652" s="144">
        <v>0.89375000000000004</v>
      </c>
      <c r="G2652" s="144">
        <v>1.5123</v>
      </c>
    </row>
    <row r="2653" spans="1:7" x14ac:dyDescent="0.25">
      <c r="A2653" s="145">
        <v>40117</v>
      </c>
      <c r="B2653" s="144">
        <v>1.48</v>
      </c>
      <c r="C2653" s="144">
        <v>43.01</v>
      </c>
      <c r="D2653" s="144">
        <v>8.3915000000000006</v>
      </c>
      <c r="E2653" s="144">
        <v>134.66</v>
      </c>
      <c r="F2653" s="144">
        <v>0.89375000000000004</v>
      </c>
      <c r="G2653" s="144">
        <v>1.5123</v>
      </c>
    </row>
    <row r="2654" spans="1:7" x14ac:dyDescent="0.25">
      <c r="A2654" s="145">
        <v>40116</v>
      </c>
      <c r="B2654" s="144">
        <v>1.48</v>
      </c>
      <c r="C2654" s="144">
        <v>43.01</v>
      </c>
      <c r="D2654" s="144">
        <v>8.3915000000000006</v>
      </c>
      <c r="E2654" s="144">
        <v>134.66</v>
      </c>
      <c r="F2654" s="144">
        <v>0.89375000000000004</v>
      </c>
      <c r="G2654" s="144">
        <v>1.5123</v>
      </c>
    </row>
    <row r="2655" spans="1:7" x14ac:dyDescent="0.25">
      <c r="A2655" s="145">
        <v>40115</v>
      </c>
      <c r="B2655" s="144">
        <v>1.4787999999999999</v>
      </c>
      <c r="C2655" s="144">
        <v>43.195700000000002</v>
      </c>
      <c r="D2655" s="144">
        <v>8.3834999999999997</v>
      </c>
      <c r="E2655" s="144">
        <v>135.13</v>
      </c>
      <c r="F2655" s="144">
        <v>0.89749999999999996</v>
      </c>
      <c r="G2655" s="144">
        <v>1.5108999999999999</v>
      </c>
    </row>
    <row r="2656" spans="1:7" x14ac:dyDescent="0.25">
      <c r="A2656" s="145">
        <v>40114</v>
      </c>
      <c r="B2656" s="144">
        <v>1.4784999999999999</v>
      </c>
      <c r="C2656" s="144">
        <v>43.235999999999997</v>
      </c>
      <c r="D2656" s="144">
        <v>8.4</v>
      </c>
      <c r="E2656" s="144">
        <v>134.76</v>
      </c>
      <c r="F2656" s="144">
        <v>0.90569999999999995</v>
      </c>
      <c r="G2656" s="144">
        <v>1.5108999999999999</v>
      </c>
    </row>
    <row r="2657" spans="1:7" x14ac:dyDescent="0.25">
      <c r="A2657" s="145">
        <v>40113</v>
      </c>
      <c r="B2657" s="144">
        <v>1.4874000000000001</v>
      </c>
      <c r="C2657" s="144">
        <v>43.374499999999998</v>
      </c>
      <c r="D2657" s="144">
        <v>8.3849999999999998</v>
      </c>
      <c r="E2657" s="144">
        <v>136.91</v>
      </c>
      <c r="F2657" s="144">
        <v>0.90774999999999995</v>
      </c>
      <c r="G2657" s="144">
        <v>1.5145</v>
      </c>
    </row>
    <row r="2658" spans="1:7" x14ac:dyDescent="0.25">
      <c r="A2658" s="145">
        <v>40112</v>
      </c>
      <c r="B2658" s="144">
        <v>1.5019</v>
      </c>
      <c r="C2658" s="144">
        <v>43.384999999999998</v>
      </c>
      <c r="D2658" s="144">
        <v>8.3254999999999999</v>
      </c>
      <c r="E2658" s="144">
        <v>138.09</v>
      </c>
      <c r="F2658" s="144">
        <v>0.9194</v>
      </c>
      <c r="G2658" s="144">
        <v>1.5130999999999999</v>
      </c>
    </row>
    <row r="2659" spans="1:7" x14ac:dyDescent="0.25">
      <c r="A2659" s="145">
        <v>40111</v>
      </c>
      <c r="B2659" s="144">
        <v>1.502</v>
      </c>
      <c r="C2659" s="144">
        <v>43.532499999999999</v>
      </c>
      <c r="D2659" s="144">
        <v>8.3275000000000006</v>
      </c>
      <c r="E2659" s="144">
        <v>137.97</v>
      </c>
      <c r="F2659" s="144">
        <v>0.91720000000000002</v>
      </c>
      <c r="G2659" s="144">
        <v>1.5132000000000001</v>
      </c>
    </row>
    <row r="2660" spans="1:7" x14ac:dyDescent="0.25">
      <c r="A2660" s="145">
        <v>40110</v>
      </c>
      <c r="B2660" s="144">
        <v>1.502</v>
      </c>
      <c r="C2660" s="144">
        <v>43.532499999999999</v>
      </c>
      <c r="D2660" s="144">
        <v>8.3275000000000006</v>
      </c>
      <c r="E2660" s="144">
        <v>137.97</v>
      </c>
      <c r="F2660" s="144">
        <v>0.91720000000000002</v>
      </c>
      <c r="G2660" s="144">
        <v>1.5132000000000001</v>
      </c>
    </row>
    <row r="2661" spans="1:7" x14ac:dyDescent="0.25">
      <c r="A2661" s="145">
        <v>40109</v>
      </c>
      <c r="B2661" s="144">
        <v>1.502</v>
      </c>
      <c r="C2661" s="144">
        <v>43.532499999999999</v>
      </c>
      <c r="D2661" s="144">
        <v>8.3275000000000006</v>
      </c>
      <c r="E2661" s="144">
        <v>137.97</v>
      </c>
      <c r="F2661" s="144">
        <v>0.91720000000000002</v>
      </c>
      <c r="G2661" s="144">
        <v>1.5132000000000001</v>
      </c>
    </row>
    <row r="2662" spans="1:7" x14ac:dyDescent="0.25">
      <c r="A2662" s="145">
        <v>40108</v>
      </c>
      <c r="B2662" s="144">
        <v>1.5</v>
      </c>
      <c r="C2662" s="144">
        <v>43.606000000000002</v>
      </c>
      <c r="D2662" s="144">
        <v>8.327</v>
      </c>
      <c r="E2662" s="144">
        <v>136.9</v>
      </c>
      <c r="F2662" s="144">
        <v>0.90529999999999999</v>
      </c>
      <c r="G2662" s="144">
        <v>1.5105</v>
      </c>
    </row>
    <row r="2663" spans="1:7" x14ac:dyDescent="0.25">
      <c r="A2663" s="145">
        <v>40107</v>
      </c>
      <c r="B2663" s="144">
        <v>1.4921</v>
      </c>
      <c r="C2663" s="144">
        <v>43.588999999999999</v>
      </c>
      <c r="D2663" s="144">
        <v>8.3279999999999994</v>
      </c>
      <c r="E2663" s="144">
        <v>135.82</v>
      </c>
      <c r="F2663" s="144">
        <v>0.90010000000000001</v>
      </c>
      <c r="G2663" s="144">
        <v>1.5112000000000001</v>
      </c>
    </row>
    <row r="2664" spans="1:7" x14ac:dyDescent="0.25">
      <c r="A2664" s="145">
        <v>40106</v>
      </c>
      <c r="B2664" s="144">
        <v>1.4971000000000001</v>
      </c>
      <c r="C2664" s="144">
        <v>43.639000000000003</v>
      </c>
      <c r="D2664" s="144">
        <v>8.3224999999999998</v>
      </c>
      <c r="E2664" s="144">
        <v>135.53</v>
      </c>
      <c r="F2664" s="144">
        <v>0.91169999999999995</v>
      </c>
      <c r="G2664" s="144">
        <v>1.5121</v>
      </c>
    </row>
    <row r="2665" spans="1:7" x14ac:dyDescent="0.25">
      <c r="A2665" s="145">
        <v>40105</v>
      </c>
      <c r="B2665" s="144">
        <v>1.4918</v>
      </c>
      <c r="C2665" s="144">
        <v>43.7425</v>
      </c>
      <c r="D2665" s="144">
        <v>8.3524999999999991</v>
      </c>
      <c r="E2665" s="144">
        <v>135.66</v>
      </c>
      <c r="F2665" s="144">
        <v>0.9143</v>
      </c>
      <c r="G2665" s="144">
        <v>1.5138</v>
      </c>
    </row>
    <row r="2666" spans="1:7" x14ac:dyDescent="0.25">
      <c r="A2666" s="145">
        <v>40104</v>
      </c>
      <c r="B2666" s="144">
        <v>1.4869000000000001</v>
      </c>
      <c r="C2666" s="144">
        <v>43.698999999999998</v>
      </c>
      <c r="D2666" s="144">
        <v>8.35</v>
      </c>
      <c r="E2666" s="144">
        <v>135.6</v>
      </c>
      <c r="F2666" s="144">
        <v>0.91174999999999995</v>
      </c>
      <c r="G2666" s="144">
        <v>1.518</v>
      </c>
    </row>
    <row r="2667" spans="1:7" x14ac:dyDescent="0.25">
      <c r="A2667" s="145">
        <v>40103</v>
      </c>
      <c r="B2667" s="144">
        <v>1.4869000000000001</v>
      </c>
      <c r="C2667" s="144">
        <v>43.698999999999998</v>
      </c>
      <c r="D2667" s="144">
        <v>8.35</v>
      </c>
      <c r="E2667" s="144">
        <v>135.6</v>
      </c>
      <c r="F2667" s="144">
        <v>0.91174999999999995</v>
      </c>
      <c r="G2667" s="144">
        <v>1.518</v>
      </c>
    </row>
    <row r="2668" spans="1:7" x14ac:dyDescent="0.25">
      <c r="A2668" s="145">
        <v>40102</v>
      </c>
      <c r="B2668" s="144">
        <v>1.4869000000000001</v>
      </c>
      <c r="C2668" s="144">
        <v>43.698999999999998</v>
      </c>
      <c r="D2668" s="144">
        <v>8.35</v>
      </c>
      <c r="E2668" s="144">
        <v>135.6</v>
      </c>
      <c r="F2668" s="144">
        <v>0.91174999999999995</v>
      </c>
      <c r="G2668" s="144">
        <v>1.518</v>
      </c>
    </row>
    <row r="2669" spans="1:7" x14ac:dyDescent="0.25">
      <c r="A2669" s="145">
        <v>40101</v>
      </c>
      <c r="B2669" s="144">
        <v>1.4863999999999999</v>
      </c>
      <c r="C2669" s="144">
        <v>43.750999999999998</v>
      </c>
      <c r="D2669" s="144">
        <v>8.3350000000000009</v>
      </c>
      <c r="E2669" s="144">
        <v>134.07</v>
      </c>
      <c r="F2669" s="144">
        <v>0.91469999999999996</v>
      </c>
      <c r="G2669" s="144">
        <v>1.5132000000000001</v>
      </c>
    </row>
    <row r="2670" spans="1:7" x14ac:dyDescent="0.25">
      <c r="A2670" s="145">
        <v>40100</v>
      </c>
      <c r="B2670" s="144">
        <v>1.4881</v>
      </c>
      <c r="C2670" s="144">
        <v>43.821599999999997</v>
      </c>
      <c r="D2670" s="144">
        <v>8.2840000000000007</v>
      </c>
      <c r="E2670" s="144">
        <v>133.38999999999999</v>
      </c>
      <c r="F2670" s="144">
        <v>0.93025000000000002</v>
      </c>
      <c r="G2670" s="144">
        <v>1.5165999999999999</v>
      </c>
    </row>
    <row r="2671" spans="1:7" x14ac:dyDescent="0.25">
      <c r="A2671" s="145">
        <v>40099</v>
      </c>
      <c r="B2671" s="144">
        <v>1.4863999999999999</v>
      </c>
      <c r="C2671" s="144">
        <v>43.888500000000001</v>
      </c>
      <c r="D2671" s="144">
        <v>8.3279999999999994</v>
      </c>
      <c r="E2671" s="144">
        <v>133.02000000000001</v>
      </c>
      <c r="F2671" s="144">
        <v>0.94079999999999997</v>
      </c>
      <c r="G2671" s="144">
        <v>1.5169999999999999</v>
      </c>
    </row>
    <row r="2672" spans="1:7" x14ac:dyDescent="0.25">
      <c r="A2672" s="145">
        <v>40098</v>
      </c>
      <c r="B2672" s="144">
        <v>1.4764999999999999</v>
      </c>
      <c r="C2672" s="144">
        <v>43.588500000000003</v>
      </c>
      <c r="D2672" s="144">
        <v>8.3275000000000006</v>
      </c>
      <c r="E2672" s="144">
        <v>132.99</v>
      </c>
      <c r="F2672" s="144">
        <v>0.93330000000000002</v>
      </c>
      <c r="G2672" s="144">
        <v>1.5175000000000001</v>
      </c>
    </row>
    <row r="2673" spans="1:7" x14ac:dyDescent="0.25">
      <c r="A2673" s="145">
        <v>40097</v>
      </c>
      <c r="B2673" s="144">
        <v>1.4750000000000001</v>
      </c>
      <c r="C2673" s="144">
        <v>43.658700000000003</v>
      </c>
      <c r="D2673" s="144">
        <v>8.3025000000000002</v>
      </c>
      <c r="E2673" s="144">
        <v>131.12</v>
      </c>
      <c r="F2673" s="144">
        <v>0.92284999999999995</v>
      </c>
      <c r="G2673" s="144">
        <v>1.5186999999999999</v>
      </c>
    </row>
    <row r="2674" spans="1:7" x14ac:dyDescent="0.25">
      <c r="A2674" s="145">
        <v>40096</v>
      </c>
      <c r="B2674" s="144">
        <v>1.4750000000000001</v>
      </c>
      <c r="C2674" s="144">
        <v>43.658700000000003</v>
      </c>
      <c r="D2674" s="144">
        <v>8.3025000000000002</v>
      </c>
      <c r="E2674" s="144">
        <v>131.12</v>
      </c>
      <c r="F2674" s="144">
        <v>0.92284999999999995</v>
      </c>
      <c r="G2674" s="144">
        <v>1.5186999999999999</v>
      </c>
    </row>
    <row r="2675" spans="1:7" x14ac:dyDescent="0.25">
      <c r="A2675" s="145">
        <v>40095</v>
      </c>
      <c r="B2675" s="144">
        <v>1.4750000000000001</v>
      </c>
      <c r="C2675" s="144">
        <v>43.658700000000003</v>
      </c>
      <c r="D2675" s="144">
        <v>8.3025000000000002</v>
      </c>
      <c r="E2675" s="144">
        <v>131.12</v>
      </c>
      <c r="F2675" s="144">
        <v>0.92284999999999995</v>
      </c>
      <c r="G2675" s="144">
        <v>1.5186999999999999</v>
      </c>
    </row>
    <row r="2676" spans="1:7" x14ac:dyDescent="0.25">
      <c r="A2676" s="145">
        <v>40094</v>
      </c>
      <c r="B2676" s="144">
        <v>1.4762999999999999</v>
      </c>
      <c r="C2676" s="144">
        <v>43.693899999999999</v>
      </c>
      <c r="D2676" s="144">
        <v>8.3533000000000008</v>
      </c>
      <c r="E2676" s="144">
        <v>130.46</v>
      </c>
      <c r="F2676" s="144">
        <v>0.92</v>
      </c>
      <c r="G2676" s="144">
        <v>1.5165999999999999</v>
      </c>
    </row>
    <row r="2677" spans="1:7" x14ac:dyDescent="0.25">
      <c r="A2677" s="145">
        <v>40093</v>
      </c>
      <c r="B2677" s="144">
        <v>1.4694</v>
      </c>
      <c r="C2677" s="144">
        <v>43.706499999999998</v>
      </c>
      <c r="D2677" s="144">
        <v>8.3640000000000008</v>
      </c>
      <c r="E2677" s="144">
        <v>130.68</v>
      </c>
      <c r="F2677" s="144">
        <v>0.92490000000000006</v>
      </c>
      <c r="G2677" s="144">
        <v>1.5149999999999999</v>
      </c>
    </row>
    <row r="2678" spans="1:7" x14ac:dyDescent="0.25">
      <c r="A2678" s="145">
        <v>40092</v>
      </c>
      <c r="B2678" s="144">
        <v>1.4722</v>
      </c>
      <c r="C2678" s="144">
        <v>43.9</v>
      </c>
      <c r="D2678" s="144">
        <v>8.3849999999999998</v>
      </c>
      <c r="E2678" s="144">
        <v>131.21</v>
      </c>
      <c r="F2678" s="144">
        <v>0.92605000000000004</v>
      </c>
      <c r="G2678" s="144">
        <v>1.5118</v>
      </c>
    </row>
    <row r="2679" spans="1:7" x14ac:dyDescent="0.25">
      <c r="A2679" s="145">
        <v>40091</v>
      </c>
      <c r="B2679" s="144">
        <v>1.4616</v>
      </c>
      <c r="C2679" s="144">
        <v>43.954999999999998</v>
      </c>
      <c r="D2679" s="144">
        <v>8.4459999999999997</v>
      </c>
      <c r="E2679" s="144">
        <v>131.41</v>
      </c>
      <c r="F2679" s="144">
        <v>0.91710000000000003</v>
      </c>
      <c r="G2679" s="144">
        <v>1.5102</v>
      </c>
    </row>
    <row r="2680" spans="1:7" x14ac:dyDescent="0.25">
      <c r="A2680" s="145">
        <v>40090</v>
      </c>
      <c r="B2680" s="144">
        <v>1.4537</v>
      </c>
      <c r="C2680" s="144">
        <v>43.911900000000003</v>
      </c>
      <c r="D2680" s="144">
        <v>8.4469999999999992</v>
      </c>
      <c r="E2680" s="144">
        <v>129.94999999999999</v>
      </c>
      <c r="F2680" s="144">
        <v>0.91720000000000002</v>
      </c>
      <c r="G2680" s="144">
        <v>1.5106999999999999</v>
      </c>
    </row>
    <row r="2681" spans="1:7" x14ac:dyDescent="0.25">
      <c r="A2681" s="145">
        <v>40089</v>
      </c>
      <c r="B2681" s="144">
        <v>1.4537</v>
      </c>
      <c r="C2681" s="144">
        <v>43.911900000000003</v>
      </c>
      <c r="D2681" s="144">
        <v>8.4469999999999992</v>
      </c>
      <c r="E2681" s="144">
        <v>129.94999999999999</v>
      </c>
      <c r="F2681" s="144">
        <v>0.91720000000000002</v>
      </c>
      <c r="G2681" s="144">
        <v>1.5106999999999999</v>
      </c>
    </row>
    <row r="2682" spans="1:7" x14ac:dyDescent="0.25">
      <c r="A2682" s="145">
        <v>40088</v>
      </c>
      <c r="B2682" s="144">
        <v>1.4537</v>
      </c>
      <c r="C2682" s="144">
        <v>43.911900000000003</v>
      </c>
      <c r="D2682" s="144">
        <v>8.4469999999999992</v>
      </c>
      <c r="E2682" s="144">
        <v>129.94999999999999</v>
      </c>
      <c r="F2682" s="144">
        <v>0.91720000000000002</v>
      </c>
      <c r="G2682" s="144">
        <v>1.5106999999999999</v>
      </c>
    </row>
    <row r="2683" spans="1:7" x14ac:dyDescent="0.25">
      <c r="A2683" s="145">
        <v>40087</v>
      </c>
      <c r="B2683" s="144">
        <v>1.4539</v>
      </c>
      <c r="C2683" s="144">
        <v>43.729399999999998</v>
      </c>
      <c r="D2683" s="144">
        <v>8.4454999999999991</v>
      </c>
      <c r="E2683" s="144">
        <v>130.78</v>
      </c>
      <c r="F2683" s="144">
        <v>0.91085000000000005</v>
      </c>
      <c r="G2683" s="144">
        <v>1.5165</v>
      </c>
    </row>
    <row r="2684" spans="1:7" x14ac:dyDescent="0.25">
      <c r="A2684" s="145">
        <v>40086</v>
      </c>
      <c r="B2684" s="144">
        <v>1.4642999999999999</v>
      </c>
      <c r="C2684" s="144">
        <v>43.98</v>
      </c>
      <c r="D2684" s="144">
        <v>8.4600000000000009</v>
      </c>
      <c r="E2684" s="144">
        <v>131.07</v>
      </c>
      <c r="F2684" s="144">
        <v>0.9093</v>
      </c>
      <c r="G2684" s="144">
        <v>1.5078</v>
      </c>
    </row>
    <row r="2685" spans="1:7" x14ac:dyDescent="0.25">
      <c r="A2685" s="145">
        <v>40085</v>
      </c>
      <c r="B2685" s="144">
        <v>1.4549000000000001</v>
      </c>
      <c r="C2685" s="144">
        <v>43.881399999999999</v>
      </c>
      <c r="D2685" s="144">
        <v>8.5150000000000006</v>
      </c>
      <c r="E2685" s="144">
        <v>130.91</v>
      </c>
      <c r="F2685" s="144">
        <v>0.91180000000000005</v>
      </c>
      <c r="G2685" s="144">
        <v>1.5124</v>
      </c>
    </row>
    <row r="2686" spans="1:7" x14ac:dyDescent="0.25">
      <c r="A2686" s="145">
        <v>40084</v>
      </c>
      <c r="B2686" s="144">
        <v>1.4650000000000001</v>
      </c>
      <c r="C2686" s="144">
        <v>44.112000000000002</v>
      </c>
      <c r="D2686" s="144">
        <v>8.5274999999999999</v>
      </c>
      <c r="E2686" s="144">
        <v>131.15</v>
      </c>
      <c r="F2686" s="144">
        <v>0.92264999999999997</v>
      </c>
      <c r="G2686" s="144">
        <v>1.5114000000000001</v>
      </c>
    </row>
    <row r="2687" spans="1:7" x14ac:dyDescent="0.25">
      <c r="A2687" s="145">
        <v>40083</v>
      </c>
      <c r="B2687" s="144">
        <v>1.4670000000000001</v>
      </c>
      <c r="C2687" s="144">
        <v>44.136499999999998</v>
      </c>
      <c r="D2687" s="144">
        <v>8.5020000000000007</v>
      </c>
      <c r="E2687" s="144">
        <v>132.59</v>
      </c>
      <c r="F2687" s="144">
        <v>0.91874999999999996</v>
      </c>
      <c r="G2687" s="144">
        <v>1.5118</v>
      </c>
    </row>
    <row r="2688" spans="1:7" x14ac:dyDescent="0.25">
      <c r="A2688" s="145">
        <v>40082</v>
      </c>
      <c r="B2688" s="144">
        <v>1.4670000000000001</v>
      </c>
      <c r="C2688" s="144">
        <v>44.136499999999998</v>
      </c>
      <c r="D2688" s="144">
        <v>8.5020000000000007</v>
      </c>
      <c r="E2688" s="144">
        <v>132.59</v>
      </c>
      <c r="F2688" s="144">
        <v>0.91874999999999996</v>
      </c>
      <c r="G2688" s="144">
        <v>1.5118</v>
      </c>
    </row>
    <row r="2689" spans="1:7" x14ac:dyDescent="0.25">
      <c r="A2689" s="145">
        <v>40081</v>
      </c>
      <c r="B2689" s="144">
        <v>1.4670000000000001</v>
      </c>
      <c r="C2689" s="144">
        <v>44.136499999999998</v>
      </c>
      <c r="D2689" s="144">
        <v>8.5020000000000007</v>
      </c>
      <c r="E2689" s="144">
        <v>132.59</v>
      </c>
      <c r="F2689" s="144">
        <v>0.91874999999999996</v>
      </c>
      <c r="G2689" s="144">
        <v>1.5118</v>
      </c>
    </row>
    <row r="2690" spans="1:7" x14ac:dyDescent="0.25">
      <c r="A2690" s="145">
        <v>40080</v>
      </c>
      <c r="B2690" s="144">
        <v>1.4767999999999999</v>
      </c>
      <c r="C2690" s="144">
        <v>44.259</v>
      </c>
      <c r="D2690" s="144">
        <v>8.51</v>
      </c>
      <c r="E2690" s="144">
        <v>133.85</v>
      </c>
      <c r="F2690" s="144">
        <v>0.91064999999999996</v>
      </c>
      <c r="G2690" s="144">
        <v>1.5117</v>
      </c>
    </row>
    <row r="2691" spans="1:7" x14ac:dyDescent="0.25">
      <c r="A2691" s="145">
        <v>40079</v>
      </c>
      <c r="B2691" s="144">
        <v>1.4782999999999999</v>
      </c>
      <c r="C2691" s="144">
        <v>44.406999999999996</v>
      </c>
      <c r="D2691" s="144">
        <v>8.5640000000000001</v>
      </c>
      <c r="E2691" s="144">
        <v>134.96</v>
      </c>
      <c r="F2691" s="144">
        <v>0.89939999999999998</v>
      </c>
      <c r="G2691" s="144">
        <v>1.5123</v>
      </c>
    </row>
    <row r="2692" spans="1:7" x14ac:dyDescent="0.25">
      <c r="A2692" s="145">
        <v>40078</v>
      </c>
      <c r="B2692" s="144">
        <v>1.478</v>
      </c>
      <c r="C2692" s="144">
        <v>44.553199999999997</v>
      </c>
      <c r="D2692" s="144">
        <v>8.6280000000000001</v>
      </c>
      <c r="E2692" s="144">
        <v>135.09</v>
      </c>
      <c r="F2692" s="144">
        <v>0.90469999999999995</v>
      </c>
      <c r="G2692" s="144">
        <v>1.5148999999999999</v>
      </c>
    </row>
    <row r="2693" spans="1:7" x14ac:dyDescent="0.25">
      <c r="A2693" s="145">
        <v>40077</v>
      </c>
      <c r="B2693" s="144">
        <v>1.4658</v>
      </c>
      <c r="C2693" s="144">
        <v>44.54</v>
      </c>
      <c r="D2693" s="144">
        <v>8.65</v>
      </c>
      <c r="E2693" s="144">
        <v>135.46</v>
      </c>
      <c r="F2693" s="144">
        <v>0.90659999999999996</v>
      </c>
      <c r="G2693" s="144">
        <v>1.5182</v>
      </c>
    </row>
    <row r="2694" spans="1:7" x14ac:dyDescent="0.25">
      <c r="A2694" s="145">
        <v>40076</v>
      </c>
      <c r="B2694" s="144">
        <v>1.4704999999999999</v>
      </c>
      <c r="C2694" s="144">
        <v>44.5</v>
      </c>
      <c r="D2694" s="144">
        <v>8.641</v>
      </c>
      <c r="E2694" s="144">
        <v>134.16999999999999</v>
      </c>
      <c r="F2694" s="144">
        <v>0.90029999999999999</v>
      </c>
      <c r="G2694" s="144">
        <v>1.5145999999999999</v>
      </c>
    </row>
    <row r="2695" spans="1:7" x14ac:dyDescent="0.25">
      <c r="A2695" s="145">
        <v>40075</v>
      </c>
      <c r="B2695" s="144">
        <v>1.4704999999999999</v>
      </c>
      <c r="C2695" s="144">
        <v>44.5</v>
      </c>
      <c r="D2695" s="144">
        <v>8.641</v>
      </c>
      <c r="E2695" s="144">
        <v>134.16999999999999</v>
      </c>
      <c r="F2695" s="144">
        <v>0.90029999999999999</v>
      </c>
      <c r="G2695" s="144">
        <v>1.5145999999999999</v>
      </c>
    </row>
    <row r="2696" spans="1:7" x14ac:dyDescent="0.25">
      <c r="A2696" s="145">
        <v>40074</v>
      </c>
      <c r="B2696" s="144">
        <v>1.4704999999999999</v>
      </c>
      <c r="C2696" s="144">
        <v>44.5</v>
      </c>
      <c r="D2696" s="144">
        <v>8.641</v>
      </c>
      <c r="E2696" s="144">
        <v>134.16999999999999</v>
      </c>
      <c r="F2696" s="144">
        <v>0.90029999999999999</v>
      </c>
      <c r="G2696" s="144">
        <v>1.5145999999999999</v>
      </c>
    </row>
    <row r="2697" spans="1:7" x14ac:dyDescent="0.25">
      <c r="A2697" s="145">
        <v>40073</v>
      </c>
      <c r="B2697" s="144">
        <v>1.4712000000000001</v>
      </c>
      <c r="C2697" s="144">
        <v>44.602600000000002</v>
      </c>
      <c r="D2697" s="144">
        <v>8.6265000000000001</v>
      </c>
      <c r="E2697" s="144">
        <v>134.38</v>
      </c>
      <c r="F2697" s="144">
        <v>0.89049999999999996</v>
      </c>
      <c r="G2697" s="144">
        <v>1.5186999999999999</v>
      </c>
    </row>
    <row r="2698" spans="1:7" x14ac:dyDescent="0.25">
      <c r="A2698" s="145">
        <v>40072</v>
      </c>
      <c r="B2698" s="144">
        <v>1.4671000000000001</v>
      </c>
      <c r="C2698" s="144">
        <v>44.927100000000003</v>
      </c>
      <c r="D2698" s="144">
        <v>8.6065000000000005</v>
      </c>
      <c r="E2698" s="144">
        <v>132.6</v>
      </c>
      <c r="F2698" s="144">
        <v>0.88970000000000005</v>
      </c>
      <c r="G2698" s="144">
        <v>1.5196000000000001</v>
      </c>
    </row>
    <row r="2699" spans="1:7" x14ac:dyDescent="0.25">
      <c r="A2699" s="145">
        <v>40071</v>
      </c>
      <c r="B2699" s="144">
        <v>1.4611000000000001</v>
      </c>
      <c r="C2699" s="144">
        <v>45.094999999999999</v>
      </c>
      <c r="D2699" s="144">
        <v>8.6389999999999993</v>
      </c>
      <c r="E2699" s="144">
        <v>133.26</v>
      </c>
      <c r="F2699" s="144">
        <v>0.88690000000000002</v>
      </c>
      <c r="G2699" s="144">
        <v>1.5162</v>
      </c>
    </row>
    <row r="2700" spans="1:7" x14ac:dyDescent="0.25">
      <c r="A2700" s="145">
        <v>40070</v>
      </c>
      <c r="B2700" s="144">
        <v>1.4560999999999999</v>
      </c>
      <c r="C2700" s="144">
        <v>44.915199999999999</v>
      </c>
      <c r="D2700" s="144">
        <v>8.6684999999999999</v>
      </c>
      <c r="E2700" s="144">
        <v>132.30000000000001</v>
      </c>
      <c r="F2700" s="144">
        <v>0.879</v>
      </c>
      <c r="G2700" s="144">
        <v>1.5133000000000001</v>
      </c>
    </row>
    <row r="2701" spans="1:7" x14ac:dyDescent="0.25">
      <c r="A2701" s="145">
        <v>40069</v>
      </c>
      <c r="B2701" s="144">
        <v>1.4594</v>
      </c>
      <c r="C2701" s="144">
        <v>44.801499999999997</v>
      </c>
      <c r="D2701" s="144">
        <v>8.6340000000000003</v>
      </c>
      <c r="E2701" s="144">
        <v>132.62</v>
      </c>
      <c r="F2701" s="144">
        <v>0.87390000000000001</v>
      </c>
      <c r="G2701" s="144">
        <v>1.5137</v>
      </c>
    </row>
    <row r="2702" spans="1:7" x14ac:dyDescent="0.25">
      <c r="A2702" s="145">
        <v>40068</v>
      </c>
      <c r="B2702" s="144">
        <v>1.4594</v>
      </c>
      <c r="C2702" s="144">
        <v>44.801499999999997</v>
      </c>
      <c r="D2702" s="144">
        <v>8.6340000000000003</v>
      </c>
      <c r="E2702" s="144">
        <v>132.62</v>
      </c>
      <c r="F2702" s="144">
        <v>0.87390000000000001</v>
      </c>
      <c r="G2702" s="144">
        <v>1.5137</v>
      </c>
    </row>
    <row r="2703" spans="1:7" x14ac:dyDescent="0.25">
      <c r="A2703" s="145">
        <v>40067</v>
      </c>
      <c r="B2703" s="144">
        <v>1.4594</v>
      </c>
      <c r="C2703" s="144">
        <v>44.801499999999997</v>
      </c>
      <c r="D2703" s="144">
        <v>8.6340000000000003</v>
      </c>
      <c r="E2703" s="144">
        <v>132.62</v>
      </c>
      <c r="F2703" s="144">
        <v>0.87390000000000001</v>
      </c>
      <c r="G2703" s="144">
        <v>1.5137</v>
      </c>
    </row>
    <row r="2704" spans="1:7" x14ac:dyDescent="0.25">
      <c r="A2704" s="145">
        <v>40066</v>
      </c>
      <c r="B2704" s="144">
        <v>1.4544999999999999</v>
      </c>
      <c r="C2704" s="144">
        <v>44.961399999999998</v>
      </c>
      <c r="D2704" s="144">
        <v>8.6635000000000009</v>
      </c>
      <c r="E2704" s="144">
        <v>133.91999999999999</v>
      </c>
      <c r="F2704" s="144">
        <v>0.87575000000000003</v>
      </c>
      <c r="G2704" s="144">
        <v>1.5150999999999999</v>
      </c>
    </row>
    <row r="2705" spans="1:7" x14ac:dyDescent="0.25">
      <c r="A2705" s="145">
        <v>40065</v>
      </c>
      <c r="B2705" s="144">
        <v>1.4521999999999999</v>
      </c>
      <c r="C2705" s="144">
        <v>45.2</v>
      </c>
      <c r="D2705" s="144">
        <v>8.6110000000000007</v>
      </c>
      <c r="E2705" s="144">
        <v>134.13</v>
      </c>
      <c r="F2705" s="144">
        <v>0.87929999999999997</v>
      </c>
      <c r="G2705" s="144">
        <v>1.5173000000000001</v>
      </c>
    </row>
    <row r="2706" spans="1:7" x14ac:dyDescent="0.25">
      <c r="A2706" s="145">
        <v>40064</v>
      </c>
      <c r="B2706" s="144">
        <v>1.4473</v>
      </c>
      <c r="C2706" s="144">
        <v>45.37</v>
      </c>
      <c r="D2706" s="144">
        <v>8.5690000000000008</v>
      </c>
      <c r="E2706" s="144">
        <v>133.57</v>
      </c>
      <c r="F2706" s="144">
        <v>0.87365000000000004</v>
      </c>
      <c r="G2706" s="144">
        <v>1.5159</v>
      </c>
    </row>
    <row r="2707" spans="1:7" x14ac:dyDescent="0.25">
      <c r="A2707" s="145">
        <v>40063</v>
      </c>
      <c r="B2707" s="144">
        <v>1.4330000000000001</v>
      </c>
      <c r="C2707" s="144">
        <v>45.100499999999997</v>
      </c>
      <c r="D2707" s="144">
        <v>8.5850000000000009</v>
      </c>
      <c r="E2707" s="144">
        <v>133.33000000000001</v>
      </c>
      <c r="F2707" s="144">
        <v>0.87350000000000005</v>
      </c>
      <c r="G2707" s="144">
        <v>1.5181</v>
      </c>
    </row>
    <row r="2708" spans="1:7" x14ac:dyDescent="0.25">
      <c r="A2708" s="145">
        <v>40062</v>
      </c>
      <c r="B2708" s="144">
        <v>1.4261999999999999</v>
      </c>
      <c r="C2708" s="144">
        <v>45.130800000000001</v>
      </c>
      <c r="D2708" s="144">
        <v>8.6080000000000005</v>
      </c>
      <c r="E2708" s="144">
        <v>132.44999999999999</v>
      </c>
      <c r="F2708" s="144">
        <v>0.872</v>
      </c>
      <c r="G2708" s="144">
        <v>1.5157</v>
      </c>
    </row>
    <row r="2709" spans="1:7" x14ac:dyDescent="0.25">
      <c r="A2709" s="145">
        <v>40061</v>
      </c>
      <c r="B2709" s="144">
        <v>1.4261999999999999</v>
      </c>
      <c r="C2709" s="144">
        <v>45.130800000000001</v>
      </c>
      <c r="D2709" s="144">
        <v>8.6080000000000005</v>
      </c>
      <c r="E2709" s="144">
        <v>132.44999999999999</v>
      </c>
      <c r="F2709" s="144">
        <v>0.872</v>
      </c>
      <c r="G2709" s="144">
        <v>1.5157</v>
      </c>
    </row>
    <row r="2710" spans="1:7" x14ac:dyDescent="0.25">
      <c r="A2710" s="145">
        <v>40060</v>
      </c>
      <c r="B2710" s="144">
        <v>1.4261999999999999</v>
      </c>
      <c r="C2710" s="144">
        <v>45.130800000000001</v>
      </c>
      <c r="D2710" s="144">
        <v>8.6080000000000005</v>
      </c>
      <c r="E2710" s="144">
        <v>132.44999999999999</v>
      </c>
      <c r="F2710" s="144">
        <v>0.872</v>
      </c>
      <c r="G2710" s="144">
        <v>1.5157</v>
      </c>
    </row>
    <row r="2711" spans="1:7" x14ac:dyDescent="0.25">
      <c r="A2711" s="145">
        <v>40059</v>
      </c>
      <c r="B2711" s="144">
        <v>1.4335</v>
      </c>
      <c r="C2711" s="144">
        <v>45.34</v>
      </c>
      <c r="D2711" s="144">
        <v>8.6199999999999992</v>
      </c>
      <c r="E2711" s="144">
        <v>132.47</v>
      </c>
      <c r="F2711" s="144">
        <v>0.87470000000000003</v>
      </c>
      <c r="G2711" s="144">
        <v>1.5143</v>
      </c>
    </row>
    <row r="2712" spans="1:7" x14ac:dyDescent="0.25">
      <c r="A2712" s="145">
        <v>40058</v>
      </c>
      <c r="B2712" s="144">
        <v>1.4219999999999999</v>
      </c>
      <c r="C2712" s="144">
        <v>45.392099999999999</v>
      </c>
      <c r="D2712" s="144">
        <v>8.68</v>
      </c>
      <c r="E2712" s="144">
        <v>131.63</v>
      </c>
      <c r="F2712" s="144">
        <v>0.87509999999999999</v>
      </c>
      <c r="G2712" s="144">
        <v>1.5166999999999999</v>
      </c>
    </row>
    <row r="2713" spans="1:7" x14ac:dyDescent="0.25">
      <c r="A2713" s="145">
        <v>40057</v>
      </c>
      <c r="B2713" s="144">
        <v>1.4314</v>
      </c>
      <c r="C2713" s="144">
        <v>45.5685</v>
      </c>
      <c r="D2713" s="144">
        <v>8.6120000000000001</v>
      </c>
      <c r="E2713" s="144">
        <v>133.26</v>
      </c>
      <c r="F2713" s="144">
        <v>0.88149999999999995</v>
      </c>
      <c r="G2713" s="144">
        <v>1.5153000000000001</v>
      </c>
    </row>
    <row r="2714" spans="1:7" x14ac:dyDescent="0.25">
      <c r="A2714" s="145">
        <v>40056</v>
      </c>
      <c r="B2714" s="144">
        <v>1.4272</v>
      </c>
      <c r="C2714" s="144">
        <v>45.464500000000001</v>
      </c>
      <c r="D2714" s="144">
        <v>8.6069999999999993</v>
      </c>
      <c r="E2714" s="144">
        <v>133.1</v>
      </c>
      <c r="F2714" s="144">
        <v>0.88134999999999997</v>
      </c>
      <c r="G2714" s="144">
        <v>1.5167999999999999</v>
      </c>
    </row>
    <row r="2715" spans="1:7" x14ac:dyDescent="0.25">
      <c r="A2715" s="145">
        <v>40055</v>
      </c>
      <c r="B2715" s="144">
        <v>1.4363999999999999</v>
      </c>
      <c r="C2715" s="144">
        <v>45.346600000000002</v>
      </c>
      <c r="D2715" s="144">
        <v>8.6289999999999996</v>
      </c>
      <c r="E2715" s="144">
        <v>134.75</v>
      </c>
      <c r="F2715" s="144">
        <v>0.87839999999999996</v>
      </c>
      <c r="G2715" s="144">
        <v>1.5169999999999999</v>
      </c>
    </row>
    <row r="2716" spans="1:7" x14ac:dyDescent="0.25">
      <c r="A2716" s="145">
        <v>40054</v>
      </c>
      <c r="B2716" s="144">
        <v>1.4363999999999999</v>
      </c>
      <c r="C2716" s="144">
        <v>45.346600000000002</v>
      </c>
      <c r="D2716" s="144">
        <v>8.6289999999999996</v>
      </c>
      <c r="E2716" s="144">
        <v>134.75</v>
      </c>
      <c r="F2716" s="144">
        <v>0.87839999999999996</v>
      </c>
      <c r="G2716" s="144">
        <v>1.5169999999999999</v>
      </c>
    </row>
    <row r="2717" spans="1:7" x14ac:dyDescent="0.25">
      <c r="A2717" s="145">
        <v>40053</v>
      </c>
      <c r="B2717" s="144">
        <v>1.4363999999999999</v>
      </c>
      <c r="C2717" s="144">
        <v>45.346600000000002</v>
      </c>
      <c r="D2717" s="144">
        <v>8.6289999999999996</v>
      </c>
      <c r="E2717" s="144">
        <v>134.75</v>
      </c>
      <c r="F2717" s="144">
        <v>0.87839999999999996</v>
      </c>
      <c r="G2717" s="144">
        <v>1.5169999999999999</v>
      </c>
    </row>
    <row r="2718" spans="1:7" x14ac:dyDescent="0.25">
      <c r="A2718" s="145">
        <v>40052</v>
      </c>
      <c r="B2718" s="144">
        <v>1.4268000000000001</v>
      </c>
      <c r="C2718" s="144">
        <v>45.1935</v>
      </c>
      <c r="D2718" s="144">
        <v>8.6440000000000001</v>
      </c>
      <c r="E2718" s="144">
        <v>133.61000000000001</v>
      </c>
      <c r="F2718" s="144">
        <v>0.88039999999999996</v>
      </c>
      <c r="G2718" s="144">
        <v>1.5234000000000001</v>
      </c>
    </row>
    <row r="2719" spans="1:7" x14ac:dyDescent="0.25">
      <c r="A2719" s="145">
        <v>40051</v>
      </c>
      <c r="B2719" s="144">
        <v>1.427</v>
      </c>
      <c r="C2719" s="144">
        <v>44.9315</v>
      </c>
      <c r="D2719" s="144">
        <v>8.6240000000000006</v>
      </c>
      <c r="E2719" s="144">
        <v>134.32</v>
      </c>
      <c r="F2719" s="144">
        <v>0.878</v>
      </c>
      <c r="G2719" s="144">
        <v>1.5188999999999999</v>
      </c>
    </row>
    <row r="2720" spans="1:7" x14ac:dyDescent="0.25">
      <c r="A2720" s="145">
        <v>40050</v>
      </c>
      <c r="B2720" s="144">
        <v>1.4323999999999999</v>
      </c>
      <c r="C2720" s="144">
        <v>44.939900000000002</v>
      </c>
      <c r="D2720" s="144">
        <v>8.6095000000000006</v>
      </c>
      <c r="E2720" s="144">
        <v>135.05000000000001</v>
      </c>
      <c r="F2720" s="144">
        <v>0.87404999999999999</v>
      </c>
      <c r="G2720" s="144">
        <v>1.5170999999999999</v>
      </c>
    </row>
    <row r="2721" spans="1:7" x14ac:dyDescent="0.25">
      <c r="A2721" s="145">
        <v>40049</v>
      </c>
      <c r="B2721" s="144">
        <v>1.4322999999999999</v>
      </c>
      <c r="C2721" s="144">
        <v>45.040999999999997</v>
      </c>
      <c r="D2721" s="144">
        <v>8.5845000000000002</v>
      </c>
      <c r="E2721" s="144">
        <v>135.57</v>
      </c>
      <c r="F2721" s="144">
        <v>0.86819999999999997</v>
      </c>
      <c r="G2721" s="144">
        <v>1.5184</v>
      </c>
    </row>
    <row r="2722" spans="1:7" x14ac:dyDescent="0.25">
      <c r="A2722" s="145">
        <v>40048</v>
      </c>
      <c r="B2722" s="144">
        <v>1.4330000000000001</v>
      </c>
      <c r="C2722" s="144">
        <v>45.39</v>
      </c>
      <c r="D2722" s="144">
        <v>8.5549999999999997</v>
      </c>
      <c r="E2722" s="144">
        <v>134.19</v>
      </c>
      <c r="F2722" s="144">
        <v>0.86570000000000003</v>
      </c>
      <c r="G2722" s="144">
        <v>1.516</v>
      </c>
    </row>
    <row r="2723" spans="1:7" x14ac:dyDescent="0.25">
      <c r="A2723" s="145">
        <v>40047</v>
      </c>
      <c r="B2723" s="144">
        <v>1.4330000000000001</v>
      </c>
      <c r="C2723" s="144">
        <v>45.39</v>
      </c>
      <c r="D2723" s="144">
        <v>8.5549999999999997</v>
      </c>
      <c r="E2723" s="144">
        <v>134.19</v>
      </c>
      <c r="F2723" s="144">
        <v>0.86570000000000003</v>
      </c>
      <c r="G2723" s="144">
        <v>1.516</v>
      </c>
    </row>
    <row r="2724" spans="1:7" x14ac:dyDescent="0.25">
      <c r="A2724" s="145">
        <v>40046</v>
      </c>
      <c r="B2724" s="144">
        <v>1.4330000000000001</v>
      </c>
      <c r="C2724" s="144">
        <v>45.39</v>
      </c>
      <c r="D2724" s="144">
        <v>8.5549999999999997</v>
      </c>
      <c r="E2724" s="144">
        <v>134.19</v>
      </c>
      <c r="F2724" s="144">
        <v>0.86570000000000003</v>
      </c>
      <c r="G2724" s="144">
        <v>1.516</v>
      </c>
    </row>
    <row r="2725" spans="1:7" x14ac:dyDescent="0.25">
      <c r="A2725" s="145">
        <v>40045</v>
      </c>
      <c r="B2725" s="144">
        <v>1.4242999999999999</v>
      </c>
      <c r="C2725" s="144">
        <v>45.22</v>
      </c>
      <c r="D2725" s="144">
        <v>8.5954999999999995</v>
      </c>
      <c r="E2725" s="144">
        <v>134.11000000000001</v>
      </c>
      <c r="F2725" s="144">
        <v>0.86380000000000001</v>
      </c>
      <c r="G2725" s="144">
        <v>1.5168999999999999</v>
      </c>
    </row>
    <row r="2726" spans="1:7" x14ac:dyDescent="0.25">
      <c r="A2726" s="145">
        <v>40044</v>
      </c>
      <c r="B2726" s="144">
        <v>1.4112</v>
      </c>
      <c r="C2726" s="144">
        <v>45.055999999999997</v>
      </c>
      <c r="D2726" s="144">
        <v>8.67</v>
      </c>
      <c r="E2726" s="144">
        <v>132.55000000000001</v>
      </c>
      <c r="F2726" s="144">
        <v>0.86080000000000001</v>
      </c>
      <c r="G2726" s="144">
        <v>1.5152000000000001</v>
      </c>
    </row>
    <row r="2727" spans="1:7" x14ac:dyDescent="0.25">
      <c r="A2727" s="145">
        <v>40043</v>
      </c>
      <c r="B2727" s="144">
        <v>1.4100999999999999</v>
      </c>
      <c r="C2727" s="144">
        <v>45.104999999999997</v>
      </c>
      <c r="D2727" s="144">
        <v>8.6735000000000007</v>
      </c>
      <c r="E2727" s="144">
        <v>134.12</v>
      </c>
      <c r="F2727" s="144">
        <v>0.85660000000000003</v>
      </c>
      <c r="G2727" s="144">
        <v>1.5206999999999999</v>
      </c>
    </row>
    <row r="2728" spans="1:7" x14ac:dyDescent="0.25">
      <c r="A2728" s="145">
        <v>40042</v>
      </c>
      <c r="B2728" s="144">
        <v>1.4072</v>
      </c>
      <c r="C2728" s="144">
        <v>45.48</v>
      </c>
      <c r="D2728" s="144">
        <v>8.7264999999999997</v>
      </c>
      <c r="E2728" s="144">
        <v>132.94</v>
      </c>
      <c r="F2728" s="144">
        <v>0.8629</v>
      </c>
      <c r="G2728" s="144">
        <v>1.5212000000000001</v>
      </c>
    </row>
    <row r="2729" spans="1:7" x14ac:dyDescent="0.25">
      <c r="A2729" s="145">
        <v>40041</v>
      </c>
      <c r="B2729" s="144">
        <v>1.4294</v>
      </c>
      <c r="C2729" s="144">
        <v>45.12</v>
      </c>
      <c r="D2729" s="144">
        <v>8.6165000000000003</v>
      </c>
      <c r="E2729" s="144">
        <v>135.61000000000001</v>
      </c>
      <c r="F2729" s="144">
        <v>0.86160000000000003</v>
      </c>
      <c r="G2729" s="144">
        <v>1.5266999999999999</v>
      </c>
    </row>
    <row r="2730" spans="1:7" x14ac:dyDescent="0.25">
      <c r="A2730" s="145">
        <v>40040</v>
      </c>
      <c r="B2730" s="144">
        <v>1.4294</v>
      </c>
      <c r="C2730" s="144">
        <v>45.12</v>
      </c>
      <c r="D2730" s="144">
        <v>8.6165000000000003</v>
      </c>
      <c r="E2730" s="144">
        <v>135.61000000000001</v>
      </c>
      <c r="F2730" s="144">
        <v>0.86160000000000003</v>
      </c>
      <c r="G2730" s="144">
        <v>1.5266999999999999</v>
      </c>
    </row>
    <row r="2731" spans="1:7" x14ac:dyDescent="0.25">
      <c r="A2731" s="145">
        <v>40039</v>
      </c>
      <c r="B2731" s="144">
        <v>1.4294</v>
      </c>
      <c r="C2731" s="144">
        <v>45.12</v>
      </c>
      <c r="D2731" s="144">
        <v>8.6165000000000003</v>
      </c>
      <c r="E2731" s="144">
        <v>135.61000000000001</v>
      </c>
      <c r="F2731" s="144">
        <v>0.86160000000000003</v>
      </c>
      <c r="G2731" s="144">
        <v>1.5266999999999999</v>
      </c>
    </row>
    <row r="2732" spans="1:7" x14ac:dyDescent="0.25">
      <c r="A2732" s="145">
        <v>40038</v>
      </c>
      <c r="B2732" s="144">
        <v>1.4293</v>
      </c>
      <c r="C2732" s="144">
        <v>45.411999999999999</v>
      </c>
      <c r="D2732" s="144">
        <v>8.6080000000000005</v>
      </c>
      <c r="E2732" s="144">
        <v>137.52000000000001</v>
      </c>
      <c r="F2732" s="144">
        <v>0.85865000000000002</v>
      </c>
      <c r="G2732" s="144">
        <v>1.5327999999999999</v>
      </c>
    </row>
    <row r="2733" spans="1:7" x14ac:dyDescent="0.25">
      <c r="A2733" s="145">
        <v>40037</v>
      </c>
      <c r="B2733" s="144">
        <v>1.417</v>
      </c>
      <c r="C2733" s="144">
        <v>46.09</v>
      </c>
      <c r="D2733" s="144">
        <v>8.7324999999999999</v>
      </c>
      <c r="E2733" s="144">
        <v>135.77000000000001</v>
      </c>
      <c r="F2733" s="144">
        <v>0.85965000000000003</v>
      </c>
      <c r="G2733" s="144">
        <v>1.5276000000000001</v>
      </c>
    </row>
    <row r="2734" spans="1:7" x14ac:dyDescent="0.25">
      <c r="A2734" s="145">
        <v>40036</v>
      </c>
      <c r="B2734" s="144">
        <v>1.4166000000000001</v>
      </c>
      <c r="C2734" s="144">
        <v>45.768999999999998</v>
      </c>
      <c r="D2734" s="144">
        <v>8.8264999999999993</v>
      </c>
      <c r="E2734" s="144">
        <v>136.72</v>
      </c>
      <c r="F2734" s="144">
        <v>0.85840000000000005</v>
      </c>
      <c r="G2734" s="144">
        <v>1.5301</v>
      </c>
    </row>
    <row r="2735" spans="1:7" x14ac:dyDescent="0.25">
      <c r="A2735" s="145">
        <v>40035</v>
      </c>
      <c r="B2735" s="144">
        <v>1.4201999999999999</v>
      </c>
      <c r="C2735" s="144">
        <v>45.003500000000003</v>
      </c>
      <c r="D2735" s="144">
        <v>8.6940000000000008</v>
      </c>
      <c r="E2735" s="144">
        <v>138.01</v>
      </c>
      <c r="F2735" s="144">
        <v>0.85355000000000003</v>
      </c>
      <c r="G2735" s="144">
        <v>1.5345</v>
      </c>
    </row>
    <row r="2736" spans="1:7" x14ac:dyDescent="0.25">
      <c r="A2736" s="145">
        <v>40034</v>
      </c>
      <c r="B2736" s="144">
        <v>1.4357</v>
      </c>
      <c r="C2736" s="144">
        <v>45.445</v>
      </c>
      <c r="D2736" s="144">
        <v>8.7515000000000001</v>
      </c>
      <c r="E2736" s="144">
        <v>136.88999999999999</v>
      </c>
      <c r="F2736" s="144">
        <v>0.85670000000000002</v>
      </c>
      <c r="G2736" s="144">
        <v>1.5287999999999999</v>
      </c>
    </row>
    <row r="2737" spans="1:7" x14ac:dyDescent="0.25">
      <c r="A2737" s="145">
        <v>40033</v>
      </c>
      <c r="B2737" s="144">
        <v>1.4357</v>
      </c>
      <c r="C2737" s="144">
        <v>45.445</v>
      </c>
      <c r="D2737" s="144">
        <v>8.7515000000000001</v>
      </c>
      <c r="E2737" s="144">
        <v>136.88999999999999</v>
      </c>
      <c r="F2737" s="144">
        <v>0.85670000000000002</v>
      </c>
      <c r="G2737" s="144">
        <v>1.5287999999999999</v>
      </c>
    </row>
    <row r="2738" spans="1:7" x14ac:dyDescent="0.25">
      <c r="A2738" s="145">
        <v>40032</v>
      </c>
      <c r="B2738" s="144">
        <v>1.4357</v>
      </c>
      <c r="C2738" s="144">
        <v>45.445</v>
      </c>
      <c r="D2738" s="144">
        <v>8.7515000000000001</v>
      </c>
      <c r="E2738" s="144">
        <v>136.88999999999999</v>
      </c>
      <c r="F2738" s="144">
        <v>0.85670000000000002</v>
      </c>
      <c r="G2738" s="144">
        <v>1.5287999999999999</v>
      </c>
    </row>
    <row r="2739" spans="1:7" x14ac:dyDescent="0.25">
      <c r="A2739" s="145">
        <v>40031</v>
      </c>
      <c r="B2739" s="144">
        <v>1.4370000000000001</v>
      </c>
      <c r="C2739" s="144">
        <v>44.951000000000001</v>
      </c>
      <c r="D2739" s="144">
        <v>8.6635000000000009</v>
      </c>
      <c r="E2739" s="144">
        <v>137.31</v>
      </c>
      <c r="F2739" s="144">
        <v>0.85240000000000005</v>
      </c>
      <c r="G2739" s="144">
        <v>1.5289999999999999</v>
      </c>
    </row>
    <row r="2740" spans="1:7" x14ac:dyDescent="0.25">
      <c r="A2740" s="145">
        <v>40030</v>
      </c>
      <c r="B2740" s="144">
        <v>1.4410000000000001</v>
      </c>
      <c r="C2740" s="144">
        <v>44.894599999999997</v>
      </c>
      <c r="D2740" s="144">
        <v>8.6684999999999999</v>
      </c>
      <c r="E2740" s="144">
        <v>137.38</v>
      </c>
      <c r="F2740" s="144">
        <v>0.84694999999999998</v>
      </c>
      <c r="G2740" s="144">
        <v>1.5316000000000001</v>
      </c>
    </row>
    <row r="2741" spans="1:7" x14ac:dyDescent="0.25">
      <c r="A2741" s="145">
        <v>40029</v>
      </c>
      <c r="B2741" s="144">
        <v>1.4383999999999999</v>
      </c>
      <c r="C2741" s="144">
        <v>44.841999999999999</v>
      </c>
      <c r="D2741" s="144">
        <v>8.7040000000000006</v>
      </c>
      <c r="E2741" s="144">
        <v>136.22</v>
      </c>
      <c r="F2741" s="144">
        <v>0.84845000000000004</v>
      </c>
      <c r="G2741" s="144">
        <v>1.5286</v>
      </c>
    </row>
    <row r="2742" spans="1:7" x14ac:dyDescent="0.25">
      <c r="A2742" s="145">
        <v>40028</v>
      </c>
      <c r="B2742" s="144">
        <v>1.4302999999999999</v>
      </c>
      <c r="C2742" s="144">
        <v>44.4465</v>
      </c>
      <c r="D2742" s="144">
        <v>8.68</v>
      </c>
      <c r="E2742" s="144">
        <v>135.86000000000001</v>
      </c>
      <c r="F2742" s="144">
        <v>0.84919999999999995</v>
      </c>
      <c r="G2742" s="144">
        <v>1.5246</v>
      </c>
    </row>
    <row r="2743" spans="1:7" x14ac:dyDescent="0.25">
      <c r="A2743" s="145">
        <v>40027</v>
      </c>
      <c r="B2743" s="144">
        <v>1.4137999999999999</v>
      </c>
      <c r="C2743" s="144">
        <v>44.54</v>
      </c>
      <c r="D2743" s="144">
        <v>8.7149999999999999</v>
      </c>
      <c r="E2743" s="144">
        <v>135.33000000000001</v>
      </c>
      <c r="F2743" s="144">
        <v>0.85560000000000003</v>
      </c>
      <c r="G2743" s="144">
        <v>1.5317000000000001</v>
      </c>
    </row>
    <row r="2744" spans="1:7" x14ac:dyDescent="0.25">
      <c r="A2744" s="145">
        <v>40026</v>
      </c>
      <c r="B2744" s="144">
        <v>1.4137999999999999</v>
      </c>
      <c r="C2744" s="144">
        <v>44.54</v>
      </c>
      <c r="D2744" s="144">
        <v>8.7149999999999999</v>
      </c>
      <c r="E2744" s="144">
        <v>135.33000000000001</v>
      </c>
      <c r="F2744" s="144">
        <v>0.85560000000000003</v>
      </c>
      <c r="G2744" s="144">
        <v>1.5317000000000001</v>
      </c>
    </row>
    <row r="2745" spans="1:7" x14ac:dyDescent="0.25">
      <c r="A2745" s="145">
        <v>40025</v>
      </c>
      <c r="B2745" s="144">
        <v>1.4137999999999999</v>
      </c>
      <c r="C2745" s="144">
        <v>44.54</v>
      </c>
      <c r="D2745" s="144">
        <v>8.7149999999999999</v>
      </c>
      <c r="E2745" s="144">
        <v>135.33000000000001</v>
      </c>
      <c r="F2745" s="144">
        <v>0.85560000000000003</v>
      </c>
      <c r="G2745" s="144">
        <v>1.5317000000000001</v>
      </c>
    </row>
  </sheetData>
  <autoFilter ref="A4:Q2745"/>
  <mergeCells count="1">
    <mergeCell ref="D1:E1"/>
  </mergeCell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C0714251-6E90-41DF-BB76-FEAC2E3978C8}">
            <xm:f>'D:\SharePoint\Evgeny Khlybov 1\Work\Financial\Weekly Report\[1.CashFlows-v3.xlsm]SOURCE DATA'!#REF!&gt;0</xm:f>
            <x14:dxf>
              <font>
                <color theme="0" tint="-0.24994659260841701"/>
              </font>
            </x14:dxf>
          </x14:cfRule>
          <xm:sqref>A2511:H2516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D10"/>
  <sheetViews>
    <sheetView workbookViewId="0">
      <selection activeCell="C10" sqref="C10"/>
    </sheetView>
  </sheetViews>
  <sheetFormatPr defaultRowHeight="14.25" x14ac:dyDescent="0.2"/>
  <cols>
    <col min="4" max="4" width="9.875" bestFit="1" customWidth="1"/>
  </cols>
  <sheetData>
    <row r="3" spans="1:4" x14ac:dyDescent="0.2">
      <c r="A3" t="s">
        <v>96</v>
      </c>
      <c r="B3" t="s">
        <v>95</v>
      </c>
      <c r="C3" t="s">
        <v>94</v>
      </c>
      <c r="D3" t="s">
        <v>93</v>
      </c>
    </row>
    <row r="4" spans="1:4" x14ac:dyDescent="0.2">
      <c r="A4" t="s">
        <v>91</v>
      </c>
      <c r="B4">
        <v>2</v>
      </c>
      <c r="C4">
        <f ca="1">VLOOKUP($D$4,[0]!FXDATA,Options!$B4,FALSE)</f>
        <v>1.0036688617121354</v>
      </c>
      <c r="D4" s="89">
        <f>MAX('Rates ECB'!$J$5:$J$2389)</f>
        <v>42765</v>
      </c>
    </row>
    <row r="5" spans="1:4" x14ac:dyDescent="0.2">
      <c r="A5" t="s">
        <v>41</v>
      </c>
      <c r="B5">
        <v>3</v>
      </c>
      <c r="C5">
        <f ca="1">VLOOKUP($D$4,[0]!FXDATA,Options!$B5,FALSE)</f>
        <v>0.7990122295390405</v>
      </c>
    </row>
    <row r="6" spans="1:4" x14ac:dyDescent="0.2">
      <c r="A6" t="s">
        <v>92</v>
      </c>
      <c r="B6">
        <v>4</v>
      </c>
      <c r="C6">
        <f ca="1">VLOOKUP($D$4,[0]!FXDATA,Options!$B6,FALSE)</f>
        <v>114.54374412041393</v>
      </c>
    </row>
    <row r="7" spans="1:4" x14ac:dyDescent="0.2">
      <c r="A7" t="s">
        <v>35</v>
      </c>
      <c r="B7">
        <v>5</v>
      </c>
      <c r="C7">
        <f ca="1">VLOOKUP($D$4,[0]!FXDATA,Options!$B7,FALSE)</f>
        <v>8.3497648165569149</v>
      </c>
    </row>
    <row r="8" spans="1:4" x14ac:dyDescent="0.2">
      <c r="A8" t="s">
        <v>40</v>
      </c>
      <c r="B8">
        <v>6</v>
      </c>
      <c r="C8">
        <f ca="1">VLOOKUP($D$4,[0]!FXDATA,Options!$B8,FALSE)</f>
        <v>59.999247412982129</v>
      </c>
    </row>
    <row r="9" spans="1:4" x14ac:dyDescent="0.2">
      <c r="A9" t="s">
        <v>32</v>
      </c>
      <c r="B9">
        <v>7</v>
      </c>
      <c r="C9">
        <f ca="1">VLOOKUP($D$4,[0]!FXDATA,Options!$B9,FALSE)</f>
        <v>1</v>
      </c>
    </row>
    <row r="10" spans="1:4" x14ac:dyDescent="0.2">
      <c r="A10" t="s">
        <v>33</v>
      </c>
      <c r="B10">
        <v>8</v>
      </c>
      <c r="C10">
        <f ca="1">VLOOKUP($D$4,[0]!FXDATA,Options!$B10,FALSE)</f>
        <v>0.94073377234242717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2.Cash Flow</vt:lpstr>
      <vt:lpstr>6.Balance</vt:lpstr>
      <vt:lpstr>SOURCE DATA</vt:lpstr>
      <vt:lpstr>Rates ECB</vt:lpstr>
      <vt:lpstr>Options</vt:lpstr>
      <vt:lpstr>'2.Cash Flow'!Cash_minimum</vt:lpstr>
      <vt:lpstr>ECBMax</vt:lpstr>
      <vt:lpstr>FX_LIST</vt:lpstr>
      <vt:lpstr>FXCURRENCY</vt:lpstr>
      <vt:lpstr>FXDATA</vt:lpstr>
      <vt:lpstr>LATESTFX</vt:lpstr>
      <vt:lpstr>'2.Cash Flow'!Print_Area</vt:lpstr>
      <vt:lpstr>'6.Balance'!Print_Area</vt:lpstr>
      <vt:lpstr>'2.Cash Flow'!Print_Titles</vt:lpstr>
      <vt:lpstr>Start_date</vt:lpstr>
      <vt:lpstr>'Rates ECB'!work.pl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EK</dc:creator>
  <cp:lastModifiedBy>EK</cp:lastModifiedBy>
  <dcterms:created xsi:type="dcterms:W3CDTF">2017-01-31T06:40:35Z</dcterms:created>
  <dcterms:modified xsi:type="dcterms:W3CDTF">2017-01-31T07:21:21Z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5e783b4d-1af8-48ab-b51d-8cf7cb509809</vt:lpwstr>
  </property>
</Properties>
</file>